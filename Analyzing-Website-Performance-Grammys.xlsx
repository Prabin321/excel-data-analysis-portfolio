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sylvia/Downloads/"/>
    </mc:Choice>
  </mc:AlternateContent>
  <xr:revisionPtr revIDLastSave="0" documentId="8_{C9D1427F-3A9F-4740-B94C-1828DFF39B52}" xr6:coauthVersionLast="47" xr6:coauthVersionMax="47" xr10:uidLastSave="{00000000-0000-0000-0000-000000000000}"/>
  <bookViews>
    <workbookView xWindow="0" yWindow="860" windowWidth="30240" windowHeight="22300" xr2:uid="{00000000-000D-0000-FFFF-FFFF00000000}"/>
  </bookViews>
  <sheets>
    <sheet name="Grammys Data" sheetId="1" r:id="rId1"/>
    <sheet name="Recording Academy Data" sheetId="2" r:id="rId2"/>
    <sheet name="LevelUp" sheetId="19" r:id="rId3"/>
    <sheet name="Solutions" sheetId="15" state="very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/>
  <c r="H33" i="1" a="1"/>
  <c r="H33" i="1" s="1"/>
  <c r="H34" i="1" a="1"/>
  <c r="H34" i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/>
  <c r="H59" i="1" a="1"/>
  <c r="H59" i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/>
  <c r="H131" i="1" a="1"/>
  <c r="H131" i="1" s="1"/>
  <c r="H132" i="1" a="1"/>
  <c r="H132" i="1"/>
  <c r="H133" i="1" a="1"/>
  <c r="H133" i="1" s="1"/>
  <c r="H134" i="1" a="1"/>
  <c r="H134" i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/>
  <c r="H180" i="1" a="1"/>
  <c r="H180" i="1" s="1"/>
  <c r="H181" i="1" a="1"/>
  <c r="H181" i="1" s="1"/>
  <c r="H182" i="1" a="1"/>
  <c r="H182" i="1" s="1"/>
  <c r="H183" i="1" a="1"/>
  <c r="H183" i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/>
  <c r="H215" i="1" a="1"/>
  <c r="H215" i="1" s="1"/>
  <c r="H216" i="1" a="1"/>
  <c r="H216" i="1" s="1"/>
  <c r="H217" i="1" a="1"/>
  <c r="H217" i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/>
  <c r="H255" i="1" a="1"/>
  <c r="H255" i="1" s="1"/>
  <c r="H256" i="1" a="1"/>
  <c r="H256" i="1" s="1"/>
  <c r="H257" i="1" a="1"/>
  <c r="H257" i="1" s="1"/>
  <c r="H258" i="1" a="1"/>
  <c r="H258" i="1" s="1"/>
  <c r="H259" i="1" a="1"/>
  <c r="H259" i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/>
  <c r="H300" i="1" a="1"/>
  <c r="H300" i="1" s="1"/>
  <c r="H301" i="1" a="1"/>
  <c r="H301" i="1" s="1"/>
  <c r="H302" i="1" a="1"/>
  <c r="H302" i="1" s="1"/>
  <c r="H303" i="1" a="1"/>
  <c r="H303" i="1" s="1"/>
  <c r="H304" i="1" a="1"/>
  <c r="H304" i="1"/>
  <c r="H305" i="1" a="1"/>
  <c r="H305" i="1" s="1"/>
  <c r="H306" i="1" a="1"/>
  <c r="H306" i="1" s="1"/>
  <c r="H307" i="1" a="1"/>
  <c r="H307" i="1" s="1"/>
  <c r="H308" i="1" a="1"/>
  <c r="H308" i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/>
  <c r="H348" i="1" a="1"/>
  <c r="H348" i="1" s="1"/>
  <c r="H349" i="1" a="1"/>
  <c r="H349" i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/>
  <c r="H413" i="1" a="1"/>
  <c r="H413" i="1" s="1"/>
  <c r="H414" i="1" a="1"/>
  <c r="H414" i="1"/>
  <c r="H415" i="1" a="1"/>
  <c r="H415" i="1" s="1"/>
  <c r="H416" i="1" a="1"/>
  <c r="H416" i="1" s="1"/>
  <c r="H417" i="1" a="1"/>
  <c r="H417" i="1" s="1"/>
  <c r="H418" i="1" a="1"/>
  <c r="H418" i="1" s="1"/>
  <c r="H419" i="1" a="1"/>
  <c r="H419" i="1"/>
  <c r="H420" i="1" a="1"/>
  <c r="H420" i="1" s="1"/>
  <c r="H421" i="1" a="1"/>
  <c r="H421" i="1" s="1"/>
  <c r="H422" i="1" a="1"/>
  <c r="H422" i="1" s="1"/>
  <c r="H423" i="1" a="1"/>
  <c r="H423" i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/>
  <c r="H500" i="1" a="1"/>
  <c r="H500" i="1" s="1"/>
  <c r="H501" i="1" a="1"/>
  <c r="H501" i="1" s="1"/>
  <c r="H502" i="1" a="1"/>
  <c r="H502" i="1" s="1"/>
  <c r="H503" i="1" a="1"/>
  <c r="H503" i="1" s="1"/>
  <c r="H504" i="1" a="1"/>
  <c r="H504" i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/>
  <c r="H530" i="1" a="1"/>
  <c r="H530" i="1" s="1"/>
  <c r="H531" i="1" a="1"/>
  <c r="H531" i="1" s="1"/>
  <c r="H532" i="1" a="1"/>
  <c r="H532" i="1"/>
  <c r="H533" i="1" a="1"/>
  <c r="H533" i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/>
  <c r="H558" i="1" a="1"/>
  <c r="H558" i="1" s="1"/>
  <c r="H559" i="1" a="1"/>
  <c r="H559" i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/>
  <c r="H598" i="1" a="1"/>
  <c r="H598" i="1" s="1"/>
  <c r="H599" i="1" a="1"/>
  <c r="H599" i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/>
  <c r="H631" i="1" a="1"/>
  <c r="H631" i="1" s="1"/>
  <c r="H632" i="1" a="1"/>
  <c r="H632" i="1" s="1"/>
  <c r="H633" i="1" a="1"/>
  <c r="H633" i="1" s="1"/>
  <c r="H634" i="1" a="1"/>
  <c r="H634" i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/>
  <c r="H825" i="1" a="1"/>
  <c r="H825" i="1" s="1"/>
  <c r="H826" i="1" a="1"/>
  <c r="H826" i="1" s="1"/>
  <c r="H827" i="1" a="1"/>
  <c r="H827" i="1" s="1"/>
  <c r="H828" i="1" a="1"/>
  <c r="H828" i="1" s="1"/>
  <c r="H829" i="1" a="1"/>
  <c r="H829" i="1"/>
  <c r="H830" i="1" a="1"/>
  <c r="H830" i="1" s="1"/>
  <c r="H831" i="1" a="1"/>
  <c r="H831" i="1" s="1"/>
  <c r="H832" i="1" a="1"/>
  <c r="H832" i="1" s="1"/>
  <c r="H833" i="1" a="1"/>
  <c r="H833" i="1" s="1"/>
  <c r="H834" i="1" a="1"/>
  <c r="H834" i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/>
  <c r="H913" i="1" a="1"/>
  <c r="H913" i="1" s="1"/>
  <c r="H914" i="1" a="1"/>
  <c r="H914" i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/>
  <c r="H1063" i="1" a="1"/>
  <c r="H1063" i="1" s="1"/>
  <c r="H1064" i="1" a="1"/>
  <c r="H1064" i="1" s="1"/>
  <c r="H1065" i="1" a="1"/>
  <c r="H1065" i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/>
  <c r="H1130" i="1" a="1"/>
  <c r="H1130" i="1" s="1"/>
  <c r="H1131" i="1" a="1"/>
  <c r="H1131" i="1" s="1"/>
  <c r="H1132" i="1" a="1"/>
  <c r="H1132" i="1" s="1"/>
  <c r="H1133" i="1" a="1"/>
  <c r="H1133" i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/>
  <c r="H1194" i="1" a="1"/>
  <c r="H1194" i="1" s="1"/>
  <c r="H1195" i="1" a="1"/>
  <c r="H1195" i="1" s="1"/>
  <c r="H1196" i="1" a="1"/>
  <c r="H1196" i="1" s="1"/>
  <c r="H1197" i="1" a="1"/>
  <c r="H1197" i="1"/>
  <c r="H1198" i="1" a="1"/>
  <c r="H1198" i="1" s="1"/>
  <c r="H1199" i="1" a="1"/>
  <c r="H1199" i="1" s="1"/>
  <c r="H1200" i="1" a="1"/>
  <c r="H1200" i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/>
  <c r="H1273" i="1" a="1"/>
  <c r="H1273" i="1" s="1"/>
  <c r="H1274" i="1" a="1"/>
  <c r="H1274" i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/>
  <c r="H1281" i="1" a="1"/>
  <c r="H1281" i="1" s="1"/>
  <c r="H1282" i="1" a="1"/>
  <c r="H1282" i="1" s="1"/>
  <c r="H1283" i="1" a="1"/>
  <c r="H1283" i="1" s="1"/>
  <c r="H1284" i="1" a="1"/>
  <c r="H1284" i="1"/>
  <c r="H1285" i="1" a="1"/>
  <c r="H1285" i="1" s="1"/>
  <c r="H1286" i="1" a="1"/>
  <c r="H1286" i="1" s="1"/>
  <c r="H1287" i="1" a="1"/>
  <c r="H1287" i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/>
  <c r="H1294" i="1" a="1"/>
  <c r="H1294" i="1" s="1"/>
  <c r="H1295" i="1" a="1"/>
  <c r="H1295" i="1"/>
  <c r="H1296" i="1" a="1"/>
  <c r="H1296" i="1" s="1"/>
  <c r="H1297" i="1" a="1"/>
  <c r="H1297" i="1"/>
  <c r="H1298" i="1" a="1"/>
  <c r="H1298" i="1" s="1"/>
  <c r="H1299" i="1" a="1"/>
  <c r="H1299" i="1"/>
  <c r="H1300" i="1" a="1"/>
  <c r="H1300" i="1" s="1"/>
  <c r="H1301" i="1" a="1"/>
  <c r="H1301" i="1" s="1"/>
  <c r="H1302" i="1" a="1"/>
  <c r="H1302" i="1" s="1"/>
  <c r="H1303" i="1" a="1"/>
  <c r="H1303" i="1"/>
  <c r="H1304" i="1" a="1"/>
  <c r="H1304" i="1" s="1"/>
  <c r="H1305" i="1" a="1"/>
  <c r="H1305" i="1" s="1"/>
  <c r="H1306" i="1" a="1"/>
  <c r="H1306" i="1" s="1"/>
  <c r="H1307" i="1" a="1"/>
  <c r="H1307" i="1" s="1"/>
  <c r="H1308" i="1" a="1"/>
  <c r="H1308" i="1"/>
  <c r="H1309" i="1" a="1"/>
  <c r="H1309" i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/>
  <c r="H1323" i="1" a="1"/>
  <c r="H1323" i="1" s="1"/>
  <c r="H1324" i="1" a="1"/>
  <c r="H1324" i="1" s="1"/>
  <c r="H1325" i="1" a="1"/>
  <c r="H1325" i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 s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 s="1"/>
  <c r="H1347" i="1" a="1"/>
  <c r="H1347" i="1" s="1"/>
  <c r="H1348" i="1" a="1"/>
  <c r="H1348" i="1" s="1"/>
  <c r="H1349" i="1" a="1"/>
  <c r="H1349" i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 s="1"/>
  <c r="H1368" i="1" a="1"/>
  <c r="H1368" i="1" s="1"/>
  <c r="H1369" i="1" a="1"/>
  <c r="H1369" i="1"/>
  <c r="H1370" i="1" a="1"/>
  <c r="H1370" i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/>
  <c r="H1381" i="1" a="1"/>
  <c r="H1381" i="1" s="1"/>
  <c r="H1382" i="1" a="1"/>
  <c r="H1382" i="1" s="1"/>
  <c r="H1383" i="1" a="1"/>
  <c r="H1383" i="1"/>
  <c r="H1384" i="1" a="1"/>
  <c r="H1384" i="1" s="1"/>
  <c r="H1385" i="1" a="1"/>
  <c r="H1385" i="1" s="1"/>
  <c r="H1386" i="1" a="1"/>
  <c r="H1386" i="1" s="1"/>
  <c r="H1387" i="1" a="1"/>
  <c r="H1387" i="1" s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/>
  <c r="H1400" i="1" a="1"/>
  <c r="H1400" i="1" s="1"/>
  <c r="H1401" i="1" a="1"/>
  <c r="H1401" i="1" s="1"/>
  <c r="H1402" i="1" a="1"/>
  <c r="H1402" i="1" s="1"/>
  <c r="H1403" i="1" a="1"/>
  <c r="H1403" i="1"/>
  <c r="H1404" i="1" a="1"/>
  <c r="H1404" i="1" s="1"/>
  <c r="H1405" i="1" a="1"/>
  <c r="H1405" i="1"/>
  <c r="H1406" i="1" a="1"/>
  <c r="H1406" i="1" s="1"/>
  <c r="H1407" i="1" a="1"/>
  <c r="H1407" i="1"/>
  <c r="H1408" i="1" a="1"/>
  <c r="H1408" i="1" s="1"/>
  <c r="H1409" i="1" a="1"/>
  <c r="H1409" i="1" s="1"/>
  <c r="H1410" i="1" a="1"/>
  <c r="H1410" i="1" s="1"/>
  <c r="H1411" i="1" a="1"/>
  <c r="H1411" i="1"/>
  <c r="H1412" i="1" a="1"/>
  <c r="H1412" i="1" s="1"/>
  <c r="H1413" i="1" a="1"/>
  <c r="H1413" i="1"/>
  <c r="H1414" i="1" a="1"/>
  <c r="H1414" i="1" s="1"/>
  <c r="H1415" i="1" a="1"/>
  <c r="H1415" i="1" s="1"/>
  <c r="H1416" i="1" a="1"/>
  <c r="H1416" i="1" s="1"/>
  <c r="H1417" i="1" a="1"/>
  <c r="H1417" i="1" s="1"/>
  <c r="H1418" i="1" a="1"/>
  <c r="H1418" i="1" s="1"/>
  <c r="H1419" i="1" a="1"/>
  <c r="H1419" i="1"/>
  <c r="H1420" i="1" a="1"/>
  <c r="H1420" i="1" s="1"/>
  <c r="H1421" i="1" a="1"/>
  <c r="H1421" i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/>
  <c r="H1430" i="1" a="1"/>
  <c r="H1430" i="1" s="1"/>
  <c r="H1431" i="1" a="1"/>
  <c r="H1431" i="1"/>
  <c r="H1432" i="1" a="1"/>
  <c r="H1432" i="1" s="1"/>
  <c r="H1433" i="1" a="1"/>
  <c r="H1433" i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 s="1"/>
  <c r="H1439" i="1" a="1"/>
  <c r="H1439" i="1" s="1"/>
  <c r="H1440" i="1" a="1"/>
  <c r="H1440" i="1" s="1"/>
  <c r="H1441" i="1" a="1"/>
  <c r="H1441" i="1" s="1"/>
  <c r="H1442" i="1" a="1"/>
  <c r="H1442" i="1"/>
  <c r="H1443" i="1" a="1"/>
  <c r="H1443" i="1" s="1"/>
  <c r="H1444" i="1" a="1"/>
  <c r="H1444" i="1" s="1"/>
  <c r="H1445" i="1" a="1"/>
  <c r="H1445" i="1" s="1"/>
  <c r="H1446" i="1" a="1"/>
  <c r="H1446" i="1" s="1"/>
  <c r="H1447" i="1" a="1"/>
  <c r="H1447" i="1"/>
  <c r="H1448" i="1" a="1"/>
  <c r="H1448" i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/>
  <c r="H1454" i="1" a="1"/>
  <c r="H1454" i="1" s="1"/>
  <c r="H1455" i="1" a="1"/>
  <c r="H1455" i="1" s="1"/>
  <c r="H1456" i="1" a="1"/>
  <c r="H1456" i="1" s="1"/>
  <c r="H1457" i="1" a="1"/>
  <c r="H1457" i="1" s="1"/>
  <c r="H1458" i="1" a="1"/>
  <c r="H1458" i="1" s="1"/>
  <c r="H1459" i="1" a="1"/>
  <c r="H1459" i="1" s="1"/>
  <c r="H1460" i="1" a="1"/>
  <c r="H1460" i="1" s="1"/>
  <c r="H1461" i="1" a="1"/>
  <c r="H1461" i="1" s="1"/>
  <c r="H1462" i="1" a="1"/>
  <c r="H1462" i="1" s="1"/>
  <c r="H1463" i="1" a="1"/>
  <c r="H1463" i="1"/>
  <c r="H1464" i="1" a="1"/>
  <c r="H1464" i="1" s="1"/>
  <c r="H1465" i="1" a="1"/>
  <c r="H1465" i="1" s="1"/>
  <c r="H1466" i="1" a="1"/>
  <c r="H1466" i="1" s="1"/>
  <c r="H1467" i="1" a="1"/>
  <c r="H1467" i="1"/>
  <c r="H1468" i="1" a="1"/>
  <c r="H1468" i="1" s="1"/>
  <c r="H1469" i="1" a="1"/>
  <c r="H1469" i="1" s="1"/>
  <c r="H1470" i="1" a="1"/>
  <c r="H1470" i="1" s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/>
  <c r="H1505" i="1" a="1"/>
  <c r="H1505" i="1" s="1"/>
  <c r="H1506" i="1" a="1"/>
  <c r="H1506" i="1" s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 s="1"/>
  <c r="H1515" i="1" a="1"/>
  <c r="H1515" i="1" s="1"/>
  <c r="H1516" i="1" a="1"/>
  <c r="H1516" i="1" s="1"/>
  <c r="H1517" i="1" a="1"/>
  <c r="H1517" i="1" s="1"/>
  <c r="H1518" i="1" a="1"/>
  <c r="H1518" i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/>
  <c r="H1545" i="1" a="1"/>
  <c r="H1545" i="1" s="1"/>
  <c r="H1546" i="1" a="1"/>
  <c r="H1546" i="1"/>
  <c r="H1547" i="1" a="1"/>
  <c r="H1547" i="1" s="1"/>
  <c r="H1548" i="1" a="1"/>
  <c r="H1548" i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/>
  <c r="H1565" i="1" a="1"/>
  <c r="H1565" i="1" s="1"/>
  <c r="H1566" i="1" a="1"/>
  <c r="H1566" i="1" s="1"/>
  <c r="H1567" i="1" a="1"/>
  <c r="H1567" i="1" s="1"/>
  <c r="H1568" i="1" a="1"/>
  <c r="H1568" i="1"/>
  <c r="H1569" i="1" a="1"/>
  <c r="H1569" i="1" s="1"/>
  <c r="H1570" i="1" a="1"/>
  <c r="H1570" i="1" s="1"/>
  <c r="H1571" i="1" a="1"/>
  <c r="H1571" i="1" s="1"/>
  <c r="H1572" i="1" a="1"/>
  <c r="H1572" i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/>
  <c r="H1594" i="1" a="1"/>
  <c r="H1594" i="1" s="1"/>
  <c r="H1595" i="1" a="1"/>
  <c r="H1595" i="1" s="1"/>
  <c r="H1596" i="1" a="1"/>
  <c r="H1596" i="1" s="1"/>
  <c r="H1597" i="1" a="1"/>
  <c r="H1597" i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 s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 s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/>
  <c r="H1632" i="1" a="1"/>
  <c r="H1632" i="1" s="1"/>
  <c r="H1633" i="1" a="1"/>
  <c r="H1633" i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/>
  <c r="H1640" i="1" a="1"/>
  <c r="H1640" i="1" s="1"/>
  <c r="H1641" i="1" a="1"/>
  <c r="H1641" i="1" s="1"/>
  <c r="H1642" i="1" a="1"/>
  <c r="H1642" i="1" s="1"/>
  <c r="H1643" i="1" a="1"/>
  <c r="H1643" i="1" s="1"/>
  <c r="H1644" i="1" a="1"/>
  <c r="H1644" i="1"/>
  <c r="H1645" i="1" a="1"/>
  <c r="H1645" i="1" s="1"/>
  <c r="H1646" i="1" a="1"/>
  <c r="H1646" i="1" s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/>
  <c r="H1654" i="1" a="1"/>
  <c r="H1654" i="1" s="1"/>
  <c r="H1655" i="1" a="1"/>
  <c r="H1655" i="1" s="1"/>
  <c r="H1656" i="1" a="1"/>
  <c r="H1656" i="1" s="1"/>
  <c r="H1657" i="1" a="1"/>
  <c r="H1657" i="1" s="1"/>
  <c r="H1658" i="1" a="1"/>
  <c r="H1658" i="1" s="1"/>
  <c r="H1659" i="1" a="1"/>
  <c r="H1659" i="1" s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 s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/>
  <c r="H1722" i="1" a="1"/>
  <c r="H1722" i="1" s="1"/>
  <c r="H1723" i="1" a="1"/>
  <c r="H1723" i="1"/>
  <c r="H1724" i="1" a="1"/>
  <c r="H1724" i="1" s="1"/>
  <c r="H1725" i="1" a="1"/>
  <c r="H1725" i="1" s="1"/>
  <c r="H1726" i="1" a="1"/>
  <c r="H1726" i="1" s="1"/>
  <c r="H1727" i="1" a="1"/>
  <c r="H1727" i="1" s="1"/>
  <c r="H1728" i="1" a="1"/>
  <c r="H1728" i="1" s="1"/>
  <c r="H1729" i="1" a="1"/>
  <c r="H1729" i="1" s="1"/>
  <c r="H1730" i="1" a="1"/>
  <c r="H1730" i="1" s="1"/>
  <c r="H1731" i="1" a="1"/>
  <c r="H1731" i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/>
  <c r="H1749" i="1" a="1"/>
  <c r="H1749" i="1" s="1"/>
  <c r="H1750" i="1" a="1"/>
  <c r="H1750" i="1" s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765" i="1" a="1"/>
  <c r="H1765" i="1" s="1"/>
  <c r="H1766" i="1" a="1"/>
  <c r="H1766" i="1" s="1"/>
  <c r="H1767" i="1" a="1"/>
  <c r="H1767" i="1"/>
  <c r="H1768" i="1" a="1"/>
  <c r="H1768" i="1" s="1"/>
  <c r="H1769" i="1" a="1"/>
  <c r="H1769" i="1"/>
  <c r="H1770" i="1" a="1"/>
  <c r="H1770" i="1" s="1"/>
  <c r="H1771" i="1" a="1"/>
  <c r="H1771" i="1" s="1"/>
  <c r="H1772" i="1" a="1"/>
  <c r="H1772" i="1"/>
  <c r="H1773" i="1" a="1"/>
  <c r="H1773" i="1" s="1"/>
  <c r="H1774" i="1" a="1"/>
  <c r="H1774" i="1" s="1"/>
  <c r="H1775" i="1" a="1"/>
  <c r="H1775" i="1" s="1"/>
  <c r="H1776" i="1" a="1"/>
  <c r="H1776" i="1" s="1"/>
  <c r="H1777" i="1" a="1"/>
  <c r="H1777" i="1" s="1"/>
  <c r="H1778" i="1" a="1"/>
  <c r="H1778" i="1" s="1"/>
  <c r="H1779" i="1" a="1"/>
  <c r="H1779" i="1" s="1"/>
  <c r="H1780" i="1" a="1"/>
  <c r="H1780" i="1" s="1"/>
  <c r="H1781" i="1" a="1"/>
  <c r="H1781" i="1"/>
  <c r="H1782" i="1" a="1"/>
  <c r="H1782" i="1" s="1"/>
  <c r="H1783" i="1" a="1"/>
  <c r="H1783" i="1" s="1"/>
  <c r="H1784" i="1" a="1"/>
  <c r="H1784" i="1" s="1"/>
  <c r="H1785" i="1" a="1"/>
  <c r="H1785" i="1" s="1"/>
  <c r="H1786" i="1" a="1"/>
  <c r="H1786" i="1" s="1"/>
  <c r="H1787" i="1" a="1"/>
  <c r="H1787" i="1" s="1"/>
  <c r="H1788" i="1" a="1"/>
  <c r="H1788" i="1" s="1"/>
  <c r="H1789" i="1" a="1"/>
  <c r="H1789" i="1" s="1"/>
  <c r="H1790" i="1" a="1"/>
  <c r="H1790" i="1" s="1"/>
  <c r="H1791" i="1" a="1"/>
  <c r="H1791" i="1" s="1"/>
  <c r="H1792" i="1" a="1"/>
  <c r="H1792" i="1" s="1"/>
  <c r="H1793" i="1" a="1"/>
  <c r="H1793" i="1"/>
  <c r="H1794" i="1" a="1"/>
  <c r="H1794" i="1" s="1"/>
  <c r="H1795" i="1" a="1"/>
  <c r="H1795" i="1" s="1"/>
  <c r="H1796" i="1" a="1"/>
  <c r="H1796" i="1" s="1"/>
  <c r="H1797" i="1" a="1"/>
  <c r="H1797" i="1" s="1"/>
  <c r="H1798" i="1" a="1"/>
  <c r="H1798" i="1" s="1"/>
  <c r="H1799" i="1" a="1"/>
  <c r="H1799" i="1" s="1"/>
  <c r="H1800" i="1" a="1"/>
  <c r="H1800" i="1" s="1"/>
  <c r="H1801" i="1" a="1"/>
  <c r="H1801" i="1" s="1"/>
  <c r="H1802" i="1" a="1"/>
  <c r="H1802" i="1" s="1"/>
  <c r="H1803" i="1" a="1"/>
  <c r="H1803" i="1" s="1"/>
  <c r="H1804" i="1" a="1"/>
  <c r="H1804" i="1"/>
  <c r="H1805" i="1" a="1"/>
  <c r="H1805" i="1" s="1"/>
  <c r="H1806" i="1" a="1"/>
  <c r="H1806" i="1"/>
  <c r="H1807" i="1" a="1"/>
  <c r="H1807" i="1" s="1"/>
  <c r="H1808" i="1" a="1"/>
  <c r="H1808" i="1" s="1"/>
  <c r="H1809" i="1" a="1"/>
  <c r="H1809" i="1" s="1"/>
  <c r="H1810" i="1" a="1"/>
  <c r="H1810" i="1" s="1"/>
  <c r="H1811" i="1" a="1"/>
  <c r="H1811" i="1" s="1"/>
  <c r="H1812" i="1" a="1"/>
  <c r="H1812" i="1" s="1"/>
  <c r="H1813" i="1" a="1"/>
  <c r="H1813" i="1" s="1"/>
  <c r="H1814" i="1" a="1"/>
  <c r="H1814" i="1"/>
  <c r="H1815" i="1" a="1"/>
  <c r="H1815" i="1" s="1"/>
  <c r="H1816" i="1" a="1"/>
  <c r="H1816" i="1" s="1"/>
  <c r="H1817" i="1" a="1"/>
  <c r="H1817" i="1" s="1"/>
  <c r="H1818" i="1" a="1"/>
  <c r="H1818" i="1" s="1"/>
  <c r="H1819" i="1" a="1"/>
  <c r="H1819" i="1"/>
  <c r="H1820" i="1" a="1"/>
  <c r="H1820" i="1" s="1"/>
  <c r="H1821" i="1" a="1"/>
  <c r="H1821" i="1" s="1"/>
  <c r="H1822" i="1" a="1"/>
  <c r="H1822" i="1" s="1"/>
  <c r="H1823" i="1" a="1"/>
  <c r="H1823" i="1" s="1"/>
  <c r="H1824" i="1" a="1"/>
  <c r="H1824" i="1" s="1"/>
  <c r="H1825" i="1" a="1"/>
  <c r="H1825" i="1" s="1"/>
  <c r="H1826" i="1" a="1"/>
  <c r="H1826" i="1" s="1"/>
  <c r="H1827" i="1" a="1"/>
  <c r="H1827" i="1" s="1"/>
  <c r="H1828" i="1" a="1"/>
  <c r="H1828" i="1" s="1"/>
  <c r="H1829" i="1" a="1"/>
  <c r="H1829" i="1" s="1"/>
  <c r="H1830" i="1" a="1"/>
  <c r="H1830" i="1" s="1"/>
  <c r="H1831" i="1" a="1"/>
  <c r="H1831" i="1" s="1"/>
  <c r="H1832" i="1" a="1"/>
  <c r="H1832" i="1" s="1"/>
  <c r="H1833" i="1" a="1"/>
  <c r="H1833" i="1"/>
  <c r="H1834" i="1" a="1"/>
  <c r="H1834" i="1" s="1"/>
  <c r="H1835" i="1" a="1"/>
  <c r="H1835" i="1" s="1"/>
  <c r="H1836" i="1" a="1"/>
  <c r="H1836" i="1" s="1"/>
  <c r="H1837" i="1" a="1"/>
  <c r="H1837" i="1" s="1"/>
  <c r="H1838" i="1" a="1"/>
  <c r="H1838" i="1" s="1"/>
  <c r="H1839" i="1" a="1"/>
  <c r="H1839" i="1"/>
  <c r="H1840" i="1" a="1"/>
  <c r="H1840" i="1" s="1"/>
  <c r="H1841" i="1" a="1"/>
  <c r="H1841" i="1" s="1"/>
  <c r="H1842" i="1" a="1"/>
  <c r="H1842" i="1" s="1"/>
  <c r="H1843" i="1" a="1"/>
  <c r="H1843" i="1" s="1"/>
  <c r="H1844" i="1" a="1"/>
  <c r="H1844" i="1"/>
  <c r="H1845" i="1" a="1"/>
  <c r="H1845" i="1" s="1"/>
  <c r="H1846" i="1" a="1"/>
  <c r="H1846" i="1" s="1"/>
  <c r="H1847" i="1" a="1"/>
  <c r="H1847" i="1"/>
  <c r="H1848" i="1" a="1"/>
  <c r="H1848" i="1" s="1"/>
  <c r="H1849" i="1" a="1"/>
  <c r="H1849" i="1" s="1"/>
  <c r="H1850" i="1" a="1"/>
  <c r="H1850" i="1" s="1"/>
  <c r="H1851" i="1" a="1"/>
  <c r="H1851" i="1" s="1"/>
  <c r="H1852" i="1" a="1"/>
  <c r="H1852" i="1" s="1"/>
  <c r="H1853" i="1" a="1"/>
  <c r="H1853" i="1" s="1"/>
  <c r="H1854" i="1" a="1"/>
  <c r="H1854" i="1" s="1"/>
  <c r="H1855" i="1" a="1"/>
  <c r="H1855" i="1" s="1"/>
  <c r="H1856" i="1" a="1"/>
  <c r="H1856" i="1" s="1"/>
  <c r="H1857" i="1" a="1"/>
  <c r="H1857" i="1" s="1"/>
  <c r="H1858" i="1" a="1"/>
  <c r="H1858" i="1" s="1"/>
  <c r="H1859" i="1" a="1"/>
  <c r="H1859" i="1" s="1"/>
  <c r="H1860" i="1" a="1"/>
  <c r="H1860" i="1" s="1"/>
  <c r="H1861" i="1" a="1"/>
  <c r="H1861" i="1" s="1"/>
  <c r="H1862" i="1" a="1"/>
  <c r="H1862" i="1" s="1"/>
  <c r="H1863" i="1" a="1"/>
  <c r="H1863" i="1" s="1"/>
  <c r="H1864" i="1" a="1"/>
  <c r="H1864" i="1"/>
  <c r="H1865" i="1" a="1"/>
  <c r="H1865" i="1" s="1"/>
  <c r="H1866" i="1" a="1"/>
  <c r="H1866" i="1" s="1"/>
  <c r="H1867" i="1" a="1"/>
  <c r="H1867" i="1" s="1"/>
  <c r="H1868" i="1" a="1"/>
  <c r="H1868" i="1" s="1"/>
  <c r="H1869" i="1" a="1"/>
  <c r="H1869" i="1"/>
  <c r="H1870" i="1" a="1"/>
  <c r="H1870" i="1" s="1"/>
  <c r="H1871" i="1" a="1"/>
  <c r="H1871" i="1" s="1"/>
  <c r="H1872" i="1" a="1"/>
  <c r="H1872" i="1" s="1"/>
  <c r="H1873" i="1" a="1"/>
  <c r="H1873" i="1" s="1"/>
  <c r="H1874" i="1" a="1"/>
  <c r="H1874" i="1" s="1"/>
  <c r="H1875" i="1" a="1"/>
  <c r="H1875" i="1" s="1"/>
  <c r="H1876" i="1" a="1"/>
  <c r="H1876" i="1" s="1"/>
  <c r="H1877" i="1" a="1"/>
  <c r="H1877" i="1" s="1"/>
  <c r="H1878" i="1" a="1"/>
  <c r="H1878" i="1" s="1"/>
  <c r="H1879" i="1" a="1"/>
  <c r="H1879" i="1" s="1"/>
  <c r="H1880" i="1" a="1"/>
  <c r="H1880" i="1" s="1"/>
  <c r="H1881" i="1" a="1"/>
  <c r="H1881" i="1" s="1"/>
  <c r="H1882" i="1" a="1"/>
  <c r="H1882" i="1" s="1"/>
  <c r="H1883" i="1" a="1"/>
  <c r="H1883" i="1" s="1"/>
  <c r="H1884" i="1" a="1"/>
  <c r="H1884" i="1" s="1"/>
  <c r="H1885" i="1" a="1"/>
  <c r="H1885" i="1" s="1"/>
  <c r="H1886" i="1" a="1"/>
  <c r="H1886" i="1" s="1"/>
  <c r="H1887" i="1" a="1"/>
  <c r="H1887" i="1" s="1"/>
  <c r="H1888" i="1" a="1"/>
  <c r="H1888" i="1"/>
  <c r="H1889" i="1" a="1"/>
  <c r="H1889" i="1" s="1"/>
  <c r="H1890" i="1" a="1"/>
  <c r="H1890" i="1" s="1"/>
  <c r="H1891" i="1" a="1"/>
  <c r="H1891" i="1" s="1"/>
  <c r="H1892" i="1" a="1"/>
  <c r="H1892" i="1" s="1"/>
  <c r="H1893" i="1" a="1"/>
  <c r="H1893" i="1"/>
  <c r="H1894" i="1" a="1"/>
  <c r="H1894" i="1" s="1"/>
  <c r="H1895" i="1" a="1"/>
  <c r="H1895" i="1" s="1"/>
  <c r="H1896" i="1" a="1"/>
  <c r="H1896" i="1" s="1"/>
  <c r="H1897" i="1" a="1"/>
  <c r="H1897" i="1"/>
  <c r="H1898" i="1" a="1"/>
  <c r="H1898" i="1" s="1"/>
  <c r="H1899" i="1" a="1"/>
  <c r="H1899" i="1" s="1"/>
  <c r="H1900" i="1" a="1"/>
  <c r="H1900" i="1" s="1"/>
  <c r="H1901" i="1" a="1"/>
  <c r="H1901" i="1" s="1"/>
  <c r="H1902" i="1" a="1"/>
  <c r="H1902" i="1" s="1"/>
  <c r="H1903" i="1" a="1"/>
  <c r="H1903" i="1" s="1"/>
  <c r="H1904" i="1" a="1"/>
  <c r="H1904" i="1"/>
  <c r="H1905" i="1" a="1"/>
  <c r="H1905" i="1" s="1"/>
  <c r="H1906" i="1" a="1"/>
  <c r="H1906" i="1" s="1"/>
  <c r="H1907" i="1" a="1"/>
  <c r="H1907" i="1" s="1"/>
  <c r="H1908" i="1" a="1"/>
  <c r="H1908" i="1"/>
  <c r="H1909" i="1" a="1"/>
  <c r="H1909" i="1" s="1"/>
  <c r="H1910" i="1" a="1"/>
  <c r="H1910" i="1" s="1"/>
  <c r="H1911" i="1" a="1"/>
  <c r="H1911" i="1"/>
  <c r="H1912" i="1" a="1"/>
  <c r="H1912" i="1" s="1"/>
  <c r="H1913" i="1" a="1"/>
  <c r="H1913" i="1"/>
  <c r="H1914" i="1" a="1"/>
  <c r="H1914" i="1" s="1"/>
  <c r="H1915" i="1" a="1"/>
  <c r="H1915" i="1" s="1"/>
  <c r="H1916" i="1" a="1"/>
  <c r="H1916" i="1" s="1"/>
  <c r="H1917" i="1" a="1"/>
  <c r="H1917" i="1" s="1"/>
  <c r="H1918" i="1" a="1"/>
  <c r="H1918" i="1" s="1"/>
  <c r="H1919" i="1" a="1"/>
  <c r="H1919" i="1" s="1"/>
  <c r="H1920" i="1" a="1"/>
  <c r="H1920" i="1" s="1"/>
  <c r="H1921" i="1" a="1"/>
  <c r="H1921" i="1" s="1"/>
  <c r="H1922" i="1" a="1"/>
  <c r="H1922" i="1" s="1"/>
  <c r="H1923" i="1" a="1"/>
  <c r="H1923" i="1"/>
  <c r="H1924" i="1" a="1"/>
  <c r="H1924" i="1" s="1"/>
  <c r="H1925" i="1" a="1"/>
  <c r="H1925" i="1" s="1"/>
  <c r="H1926" i="1" a="1"/>
  <c r="H1926" i="1" s="1"/>
  <c r="H1927" i="1" a="1"/>
  <c r="H1927" i="1" s="1"/>
  <c r="H1928" i="1" a="1"/>
  <c r="H1928" i="1" s="1"/>
  <c r="H1929" i="1" a="1"/>
  <c r="H1929" i="1"/>
  <c r="H1930" i="1" a="1"/>
  <c r="H1930" i="1" s="1"/>
  <c r="H1931" i="1" a="1"/>
  <c r="H1931" i="1" s="1"/>
  <c r="H1932" i="1" a="1"/>
  <c r="H1932" i="1"/>
  <c r="H1933" i="1" a="1"/>
  <c r="H1933" i="1" s="1"/>
  <c r="H1934" i="1" a="1"/>
  <c r="H1934" i="1" s="1"/>
  <c r="H1935" i="1" a="1"/>
  <c r="H1935" i="1" s="1"/>
  <c r="H1936" i="1" a="1"/>
  <c r="H1936" i="1" s="1"/>
  <c r="H1937" i="1" a="1"/>
  <c r="H1937" i="1" s="1"/>
  <c r="H1938" i="1" a="1"/>
  <c r="H1938" i="1" s="1"/>
  <c r="H1939" i="1" a="1"/>
  <c r="H1939" i="1" s="1"/>
  <c r="H1940" i="1" a="1"/>
  <c r="H1940" i="1" s="1"/>
  <c r="H1941" i="1" a="1"/>
  <c r="H1941" i="1" s="1"/>
  <c r="H1942" i="1" a="1"/>
  <c r="H1942" i="1" s="1"/>
  <c r="H1943" i="1" a="1"/>
  <c r="H1943" i="1" s="1"/>
  <c r="H1944" i="1" a="1"/>
  <c r="H1944" i="1"/>
  <c r="H1945" i="1" a="1"/>
  <c r="H1945" i="1" s="1"/>
  <c r="H1946" i="1" a="1"/>
  <c r="H1946" i="1" s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 s="1"/>
  <c r="H1952" i="1" a="1"/>
  <c r="H1952" i="1" s="1"/>
  <c r="H1953" i="1" a="1"/>
  <c r="H1953" i="1" s="1"/>
  <c r="H1954" i="1" a="1"/>
  <c r="H1954" i="1"/>
  <c r="H1955" i="1" a="1"/>
  <c r="H1955" i="1" s="1"/>
  <c r="H1956" i="1" a="1"/>
  <c r="H1956" i="1" s="1"/>
  <c r="H1957" i="1" a="1"/>
  <c r="H1957" i="1"/>
  <c r="H1958" i="1" a="1"/>
  <c r="H1958" i="1" s="1"/>
  <c r="H1959" i="1" a="1"/>
  <c r="H1959" i="1" s="1"/>
  <c r="H1960" i="1" a="1"/>
  <c r="H1960" i="1" s="1"/>
  <c r="H1961" i="1" a="1"/>
  <c r="H1961" i="1" s="1"/>
  <c r="H1962" i="1" a="1"/>
  <c r="H1962" i="1" s="1"/>
  <c r="H1963" i="1" a="1"/>
  <c r="H1963" i="1"/>
  <c r="H1964" i="1" a="1"/>
  <c r="H1964" i="1" s="1"/>
  <c r="H1965" i="1" a="1"/>
  <c r="H1965" i="1" s="1"/>
  <c r="H1966" i="1" a="1"/>
  <c r="H1966" i="1" s="1"/>
  <c r="H1967" i="1" a="1"/>
  <c r="H1967" i="1" s="1"/>
  <c r="H1968" i="1" a="1"/>
  <c r="H1968" i="1"/>
  <c r="H1969" i="1" a="1"/>
  <c r="H1969" i="1" s="1"/>
  <c r="H1970" i="1" a="1"/>
  <c r="H1970" i="1" s="1"/>
  <c r="H1971" i="1" a="1"/>
  <c r="H1971" i="1" s="1"/>
  <c r="H1972" i="1" a="1"/>
  <c r="H1972" i="1" s="1"/>
  <c r="H1973" i="1" a="1"/>
  <c r="H1973" i="1" s="1"/>
  <c r="H1974" i="1" a="1"/>
  <c r="H1974" i="1" s="1"/>
  <c r="H1975" i="1" a="1"/>
  <c r="H1975" i="1" s="1"/>
  <c r="H1976" i="1" a="1"/>
  <c r="H1976" i="1" s="1"/>
  <c r="H1977" i="1" a="1"/>
  <c r="H1977" i="1" s="1"/>
  <c r="H1978" i="1" a="1"/>
  <c r="H1978" i="1"/>
  <c r="H1979" i="1" a="1"/>
  <c r="H1979" i="1" s="1"/>
  <c r="H1980" i="1" a="1"/>
  <c r="H1980" i="1" s="1"/>
  <c r="H1981" i="1" a="1"/>
  <c r="H1981" i="1"/>
  <c r="H1982" i="1" a="1"/>
  <c r="H1982" i="1" s="1"/>
  <c r="H1983" i="1" a="1"/>
  <c r="H1983" i="1"/>
  <c r="H1984" i="1" a="1"/>
  <c r="H1984" i="1" s="1"/>
  <c r="H1985" i="1" a="1"/>
  <c r="H1985" i="1" s="1"/>
  <c r="H1986" i="1" a="1"/>
  <c r="H1986" i="1"/>
  <c r="H1987" i="1" a="1"/>
  <c r="H1987" i="1" s="1"/>
  <c r="H1988" i="1" a="1"/>
  <c r="H1988" i="1" s="1"/>
  <c r="H1989" i="1" a="1"/>
  <c r="H1989" i="1" s="1"/>
  <c r="H1990" i="1" a="1"/>
  <c r="H1990" i="1" s="1"/>
  <c r="H1991" i="1" a="1"/>
  <c r="H1991" i="1" s="1"/>
  <c r="H1992" i="1" a="1"/>
  <c r="H1992" i="1" s="1"/>
  <c r="H1993" i="1" a="1"/>
  <c r="H1993" i="1"/>
  <c r="H1994" i="1" a="1"/>
  <c r="H1994" i="1" s="1"/>
  <c r="H1995" i="1" a="1"/>
  <c r="H1995" i="1" s="1"/>
  <c r="H1996" i="1" a="1"/>
  <c r="H1996" i="1"/>
  <c r="H1997" i="1" a="1"/>
  <c r="H1997" i="1" s="1"/>
  <c r="H1998" i="1" a="1"/>
  <c r="H1998" i="1" s="1"/>
  <c r="H1999" i="1" a="1"/>
  <c r="H1999" i="1" s="1"/>
  <c r="H2000" i="1" a="1"/>
  <c r="H2000" i="1" s="1"/>
  <c r="H2001" i="1" a="1"/>
  <c r="H2001" i="1" s="1"/>
  <c r="H2002" i="1" a="1"/>
  <c r="H2002" i="1" s="1"/>
  <c r="H2003" i="1" a="1"/>
  <c r="H2003" i="1" s="1"/>
  <c r="H2004" i="1" a="1"/>
  <c r="H2004" i="1" s="1"/>
  <c r="H2005" i="1" a="1"/>
  <c r="H2005" i="1" s="1"/>
  <c r="H2006" i="1" a="1"/>
  <c r="H2006" i="1"/>
  <c r="H2007" i="1" a="1"/>
  <c r="H2007" i="1" s="1"/>
  <c r="H2008" i="1" a="1"/>
  <c r="H2008" i="1" s="1"/>
  <c r="H2009" i="1" a="1"/>
  <c r="H2009" i="1" s="1"/>
  <c r="H2010" i="1" a="1"/>
  <c r="H2010" i="1" s="1"/>
  <c r="H2011" i="1" a="1"/>
  <c r="H2011" i="1" s="1"/>
  <c r="H2012" i="1" a="1"/>
  <c r="H2012" i="1" s="1"/>
  <c r="H2013" i="1" a="1"/>
  <c r="H2013" i="1" s="1"/>
  <c r="H2014" i="1" a="1"/>
  <c r="H2014" i="1" s="1"/>
  <c r="H2015" i="1" a="1"/>
  <c r="H2015" i="1" s="1"/>
  <c r="H2016" i="1" a="1"/>
  <c r="H2016" i="1" s="1"/>
  <c r="H2017" i="1" a="1"/>
  <c r="H2017" i="1" s="1"/>
  <c r="H2018" i="1" a="1"/>
  <c r="H2018" i="1" s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 s="1"/>
  <c r="H2024" i="1" a="1"/>
  <c r="H2024" i="1" s="1"/>
  <c r="H2025" i="1" a="1"/>
  <c r="H2025" i="1" s="1"/>
  <c r="H2026" i="1" a="1"/>
  <c r="H2026" i="1" s="1"/>
  <c r="H2027" i="1" a="1"/>
  <c r="H2027" i="1" s="1"/>
  <c r="H2028" i="1" a="1"/>
  <c r="H2028" i="1" s="1"/>
  <c r="H2029" i="1" a="1"/>
  <c r="H2029" i="1" s="1"/>
  <c r="H2030" i="1" a="1"/>
  <c r="H2030" i="1" s="1"/>
  <c r="H2031" i="1" a="1"/>
  <c r="H2031" i="1" s="1"/>
  <c r="H2032" i="1" a="1"/>
  <c r="H2032" i="1" s="1"/>
  <c r="H2033" i="1" a="1"/>
  <c r="H2033" i="1" s="1"/>
  <c r="H2034" i="1" a="1"/>
  <c r="H2034" i="1" s="1"/>
  <c r="H2035" i="1" a="1"/>
  <c r="H2035" i="1" s="1"/>
  <c r="H2036" i="1" a="1"/>
  <c r="H2036" i="1" s="1"/>
  <c r="H2037" i="1" a="1"/>
  <c r="H2037" i="1" s="1"/>
  <c r="H2038" i="1" a="1"/>
  <c r="H2038" i="1" s="1"/>
  <c r="H2039" i="1" a="1"/>
  <c r="H2039" i="1" s="1"/>
  <c r="H2040" i="1" a="1"/>
  <c r="H2040" i="1" s="1"/>
  <c r="H2041" i="1" a="1"/>
  <c r="H2041" i="1" s="1"/>
  <c r="H2042" i="1" a="1"/>
  <c r="H2042" i="1" s="1"/>
  <c r="H2043" i="1" a="1"/>
  <c r="H2043" i="1" s="1"/>
  <c r="H2044" i="1" a="1"/>
  <c r="H2044" i="1" s="1"/>
  <c r="H2045" i="1" a="1"/>
  <c r="H2045" i="1" s="1"/>
  <c r="H2046" i="1" a="1"/>
  <c r="H2046" i="1" s="1"/>
  <c r="H2047" i="1" a="1"/>
  <c r="H2047" i="1" s="1"/>
  <c r="H2048" i="1" a="1"/>
  <c r="H2048" i="1"/>
  <c r="H2049" i="1" a="1"/>
  <c r="H2049" i="1" s="1"/>
  <c r="H2050" i="1" a="1"/>
  <c r="H2050" i="1" s="1"/>
  <c r="H2051" i="1" a="1"/>
  <c r="H2051" i="1" s="1"/>
  <c r="H2052" i="1" a="1"/>
  <c r="H2052" i="1" s="1"/>
  <c r="H2053" i="1" a="1"/>
  <c r="H2053" i="1" s="1"/>
  <c r="H2054" i="1" a="1"/>
  <c r="H2054" i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 s="1"/>
  <c r="H2060" i="1" a="1"/>
  <c r="H2060" i="1" s="1"/>
  <c r="H2061" i="1" a="1"/>
  <c r="H2061" i="1" s="1"/>
  <c r="H2062" i="1" a="1"/>
  <c r="H2062" i="1" s="1"/>
  <c r="H2063" i="1" a="1"/>
  <c r="H2063" i="1" s="1"/>
  <c r="H2064" i="1" a="1"/>
  <c r="H2064" i="1" s="1"/>
  <c r="H2065" i="1" a="1"/>
  <c r="H2065" i="1" s="1"/>
  <c r="H2066" i="1" a="1"/>
  <c r="H2066" i="1" s="1"/>
  <c r="H2067" i="1" a="1"/>
  <c r="H2067" i="1" s="1"/>
  <c r="H2068" i="1" a="1"/>
  <c r="H2068" i="1" s="1"/>
  <c r="H2069" i="1" a="1"/>
  <c r="H2069" i="1"/>
  <c r="H2070" i="1" a="1"/>
  <c r="H2070" i="1" s="1"/>
  <c r="H2071" i="1" a="1"/>
  <c r="H2071" i="1" s="1"/>
  <c r="H2072" i="1" a="1"/>
  <c r="H2072" i="1"/>
  <c r="H2073" i="1" a="1"/>
  <c r="H2073" i="1" s="1"/>
  <c r="H2074" i="1" a="1"/>
  <c r="H2074" i="1" s="1"/>
  <c r="H2075" i="1" a="1"/>
  <c r="H2075" i="1" s="1"/>
  <c r="H2076" i="1" a="1"/>
  <c r="H2076" i="1" s="1"/>
  <c r="H2077" i="1" a="1"/>
  <c r="H2077" i="1" s="1"/>
  <c r="H2078" i="1" a="1"/>
  <c r="H2078" i="1" s="1"/>
  <c r="H2079" i="1" a="1"/>
  <c r="H2079" i="1" s="1"/>
  <c r="H2080" i="1" a="1"/>
  <c r="H2080" i="1" s="1"/>
  <c r="H2081" i="1" a="1"/>
  <c r="H2081" i="1" s="1"/>
  <c r="H2082" i="1" a="1"/>
  <c r="H2082" i="1" s="1"/>
  <c r="H2083" i="1" a="1"/>
  <c r="H2083" i="1" s="1"/>
  <c r="H2084" i="1" a="1"/>
  <c r="H2084" i="1" s="1"/>
  <c r="H2085" i="1" a="1"/>
  <c r="H2085" i="1" s="1"/>
  <c r="H2086" i="1" a="1"/>
  <c r="H2086" i="1" s="1"/>
  <c r="H2087" i="1" a="1"/>
  <c r="H2087" i="1" s="1"/>
  <c r="H2088" i="1" a="1"/>
  <c r="H2088" i="1" s="1"/>
  <c r="H2089" i="1" a="1"/>
  <c r="H2089" i="1" s="1"/>
  <c r="H2090" i="1" a="1"/>
  <c r="H2090" i="1" s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 s="1"/>
  <c r="H2096" i="1" a="1"/>
  <c r="H2096" i="1" s="1"/>
  <c r="H2097" i="1" a="1"/>
  <c r="H2097" i="1" s="1"/>
  <c r="H2098" i="1" a="1"/>
  <c r="H2098" i="1"/>
  <c r="H2099" i="1" a="1"/>
  <c r="H2099" i="1" s="1"/>
  <c r="H2100" i="1" a="1"/>
  <c r="H2100" i="1" s="1"/>
  <c r="H2101" i="1" a="1"/>
  <c r="H2101" i="1" s="1"/>
  <c r="H2102" i="1" a="1"/>
  <c r="H2102" i="1" s="1"/>
  <c r="H2103" i="1" a="1"/>
  <c r="H2103" i="1" s="1"/>
  <c r="H2104" i="1" a="1"/>
  <c r="H2104" i="1" s="1"/>
  <c r="H2105" i="1" a="1"/>
  <c r="H2105" i="1" s="1"/>
  <c r="H2106" i="1" a="1"/>
  <c r="H2106" i="1" s="1"/>
  <c r="H2107" i="1" a="1"/>
  <c r="H2107" i="1" s="1"/>
  <c r="H2108" i="1" a="1"/>
  <c r="H2108" i="1"/>
  <c r="H2109" i="1" a="1"/>
  <c r="H2109" i="1" s="1"/>
  <c r="H2110" i="1" a="1"/>
  <c r="H2110" i="1" s="1"/>
  <c r="H2111" i="1" a="1"/>
  <c r="H2111" i="1"/>
  <c r="H2112" i="1" a="1"/>
  <c r="H2112" i="1" s="1"/>
  <c r="H2113" i="1" a="1"/>
  <c r="H2113" i="1" s="1"/>
  <c r="H2114" i="1" a="1"/>
  <c r="H2114" i="1" s="1"/>
  <c r="H2115" i="1" a="1"/>
  <c r="H2115" i="1" s="1"/>
  <c r="H2116" i="1" a="1"/>
  <c r="H2116" i="1" s="1"/>
  <c r="H2117" i="1" a="1"/>
  <c r="H2117" i="1" s="1"/>
  <c r="H2118" i="1" a="1"/>
  <c r="H2118" i="1" s="1"/>
  <c r="H2119" i="1" a="1"/>
  <c r="H2119" i="1" s="1"/>
  <c r="H2120" i="1" a="1"/>
  <c r="H2120" i="1" s="1"/>
  <c r="H2121" i="1" a="1"/>
  <c r="H2121" i="1" s="1"/>
  <c r="H2122" i="1" a="1"/>
  <c r="H2122" i="1" s="1"/>
  <c r="H2123" i="1" a="1"/>
  <c r="H2123" i="1" s="1"/>
  <c r="H2124" i="1" a="1"/>
  <c r="H2124" i="1" s="1"/>
  <c r="H2125" i="1" a="1"/>
  <c r="H2125" i="1" s="1"/>
  <c r="H2126" i="1" a="1"/>
  <c r="H2126" i="1" s="1"/>
  <c r="H2127" i="1" a="1"/>
  <c r="H2127" i="1" s="1"/>
  <c r="H2128" i="1" a="1"/>
  <c r="H2128" i="1" s="1"/>
  <c r="H2129" i="1" a="1"/>
  <c r="H2129" i="1"/>
  <c r="H2130" i="1" a="1"/>
  <c r="H2130" i="1" s="1"/>
  <c r="H2131" i="1" a="1"/>
  <c r="H2131" i="1"/>
  <c r="H2132" i="1" a="1"/>
  <c r="H2132" i="1" s="1"/>
  <c r="H2133" i="1" a="1"/>
  <c r="H2133" i="1"/>
  <c r="H2134" i="1" a="1"/>
  <c r="H2134" i="1" s="1"/>
  <c r="H2135" i="1" a="1"/>
  <c r="H2135" i="1" s="1"/>
  <c r="H2136" i="1" a="1"/>
  <c r="H2136" i="1"/>
  <c r="H2137" i="1" a="1"/>
  <c r="H2137" i="1" s="1"/>
  <c r="H2138" i="1" a="1"/>
  <c r="H2138" i="1" s="1"/>
  <c r="H2139" i="1" a="1"/>
  <c r="H2139" i="1" s="1"/>
  <c r="H2140" i="1" a="1"/>
  <c r="H2140" i="1" s="1"/>
  <c r="H2141" i="1" a="1"/>
  <c r="H2141" i="1" s="1"/>
  <c r="H2142" i="1" a="1"/>
  <c r="H2142" i="1" s="1"/>
  <c r="H2143" i="1" a="1"/>
  <c r="H2143" i="1" s="1"/>
  <c r="H2144" i="1" a="1"/>
  <c r="H2144" i="1"/>
  <c r="H2145" i="1" a="1"/>
  <c r="H2145" i="1" s="1"/>
  <c r="H2146" i="1" a="1"/>
  <c r="H2146" i="1"/>
  <c r="H2147" i="1" a="1"/>
  <c r="H2147" i="1" s="1"/>
  <c r="H2148" i="1" a="1"/>
  <c r="H2148" i="1" s="1"/>
  <c r="H2149" i="1" a="1"/>
  <c r="H2149" i="1" s="1"/>
  <c r="H2150" i="1" a="1"/>
  <c r="H2150" i="1" s="1"/>
  <c r="H2151" i="1" a="1"/>
  <c r="H2151" i="1" s="1"/>
  <c r="H2152" i="1" a="1"/>
  <c r="H2152" i="1" s="1"/>
  <c r="H2153" i="1" a="1"/>
  <c r="H2153" i="1" s="1"/>
  <c r="H2154" i="1" a="1"/>
  <c r="H2154" i="1"/>
  <c r="H2155" i="1" a="1"/>
  <c r="H2155" i="1" s="1"/>
  <c r="H2156" i="1" a="1"/>
  <c r="H2156" i="1" s="1"/>
  <c r="H2157" i="1" a="1"/>
  <c r="H2157" i="1"/>
  <c r="H2158" i="1" a="1"/>
  <c r="H2158" i="1" s="1"/>
  <c r="H2159" i="1" a="1"/>
  <c r="H2159" i="1" s="1"/>
  <c r="H2160" i="1" a="1"/>
  <c r="H2160" i="1" s="1"/>
  <c r="H2161" i="1" a="1"/>
  <c r="H2161" i="1" s="1"/>
  <c r="H2162" i="1" a="1"/>
  <c r="H2162" i="1" s="1"/>
  <c r="H2163" i="1" a="1"/>
  <c r="H2163" i="1"/>
  <c r="H2164" i="1" a="1"/>
  <c r="H2164" i="1" s="1"/>
  <c r="H2165" i="1" a="1"/>
  <c r="H2165" i="1" s="1"/>
  <c r="H2166" i="1" a="1"/>
  <c r="H2166" i="1" s="1"/>
  <c r="H2167" i="1" a="1"/>
  <c r="H2167" i="1" s="1"/>
  <c r="H2168" i="1" a="1"/>
  <c r="H2168" i="1" s="1"/>
  <c r="H2169" i="1" a="1"/>
  <c r="H2169" i="1" s="1"/>
  <c r="H2170" i="1" a="1"/>
  <c r="H2170" i="1" s="1"/>
  <c r="H2171" i="1" a="1"/>
  <c r="H2171" i="1" s="1"/>
  <c r="H2172" i="1" a="1"/>
  <c r="H2172" i="1" s="1"/>
  <c r="H2173" i="1" a="1"/>
  <c r="H2173" i="1" s="1"/>
  <c r="H2174" i="1" a="1"/>
  <c r="H2174" i="1" s="1"/>
  <c r="H2175" i="1" a="1"/>
  <c r="H2175" i="1" s="1"/>
  <c r="H2176" i="1" a="1"/>
  <c r="H2176" i="1" s="1"/>
  <c r="H2177" i="1" a="1"/>
  <c r="H2177" i="1" s="1"/>
  <c r="H2178" i="1" a="1"/>
  <c r="H2178" i="1"/>
  <c r="H2179" i="1" a="1"/>
  <c r="H2179" i="1" s="1"/>
  <c r="H2180" i="1" a="1"/>
  <c r="H2180" i="1" s="1"/>
  <c r="H2181" i="1" a="1"/>
  <c r="H2181" i="1"/>
  <c r="H2182" i="1" a="1"/>
  <c r="H2182" i="1" s="1"/>
  <c r="H2183" i="1" a="1"/>
  <c r="H2183" i="1"/>
  <c r="H2184" i="1" a="1"/>
  <c r="H2184" i="1" s="1"/>
  <c r="H2185" i="1" a="1"/>
  <c r="H2185" i="1" s="1"/>
  <c r="H2186" i="1" a="1"/>
  <c r="H2186" i="1"/>
  <c r="H2187" i="1" a="1"/>
  <c r="H2187" i="1" s="1"/>
  <c r="H2188" i="1" a="1"/>
  <c r="H2188" i="1"/>
  <c r="H2189" i="1" a="1"/>
  <c r="H2189" i="1" s="1"/>
  <c r="H2190" i="1" a="1"/>
  <c r="H2190" i="1" s="1"/>
  <c r="H2191" i="1" a="1"/>
  <c r="H2191" i="1" s="1"/>
  <c r="H2192" i="1" a="1"/>
  <c r="H2192" i="1"/>
  <c r="H2193" i="1" a="1"/>
  <c r="H2193" i="1" s="1"/>
  <c r="H2194" i="1" a="1"/>
  <c r="H2194" i="1"/>
  <c r="H2195" i="1" a="1"/>
  <c r="H2195" i="1" s="1"/>
  <c r="H2196" i="1" a="1"/>
  <c r="H2196" i="1" s="1"/>
  <c r="H2197" i="1" a="1"/>
  <c r="H2197" i="1" s="1"/>
  <c r="H2198" i="1" a="1"/>
  <c r="H2198" i="1" s="1"/>
  <c r="H2199" i="1" a="1"/>
  <c r="H2199" i="1" s="1"/>
  <c r="H2200" i="1" a="1"/>
  <c r="H2200" i="1" s="1"/>
  <c r="H2201" i="1" a="1"/>
  <c r="H2201" i="1" s="1"/>
  <c r="H2202" i="1" a="1"/>
  <c r="H2202" i="1" s="1"/>
  <c r="H2203" i="1" a="1"/>
  <c r="H2203" i="1" s="1"/>
  <c r="H2204" i="1" a="1"/>
  <c r="H2204" i="1" s="1"/>
  <c r="H2205" i="1" a="1"/>
  <c r="H2205" i="1" s="1"/>
  <c r="H2206" i="1" a="1"/>
  <c r="H2206" i="1" s="1"/>
  <c r="H2207" i="1" a="1"/>
  <c r="H2207" i="1"/>
  <c r="H2208" i="1" a="1"/>
  <c r="H2208" i="1" s="1"/>
  <c r="H2209" i="1" a="1"/>
  <c r="H2209" i="1" s="1"/>
  <c r="H2210" i="1" a="1"/>
  <c r="H2210" i="1"/>
  <c r="H2211" i="1" a="1"/>
  <c r="H2211" i="1" s="1"/>
  <c r="H2212" i="1" a="1"/>
  <c r="H2212" i="1"/>
  <c r="H2213" i="1" a="1"/>
  <c r="H2213" i="1" s="1"/>
  <c r="H2214" i="1" a="1"/>
  <c r="H2214" i="1" s="1"/>
  <c r="H2215" i="1" a="1"/>
  <c r="H2215" i="1"/>
  <c r="H2216" i="1" a="1"/>
  <c r="H2216" i="1" s="1"/>
  <c r="H2217" i="1" a="1"/>
  <c r="H2217" i="1"/>
  <c r="H2218" i="1" a="1"/>
  <c r="H2218" i="1" s="1"/>
  <c r="H2219" i="1" a="1"/>
  <c r="H2219" i="1" s="1"/>
  <c r="H2220" i="1" a="1"/>
  <c r="H2220" i="1"/>
  <c r="H2221" i="1" a="1"/>
  <c r="H2221" i="1" s="1"/>
  <c r="H2222" i="1" a="1"/>
  <c r="H2222" i="1"/>
  <c r="H2223" i="1" a="1"/>
  <c r="H2223" i="1" s="1"/>
  <c r="H2224" i="1" a="1"/>
  <c r="H2224" i="1" s="1"/>
  <c r="H2225" i="1" a="1"/>
  <c r="H2225" i="1"/>
  <c r="H2226" i="1" a="1"/>
  <c r="H2226" i="1" s="1"/>
  <c r="H2227" i="1" a="1"/>
  <c r="H2227" i="1"/>
  <c r="H2228" i="1" a="1"/>
  <c r="H2228" i="1" s="1"/>
  <c r="H2229" i="1" a="1"/>
  <c r="H2229" i="1" s="1"/>
  <c r="H2230" i="1" a="1"/>
  <c r="H2230" i="1"/>
  <c r="H2231" i="1" a="1"/>
  <c r="H2231" i="1" s="1"/>
  <c r="H2232" i="1" a="1"/>
  <c r="H2232" i="1"/>
  <c r="H2233" i="1" a="1"/>
  <c r="H2233" i="1" s="1"/>
  <c r="H2234" i="1" a="1"/>
  <c r="H2234" i="1" s="1"/>
  <c r="H2235" i="1" a="1"/>
  <c r="H2235" i="1"/>
  <c r="H2236" i="1" a="1"/>
  <c r="H2236" i="1" s="1"/>
  <c r="H2237" i="1" a="1"/>
  <c r="H2237" i="1"/>
  <c r="H2238" i="1" a="1"/>
  <c r="H2238" i="1" s="1"/>
  <c r="H2239" i="1" a="1"/>
  <c r="H2239" i="1" s="1"/>
  <c r="H2240" i="1" a="1"/>
  <c r="H2240" i="1"/>
  <c r="H2241" i="1" a="1"/>
  <c r="H2241" i="1" s="1"/>
  <c r="H2242" i="1" a="1"/>
  <c r="H2242" i="1"/>
  <c r="H2243" i="1" a="1"/>
  <c r="H2243" i="1" s="1"/>
  <c r="H2244" i="1" a="1"/>
  <c r="H2244" i="1" s="1"/>
  <c r="H2245" i="1" a="1"/>
  <c r="H2245" i="1"/>
  <c r="H2246" i="1" a="1"/>
  <c r="H2246" i="1" s="1"/>
  <c r="H2247" i="1" a="1"/>
  <c r="H2247" i="1"/>
  <c r="H2248" i="1" a="1"/>
  <c r="H2248" i="1" s="1"/>
  <c r="H2249" i="1" a="1"/>
  <c r="H2249" i="1" s="1"/>
  <c r="H2250" i="1" a="1"/>
  <c r="H2250" i="1"/>
  <c r="H2251" i="1" a="1"/>
  <c r="H2251" i="1" s="1"/>
  <c r="H2252" i="1" a="1"/>
  <c r="H2252" i="1"/>
  <c r="H2253" i="1" a="1"/>
  <c r="H2253" i="1" s="1"/>
  <c r="H2254" i="1" a="1"/>
  <c r="H2254" i="1" s="1"/>
  <c r="H2255" i="1" a="1"/>
  <c r="H2255" i="1"/>
  <c r="H2256" i="1" a="1"/>
  <c r="H2256" i="1" s="1"/>
  <c r="H2257" i="1" a="1"/>
  <c r="H2257" i="1"/>
  <c r="H2258" i="1" a="1"/>
  <c r="H2258" i="1" s="1"/>
  <c r="H2259" i="1" a="1"/>
  <c r="H2259" i="1" s="1"/>
  <c r="H2260" i="1" a="1"/>
  <c r="H2260" i="1"/>
  <c r="H2261" i="1" a="1"/>
  <c r="H2261" i="1" s="1"/>
  <c r="H2262" i="1" a="1"/>
  <c r="H2262" i="1"/>
  <c r="H2263" i="1" a="1"/>
  <c r="H2263" i="1" s="1"/>
  <c r="H2264" i="1" a="1"/>
  <c r="H2264" i="1" s="1"/>
  <c r="H2265" i="1" a="1"/>
  <c r="H2265" i="1"/>
  <c r="H2266" i="1" a="1"/>
  <c r="H2266" i="1" s="1"/>
  <c r="H2267" i="1" a="1"/>
  <c r="H2267" i="1"/>
  <c r="H2268" i="1" a="1"/>
  <c r="H2268" i="1" s="1"/>
  <c r="H2269" i="1" a="1"/>
  <c r="H2269" i="1" s="1"/>
  <c r="H2270" i="1" a="1"/>
  <c r="H2270" i="1"/>
  <c r="H2271" i="1" a="1"/>
  <c r="H2271" i="1" s="1"/>
  <c r="H2272" i="1" a="1"/>
  <c r="H2272" i="1"/>
  <c r="H2273" i="1" a="1"/>
  <c r="H2273" i="1" s="1"/>
  <c r="H2274" i="1" a="1"/>
  <c r="H2274" i="1" s="1"/>
  <c r="H2275" i="1" a="1"/>
  <c r="H2275" i="1"/>
  <c r="H2276" i="1" a="1"/>
  <c r="H2276" i="1" s="1"/>
  <c r="H2277" i="1" a="1"/>
  <c r="H2277" i="1"/>
  <c r="H2278" i="1" a="1"/>
  <c r="H2278" i="1" s="1"/>
  <c r="H2279" i="1" a="1"/>
  <c r="H2279" i="1" s="1"/>
  <c r="H2280" i="1" a="1"/>
  <c r="H2280" i="1"/>
  <c r="H2281" i="1" a="1"/>
  <c r="H2281" i="1" s="1"/>
  <c r="H2282" i="1" a="1"/>
  <c r="H2282" i="1"/>
  <c r="H2283" i="1" a="1"/>
  <c r="H2283" i="1" s="1"/>
  <c r="H2284" i="1" a="1"/>
  <c r="H2284" i="1" s="1"/>
  <c r="H2285" i="1" a="1"/>
  <c r="H2285" i="1"/>
  <c r="H2286" i="1" a="1"/>
  <c r="H2286" i="1" s="1"/>
  <c r="H2287" i="1" a="1"/>
  <c r="H2287" i="1"/>
  <c r="H2288" i="1" a="1"/>
  <c r="H2288" i="1" s="1"/>
  <c r="H2289" i="1" a="1"/>
  <c r="H2289" i="1" s="1"/>
  <c r="H2290" i="1" a="1"/>
  <c r="H2290" i="1"/>
  <c r="H2291" i="1" a="1"/>
  <c r="H2291" i="1" s="1"/>
  <c r="H2292" i="1" a="1"/>
  <c r="H2292" i="1"/>
  <c r="H2293" i="1" a="1"/>
  <c r="H2293" i="1" s="1"/>
  <c r="H2294" i="1" a="1"/>
  <c r="H2294" i="1" s="1"/>
  <c r="H2295" i="1" a="1"/>
  <c r="H2295" i="1"/>
  <c r="H2296" i="1" a="1"/>
  <c r="H2296" i="1" s="1"/>
  <c r="H2297" i="1" a="1"/>
  <c r="H2297" i="1"/>
  <c r="H2298" i="1" a="1"/>
  <c r="H2298" i="1" s="1"/>
  <c r="H2299" i="1" a="1"/>
  <c r="H2299" i="1" s="1"/>
  <c r="H2300" i="1" a="1"/>
  <c r="H2300" i="1"/>
  <c r="H2301" i="1" a="1"/>
  <c r="H2301" i="1" s="1"/>
  <c r="H2302" i="1" a="1"/>
  <c r="H2302" i="1"/>
  <c r="H2303" i="1" a="1"/>
  <c r="H2303" i="1" s="1"/>
  <c r="H2304" i="1" a="1"/>
  <c r="H2304" i="1" s="1"/>
  <c r="H2305" i="1" a="1"/>
  <c r="H2305" i="1"/>
  <c r="H2306" i="1" a="1"/>
  <c r="H2306" i="1" s="1"/>
  <c r="H2307" i="1" a="1"/>
  <c r="H2307" i="1"/>
  <c r="H2308" i="1" a="1"/>
  <c r="H2308" i="1" s="1"/>
  <c r="H2309" i="1" a="1"/>
  <c r="H2309" i="1" s="1"/>
  <c r="H2310" i="1" a="1"/>
  <c r="H2310" i="1"/>
  <c r="H2311" i="1" a="1"/>
  <c r="H2311" i="1" s="1"/>
  <c r="H2312" i="1" a="1"/>
  <c r="H2312" i="1"/>
  <c r="H2313" i="1" a="1"/>
  <c r="H2313" i="1" s="1"/>
  <c r="H2314" i="1" a="1"/>
  <c r="H2314" i="1" s="1"/>
  <c r="H2315" i="1" a="1"/>
  <c r="H2315" i="1"/>
  <c r="H2316" i="1" a="1"/>
  <c r="H2316" i="1" s="1"/>
  <c r="H2317" i="1" a="1"/>
  <c r="H2317" i="1"/>
  <c r="H2318" i="1" a="1"/>
  <c r="H2318" i="1" s="1"/>
  <c r="H2319" i="1" a="1"/>
  <c r="H2319" i="1" s="1"/>
  <c r="H2320" i="1" a="1"/>
  <c r="H2320" i="1"/>
  <c r="H2321" i="1" a="1"/>
  <c r="H2321" i="1" s="1"/>
  <c r="H2322" i="1" a="1"/>
  <c r="H2322" i="1"/>
  <c r="H2323" i="1" a="1"/>
  <c r="H2323" i="1" s="1"/>
  <c r="H2324" i="1" a="1"/>
  <c r="H2324" i="1" s="1"/>
  <c r="H2325" i="1" a="1"/>
  <c r="H2325" i="1"/>
  <c r="H2326" i="1" a="1"/>
  <c r="H2326" i="1" s="1"/>
  <c r="H2327" i="1" a="1"/>
  <c r="H2327" i="1"/>
  <c r="H2328" i="1" a="1"/>
  <c r="H2328" i="1" s="1"/>
  <c r="H2329" i="1" a="1"/>
  <c r="H2329" i="1" s="1"/>
  <c r="H2330" i="1" a="1"/>
  <c r="H2330" i="1"/>
  <c r="H2331" i="1" a="1"/>
  <c r="H2331" i="1" s="1"/>
  <c r="H2332" i="1" a="1"/>
  <c r="H2332" i="1"/>
  <c r="H2333" i="1" a="1"/>
  <c r="H2333" i="1" s="1"/>
  <c r="H2334" i="1" a="1"/>
  <c r="H2334" i="1" s="1"/>
  <c r="H2335" i="1" a="1"/>
  <c r="H2335" i="1"/>
  <c r="H2336" i="1" a="1"/>
  <c r="H2336" i="1" s="1"/>
  <c r="H2337" i="1" a="1"/>
  <c r="H2337" i="1"/>
  <c r="H2338" i="1" a="1"/>
  <c r="H2338" i="1" s="1"/>
  <c r="H2339" i="1" a="1"/>
  <c r="H2339" i="1" s="1"/>
  <c r="H2340" i="1" a="1"/>
  <c r="H2340" i="1"/>
  <c r="H2341" i="1" a="1"/>
  <c r="H2341" i="1" s="1"/>
  <c r="H2342" i="1" a="1"/>
  <c r="H2342" i="1"/>
  <c r="H2343" i="1" a="1"/>
  <c r="H2343" i="1" s="1"/>
  <c r="D2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8" i="15"/>
  <c r="D7" i="15"/>
  <c r="D5" i="15"/>
  <c r="D4" i="15"/>
  <c r="D3" i="15"/>
  <c r="E5" i="15"/>
  <c r="E10" i="15"/>
  <c r="E3" i="15"/>
  <c r="E4" i="15"/>
  <c r="E11" i="15"/>
  <c r="E8" i="15"/>
  <c r="E12" i="15"/>
  <c r="E9" i="15"/>
  <c r="E13" i="15"/>
  <c r="E6" i="15"/>
  <c r="E2" i="15"/>
  <c r="E7" i="15"/>
  <c r="D11" i="15" l="1"/>
  <c r="D9" i="15"/>
  <c r="D10" i="15"/>
  <c r="D6" i="15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<sst xmlns="http://schemas.openxmlformats.org/spreadsheetml/2006/main" count="18185" uniqueCount="49">
  <si>
    <t>date</t>
  </si>
  <si>
    <t>visitors</t>
  </si>
  <si>
    <t>pageviews</t>
  </si>
  <si>
    <t>sessions</t>
  </si>
  <si>
    <t>bounced_sessions</t>
  </si>
  <si>
    <t>avg_session_duration_secs</t>
  </si>
  <si>
    <t>event_type</t>
  </si>
  <si>
    <t>website_content</t>
  </si>
  <si>
    <t>mobile_visitors</t>
  </si>
  <si>
    <t>Regular Day</t>
  </si>
  <si>
    <t>Grammy Awards</t>
  </si>
  <si>
    <t>year</t>
  </si>
  <si>
    <t>website version</t>
  </si>
  <si>
    <t>group</t>
  </si>
  <si>
    <t>CTA clicked</t>
  </si>
  <si>
    <t>websites combined</t>
  </si>
  <si>
    <t>control</t>
  </si>
  <si>
    <t>websites split</t>
  </si>
  <si>
    <t>test</t>
  </si>
  <si>
    <t>Question</t>
  </si>
  <si>
    <t>Value</t>
  </si>
  <si>
    <t>Tolerance</t>
  </si>
  <si>
    <t>student-solution</t>
  </si>
  <si>
    <t>student-formula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</si>
  <si>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</si>
  <si>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</si>
  <si>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</si>
  <si>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</si>
  <si>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</si>
  <si>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</si>
  <si>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</si>
  <si>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</si>
  <si>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</si>
  <si>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7b</t>
  </si>
  <si>
    <t>LevelUp4</t>
  </si>
  <si>
    <t>LevelUp5</t>
  </si>
  <si>
    <t>1b</t>
  </si>
  <si>
    <t>free response</t>
  </si>
  <si>
    <t>2b</t>
  </si>
  <si>
    <t>4d</t>
  </si>
  <si>
    <t>6d</t>
  </si>
  <si>
    <t>7c</t>
  </si>
  <si>
    <t>8a</t>
  </si>
  <si>
    <t>8b</t>
  </si>
  <si>
    <t>8c</t>
  </si>
  <si>
    <t>LevelUp1</t>
  </si>
  <si>
    <t>LevelUp2</t>
  </si>
  <si>
    <t>LevelUp6</t>
  </si>
  <si>
    <t>LevelUp7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</si>
</sst>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2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43" applyAlignment="1">
      <alignment vertical="center"/>
    </xf>
    <xf numFmtId="0" fontId="1" fillId="0" borderId="0" xfId="43"/>
    <xf numFmtId="0" fontId="19" fillId="14" borderId="0" xfId="23" applyFont="1" applyAlignment="1">
      <alignment wrapText="1"/>
    </xf>
    <xf numFmtId="0" fontId="20" fillId="33" borderId="0" xfId="0" applyFont="1" applyFill="1"/>
    <xf numFmtId="0" fontId="20" fillId="13" borderId="0" xfId="22" applyFont="1" applyAlignment="1">
      <alignment wrapText="1"/>
    </xf>
    <xf numFmtId="0" fontId="21" fillId="0" borderId="0" xfId="0" applyFont="1"/>
    <xf numFmtId="0" fontId="0" fillId="33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5784847-EB35-0F40-8267-B881941BD50B}"/>
    <cellStyle name="Normal 2 2" xfId="43" xr:uid="{B0F57022-88D3-E742-9E7C-1411A11CBD7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numFmt numFmtId="164" formatCode="m/d/yy"/>
    </dxf>
    <dxf>
      <numFmt numFmtId="164" formatCode="m/d/yy"/>
    </dxf>
    <dxf>
      <numFmt numFmtId="0" formatCode="General"/>
    </dxf>
    <dxf>
      <numFmt numFmtId="0" formatCode="General"/>
    </dxf>
    <dxf>
      <numFmt numFmtId="164" formatCode="m/d/yy"/>
    </dxf>
    <dxf>
      <font>
        <b val="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3E8F3"/>
      <color rgb="FF98DA74"/>
      <color rgb="FFFCF3B3"/>
      <color rgb="FF71D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Grammys" displayName="Grammys" ref="A1:I2343" totalsRowShown="0" headerRowDxfId="8">
  <autoFilter ref="A1:I2343" xr:uid="{00000000-0009-0000-0100-000001000000}"/>
  <tableColumns count="9">
    <tableColumn id="1" xr3:uid="{00000000-0010-0000-0100-000001000000}" name="date" dataDxfId="7"/>
    <tableColumn id="2" xr3:uid="{00000000-0010-0000-0100-000002000000}" name="visitors"/>
    <tableColumn id="3" xr3:uid="{00000000-0010-0000-0100-000003000000}" name="pageviews"/>
    <tableColumn id="4" xr3:uid="{00000000-0010-0000-0100-000004000000}" name="sessions"/>
    <tableColumn id="5" xr3:uid="{00000000-0010-0000-0100-000005000000}" name="bounced_sessions"/>
    <tableColumn id="6" xr3:uid="{00000000-0010-0000-0100-000006000000}" name="avg_session_duration_secs"/>
    <tableColumn id="11" xr3:uid="{DE205666-61AF-2342-9F29-33F8BC21BAA9}" name="event_type"/>
    <tableColumn id="10" xr3:uid="{3A997D6D-B5B2-A347-B03F-337299CD4BB6}" name="website_content" dataDxfId="6">
      <calculatedColumnFormula array="1">_xlfn.IFS(Grammys[[#This Row],[date]] &gt;= DATE(2022,2,1),"Grammys",TRUE,"Grammys TRA")</calculatedColumnFormula>
    </tableColumn>
    <tableColumn id="14" xr3:uid="{AC78FC70-0882-C040-AD9E-A3D856CB9C86}" name="mobile_visitors" dataDxfId="5">
      <calculatedColumnFormula>_xlfn.XLOOKUP(Grammys[[#This Row],[date]],mobile_visits[date],mobile_visits[mobile_visitors],0)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080C28-F79D-0A4A-A3D0-B99E252B6C18}" name="mobile_visits" displayName="mobile_visits" ref="O1:P516" totalsRowShown="0">
  <autoFilter ref="O1:P516" xr:uid="{C3080C28-F79D-0A4A-A3D0-B99E252B6C18}"/>
  <tableColumns count="2">
    <tableColumn id="1" xr3:uid="{EC53E6C1-1ADE-FD4A-A0E7-1AE686D24C06}" name="date" dataDxfId="4"/>
    <tableColumn id="2" xr3:uid="{8DB74293-DBF0-564A-BAB8-C62EF5D77D1F}" name="mobile_visitor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RA" displayName="TRA" ref="A1:G486" totalsRowShown="0">
  <autoFilter ref="A1:G486" xr:uid="{00000000-0009-0000-0100-000002000000}"/>
  <tableColumns count="7">
    <tableColumn id="1" xr3:uid="{00000000-0010-0000-0200-000001000000}" name="date" dataDxfId="3"/>
    <tableColumn id="9" xr3:uid="{ABD538BA-FD6F-2E44-80B1-1FE9B22C2FD7}" name="year" dataDxfId="2">
      <calculatedColumnFormula>YEAR(TRA[[#This Row],[date]])</calculatedColumnFormula>
    </tableColumn>
    <tableColumn id="2" xr3:uid="{00000000-0010-0000-0200-000002000000}" name="visitors"/>
    <tableColumn id="3" xr3:uid="{00000000-0010-0000-0200-000003000000}" name="pageviews"/>
    <tableColumn id="4" xr3:uid="{00000000-0010-0000-0200-000004000000}" name="sessions"/>
    <tableColumn id="5" xr3:uid="{00000000-0010-0000-0200-000005000000}" name="bounced_sessions"/>
    <tableColumn id="6" xr3:uid="{00000000-0010-0000-0200-000006000000}" name="avg_session_duration_sec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D35578-AA55-8B49-B781-E15C94F21989}" name="ABTest" displayName="ABTest" ref="C1:E7897" totalsRowShown="0" headerRowDxfId="1">
  <autoFilter ref="C1:E7897" xr:uid="{8DD35578-AA55-8B49-B781-E15C94F21989}"/>
  <tableColumns count="3">
    <tableColumn id="3" xr3:uid="{92D5925D-EFF7-5F46-A0D0-2FA1BC228FF8}" name="website version" dataDxfId="0"/>
    <tableColumn id="1" xr3:uid="{ABAB12FB-CB4C-FD48-8E8F-D4BF8D667538}" name="group"/>
    <tableColumn id="2" xr3:uid="{EC37803D-D5D1-3A4A-A140-93820B409971}" name="CTA clicked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343"/>
  <sheetViews>
    <sheetView tabSelected="1" zoomScaleNormal="100" workbookViewId="0">
      <selection activeCell="J10" sqref="J10"/>
    </sheetView>
  </sheetViews>
  <sheetFormatPr defaultColWidth="11" defaultRowHeight="15.95"/>
  <cols>
    <col min="3" max="3" width="12.375" customWidth="1"/>
    <col min="5" max="5" width="18.125" customWidth="1"/>
    <col min="6" max="6" width="25.875" customWidth="1"/>
    <col min="7" max="7" width="14.625" customWidth="1"/>
    <col min="8" max="8" width="17.375" bestFit="1" customWidth="1"/>
    <col min="9" max="9" width="16.375" bestFit="1" customWidth="1"/>
    <col min="11" max="11" width="14.625" bestFit="1" customWidth="1"/>
    <col min="12" max="12" width="16.5" bestFit="1" customWidth="1"/>
    <col min="13" max="13" width="16.125" bestFit="1" customWidth="1"/>
    <col min="14" max="14" width="14.25" bestFit="1" customWidth="1"/>
    <col min="16" max="16" width="16.375" bestFit="1" customWidth="1"/>
  </cols>
  <sheetData>
    <row r="1" spans="1:16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9" t="s">
        <v>7</v>
      </c>
      <c r="I1" s="9" t="s">
        <v>8</v>
      </c>
      <c r="O1" t="s">
        <v>0</v>
      </c>
      <c r="P1" t="s">
        <v>8</v>
      </c>
    </row>
    <row r="2" spans="1:16">
      <c r="A2" s="1">
        <v>42736</v>
      </c>
      <c r="B2">
        <v>9611</v>
      </c>
      <c r="C2">
        <v>21407</v>
      </c>
      <c r="D2">
        <v>10196</v>
      </c>
      <c r="E2">
        <v>6490</v>
      </c>
      <c r="F2">
        <v>86</v>
      </c>
      <c r="G2" t="s">
        <v>9</v>
      </c>
      <c r="H2" t="str" cm="1">
        <f t="array" ref="H2">_xlfn.IFS(Grammys[[#This Row],[date]] &gt;= DATE(2022,2,1),"Grammys",TRUE,"Grammys TRA")</f>
        <v>Grammys TRA</v>
      </c>
      <c r="I2">
        <f>_xlfn.XLOOKUP(Grammys[[#This Row],[date]],mobile_visits[date],mobile_visits[mobile_visitors],0)</f>
        <v>0</v>
      </c>
      <c r="O2" s="1">
        <v>44593</v>
      </c>
      <c r="P2">
        <v>23014</v>
      </c>
    </row>
    <row r="3" spans="1:16">
      <c r="A3" s="1">
        <v>42737</v>
      </c>
      <c r="B3">
        <v>10752</v>
      </c>
      <c r="C3">
        <v>25658</v>
      </c>
      <c r="D3">
        <v>11350</v>
      </c>
      <c r="E3">
        <v>7055</v>
      </c>
      <c r="F3">
        <v>100</v>
      </c>
      <c r="G3" t="s">
        <v>9</v>
      </c>
      <c r="H3" t="str" cm="1">
        <f t="array" ref="H3">_xlfn.IFS(Grammys[[#This Row],[date]] &gt;= DATE(2022,2,1),"Grammys",TRUE,"Grammys TRA")</f>
        <v>Grammys TRA</v>
      </c>
      <c r="I3">
        <f>_xlfn.XLOOKUP(Grammys[[#This Row],[date]],mobile_visits[date],mobile_visits[mobile_visitors],0)</f>
        <v>0</v>
      </c>
      <c r="O3" s="1">
        <v>44594</v>
      </c>
      <c r="P3">
        <v>19951</v>
      </c>
    </row>
    <row r="4" spans="1:16" ht="15.75">
      <c r="A4" s="1">
        <v>42738</v>
      </c>
      <c r="B4">
        <v>11425</v>
      </c>
      <c r="C4">
        <v>27062</v>
      </c>
      <c r="D4">
        <v>12215</v>
      </c>
      <c r="E4">
        <v>7569</v>
      </c>
      <c r="F4">
        <v>92</v>
      </c>
      <c r="G4" t="s">
        <v>9</v>
      </c>
      <c r="H4" t="str" cm="1">
        <f t="array" ref="H4">_xlfn.IFS(Grammys[[#This Row],[date]] &gt;= DATE(2022,2,1),"Grammys",TRUE,"Grammys TRA")</f>
        <v>Grammys TRA</v>
      </c>
      <c r="I4">
        <f>_xlfn.XLOOKUP(Grammys[[#This Row],[date]],mobile_visits[date],mobile_visits[mobile_visitors],0)</f>
        <v>0</v>
      </c>
      <c r="M4" s="8"/>
      <c r="O4" s="1">
        <v>44595</v>
      </c>
      <c r="P4">
        <v>21567</v>
      </c>
    </row>
    <row r="5" spans="1:16" ht="15.75">
      <c r="A5" s="1">
        <v>42739</v>
      </c>
      <c r="B5">
        <v>13098</v>
      </c>
      <c r="C5">
        <v>29189</v>
      </c>
      <c r="D5">
        <v>13852</v>
      </c>
      <c r="E5">
        <v>8929</v>
      </c>
      <c r="F5">
        <v>90</v>
      </c>
      <c r="G5" t="s">
        <v>9</v>
      </c>
      <c r="H5" t="str" cm="1">
        <f t="array" ref="H5">_xlfn.IFS(Grammys[[#This Row],[date]] &gt;= DATE(2022,2,1),"Grammys",TRUE,"Grammys TRA")</f>
        <v>Grammys TRA</v>
      </c>
      <c r="I5">
        <f>_xlfn.XLOOKUP(Grammys[[#This Row],[date]],mobile_visits[date],mobile_visits[mobile_visitors],0)</f>
        <v>0</v>
      </c>
      <c r="M5" s="8"/>
      <c r="O5" s="1">
        <v>44596</v>
      </c>
      <c r="P5">
        <v>18362</v>
      </c>
    </row>
    <row r="6" spans="1:16" ht="15.75">
      <c r="A6" s="1">
        <v>42740</v>
      </c>
      <c r="B6">
        <v>12234</v>
      </c>
      <c r="C6">
        <v>28288</v>
      </c>
      <c r="D6">
        <v>12990</v>
      </c>
      <c r="E6">
        <v>8105</v>
      </c>
      <c r="F6">
        <v>95</v>
      </c>
      <c r="G6" t="s">
        <v>9</v>
      </c>
      <c r="H6" t="str" cm="1">
        <f t="array" ref="H6">_xlfn.IFS(Grammys[[#This Row],[date]] &gt;= DATE(2022,2,1),"Grammys",TRUE,"Grammys TRA")</f>
        <v>Grammys TRA</v>
      </c>
      <c r="I6">
        <f>_xlfn.XLOOKUP(Grammys[[#This Row],[date]],mobile_visits[date],mobile_visits[mobile_visitors],0)</f>
        <v>0</v>
      </c>
      <c r="M6" s="8"/>
      <c r="O6" s="1">
        <v>44597</v>
      </c>
      <c r="P6">
        <v>12590</v>
      </c>
    </row>
    <row r="7" spans="1:16">
      <c r="A7" s="1">
        <v>42741</v>
      </c>
      <c r="B7">
        <v>11461</v>
      </c>
      <c r="C7">
        <v>28022</v>
      </c>
      <c r="D7">
        <v>12309</v>
      </c>
      <c r="E7">
        <v>7500</v>
      </c>
      <c r="F7">
        <v>95</v>
      </c>
      <c r="G7" t="s">
        <v>9</v>
      </c>
      <c r="H7" t="str" cm="1">
        <f t="array" ref="H7">_xlfn.IFS(Grammys[[#This Row],[date]] &gt;= DATE(2022,2,1),"Grammys",TRUE,"Grammys TRA")</f>
        <v>Grammys TRA</v>
      </c>
      <c r="I7">
        <f>_xlfn.XLOOKUP(Grammys[[#This Row],[date]],mobile_visits[date],mobile_visits[mobile_visitors],0)</f>
        <v>0</v>
      </c>
      <c r="O7" s="1">
        <v>44598</v>
      </c>
      <c r="P7">
        <v>12316</v>
      </c>
    </row>
    <row r="8" spans="1:16">
      <c r="A8" s="1">
        <v>42742</v>
      </c>
      <c r="B8">
        <v>11183</v>
      </c>
      <c r="C8">
        <v>27491</v>
      </c>
      <c r="D8">
        <v>11993</v>
      </c>
      <c r="E8">
        <v>7287</v>
      </c>
      <c r="F8">
        <v>94</v>
      </c>
      <c r="G8" t="s">
        <v>9</v>
      </c>
      <c r="H8" t="str" cm="1">
        <f t="array" ref="H8">_xlfn.IFS(Grammys[[#This Row],[date]] &gt;= DATE(2022,2,1),"Grammys",TRUE,"Grammys TRA")</f>
        <v>Grammys TRA</v>
      </c>
      <c r="I8">
        <f>_xlfn.XLOOKUP(Grammys[[#This Row],[date]],mobile_visits[date],mobile_visits[mobile_visitors],0)</f>
        <v>0</v>
      </c>
      <c r="O8" s="1">
        <v>44599</v>
      </c>
      <c r="P8">
        <v>10416</v>
      </c>
    </row>
    <row r="9" spans="1:16">
      <c r="A9" s="1">
        <v>42743</v>
      </c>
      <c r="B9">
        <v>16265</v>
      </c>
      <c r="C9">
        <v>38529</v>
      </c>
      <c r="D9">
        <v>17361</v>
      </c>
      <c r="E9">
        <v>10587</v>
      </c>
      <c r="F9">
        <v>84</v>
      </c>
      <c r="G9" t="s">
        <v>9</v>
      </c>
      <c r="H9" t="str" cm="1">
        <f t="array" ref="H9">_xlfn.IFS(Grammys[[#This Row],[date]] &gt;= DATE(2022,2,1),"Grammys",TRUE,"Grammys TRA")</f>
        <v>Grammys TRA</v>
      </c>
      <c r="I9">
        <f>_xlfn.XLOOKUP(Grammys[[#This Row],[date]],mobile_visits[date],mobile_visits[mobile_visitors],0)</f>
        <v>0</v>
      </c>
      <c r="O9" s="1">
        <v>44600</v>
      </c>
      <c r="P9">
        <v>19299</v>
      </c>
    </row>
    <row r="10" spans="1:16" ht="15.75">
      <c r="A10" s="1">
        <v>42744</v>
      </c>
      <c r="B10">
        <v>17852</v>
      </c>
      <c r="C10">
        <v>40698</v>
      </c>
      <c r="D10">
        <v>18914</v>
      </c>
      <c r="E10">
        <v>11697</v>
      </c>
      <c r="F10">
        <v>87</v>
      </c>
      <c r="G10" t="s">
        <v>9</v>
      </c>
      <c r="H10" t="str" cm="1">
        <f t="array" ref="H10">_xlfn.IFS(Grammys[[#This Row],[date]] &gt;= DATE(2022,2,1),"Grammys",TRUE,"Grammys TRA")</f>
        <v>Grammys TRA</v>
      </c>
      <c r="I10">
        <f>_xlfn.XLOOKUP(Grammys[[#This Row],[date]],mobile_visits[date],mobile_visits[mobile_visitors],0)</f>
        <v>0</v>
      </c>
      <c r="O10" s="1">
        <v>44601</v>
      </c>
      <c r="P10">
        <v>16050</v>
      </c>
    </row>
    <row r="11" spans="1:16" ht="15.75">
      <c r="A11" s="1">
        <v>42745</v>
      </c>
      <c r="B11">
        <v>14211</v>
      </c>
      <c r="C11">
        <v>33218</v>
      </c>
      <c r="D11">
        <v>15124</v>
      </c>
      <c r="E11">
        <v>9270</v>
      </c>
      <c r="F11">
        <v>96</v>
      </c>
      <c r="G11" t="s">
        <v>9</v>
      </c>
      <c r="H11" t="str" cm="1">
        <f t="array" ref="H11">_xlfn.IFS(Grammys[[#This Row],[date]] &gt;= DATE(2022,2,1),"Grammys",TRUE,"Grammys TRA")</f>
        <v>Grammys TRA</v>
      </c>
      <c r="I11">
        <f>_xlfn.XLOOKUP(Grammys[[#This Row],[date]],mobile_visits[date],mobile_visits[mobile_visitors],0)</f>
        <v>0</v>
      </c>
      <c r="K11" s="8"/>
      <c r="O11" s="1">
        <v>44602</v>
      </c>
      <c r="P11">
        <v>13590</v>
      </c>
    </row>
    <row r="12" spans="1:16">
      <c r="A12" s="1">
        <v>42746</v>
      </c>
      <c r="B12">
        <v>13456</v>
      </c>
      <c r="C12">
        <v>30704</v>
      </c>
      <c r="D12">
        <v>14397</v>
      </c>
      <c r="E12">
        <v>8922</v>
      </c>
      <c r="F12">
        <v>99</v>
      </c>
      <c r="G12" t="s">
        <v>9</v>
      </c>
      <c r="H12" t="str" cm="1">
        <f t="array" ref="H12">_xlfn.IFS(Grammys[[#This Row],[date]] &gt;= DATE(2022,2,1),"Grammys",TRUE,"Grammys TRA")</f>
        <v>Grammys TRA</v>
      </c>
      <c r="I12">
        <f>_xlfn.XLOOKUP(Grammys[[#This Row],[date]],mobile_visits[date],mobile_visits[mobile_visitors],0)</f>
        <v>0</v>
      </c>
      <c r="O12" s="1">
        <v>44603</v>
      </c>
      <c r="P12">
        <v>13393</v>
      </c>
    </row>
    <row r="13" spans="1:16">
      <c r="A13" s="1">
        <v>42747</v>
      </c>
      <c r="B13">
        <v>13616</v>
      </c>
      <c r="C13">
        <v>31559</v>
      </c>
      <c r="D13">
        <v>14613</v>
      </c>
      <c r="E13">
        <v>9227</v>
      </c>
      <c r="F13">
        <v>98</v>
      </c>
      <c r="G13" t="s">
        <v>9</v>
      </c>
      <c r="H13" t="str" cm="1">
        <f t="array" ref="H13">_xlfn.IFS(Grammys[[#This Row],[date]] &gt;= DATE(2022,2,1),"Grammys",TRUE,"Grammys TRA")</f>
        <v>Grammys TRA</v>
      </c>
      <c r="I13">
        <f>_xlfn.XLOOKUP(Grammys[[#This Row],[date]],mobile_visits[date],mobile_visits[mobile_visitors],0)</f>
        <v>0</v>
      </c>
      <c r="O13" s="1">
        <v>44604</v>
      </c>
      <c r="P13">
        <v>13824</v>
      </c>
    </row>
    <row r="14" spans="1:16">
      <c r="A14" s="1">
        <v>42748</v>
      </c>
      <c r="B14">
        <v>11880</v>
      </c>
      <c r="C14">
        <v>27526</v>
      </c>
      <c r="D14">
        <v>12805</v>
      </c>
      <c r="E14">
        <v>8148</v>
      </c>
      <c r="F14">
        <v>97</v>
      </c>
      <c r="G14" t="s">
        <v>9</v>
      </c>
      <c r="H14" t="str" cm="1">
        <f t="array" ref="H14">_xlfn.IFS(Grammys[[#This Row],[date]] &gt;= DATE(2022,2,1),"Grammys",TRUE,"Grammys TRA")</f>
        <v>Grammys TRA</v>
      </c>
      <c r="I14">
        <f>_xlfn.XLOOKUP(Grammys[[#This Row],[date]],mobile_visits[date],mobile_visits[mobile_visitors],0)</f>
        <v>0</v>
      </c>
      <c r="O14" s="1">
        <v>44605</v>
      </c>
      <c r="P14">
        <v>15704</v>
      </c>
    </row>
    <row r="15" spans="1:16">
      <c r="A15" s="1">
        <v>42749</v>
      </c>
      <c r="B15">
        <v>11888</v>
      </c>
      <c r="C15">
        <v>27940</v>
      </c>
      <c r="D15">
        <v>12608</v>
      </c>
      <c r="E15">
        <v>7804</v>
      </c>
      <c r="F15">
        <v>93</v>
      </c>
      <c r="G15" t="s">
        <v>9</v>
      </c>
      <c r="H15" t="str" cm="1">
        <f t="array" ref="H15">_xlfn.IFS(Grammys[[#This Row],[date]] &gt;= DATE(2022,2,1),"Grammys",TRUE,"Grammys TRA")</f>
        <v>Grammys TRA</v>
      </c>
      <c r="I15">
        <f>_xlfn.XLOOKUP(Grammys[[#This Row],[date]],mobile_visits[date],mobile_visits[mobile_visitors],0)</f>
        <v>0</v>
      </c>
      <c r="O15" s="1">
        <v>44606</v>
      </c>
      <c r="P15">
        <v>9362</v>
      </c>
    </row>
    <row r="16" spans="1:16">
      <c r="A16" s="1">
        <v>42750</v>
      </c>
      <c r="B16">
        <v>12706</v>
      </c>
      <c r="C16">
        <v>29109</v>
      </c>
      <c r="D16">
        <v>13416</v>
      </c>
      <c r="E16">
        <v>8349</v>
      </c>
      <c r="F16">
        <v>96</v>
      </c>
      <c r="G16" t="s">
        <v>9</v>
      </c>
      <c r="H16" t="str" cm="1">
        <f t="array" ref="H16">_xlfn.IFS(Grammys[[#This Row],[date]] &gt;= DATE(2022,2,1),"Grammys",TRUE,"Grammys TRA")</f>
        <v>Grammys TRA</v>
      </c>
      <c r="I16">
        <f>_xlfn.XLOOKUP(Grammys[[#This Row],[date]],mobile_visits[date],mobile_visits[mobile_visitors],0)</f>
        <v>0</v>
      </c>
      <c r="O16" s="1">
        <v>44607</v>
      </c>
      <c r="P16">
        <v>9596</v>
      </c>
    </row>
    <row r="17" spans="1:16">
      <c r="A17" s="1">
        <v>42751</v>
      </c>
      <c r="B17">
        <v>12691</v>
      </c>
      <c r="C17">
        <v>30284</v>
      </c>
      <c r="D17">
        <v>13525</v>
      </c>
      <c r="E17">
        <v>8282</v>
      </c>
      <c r="F17">
        <v>100</v>
      </c>
      <c r="G17" t="s">
        <v>9</v>
      </c>
      <c r="H17" t="str" cm="1">
        <f t="array" ref="H17">_xlfn.IFS(Grammys[[#This Row],[date]] &gt;= DATE(2022,2,1),"Grammys",TRUE,"Grammys TRA")</f>
        <v>Grammys TRA</v>
      </c>
      <c r="I17">
        <f>_xlfn.XLOOKUP(Grammys[[#This Row],[date]],mobile_visits[date],mobile_visits[mobile_visitors],0)</f>
        <v>0</v>
      </c>
      <c r="O17" s="1">
        <v>44608</v>
      </c>
      <c r="P17">
        <v>11132</v>
      </c>
    </row>
    <row r="18" spans="1:16">
      <c r="A18" s="1">
        <v>42752</v>
      </c>
      <c r="B18">
        <v>13260</v>
      </c>
      <c r="C18">
        <v>33596</v>
      </c>
      <c r="D18">
        <v>14260</v>
      </c>
      <c r="E18">
        <v>8514</v>
      </c>
      <c r="F18">
        <v>121</v>
      </c>
      <c r="G18" t="s">
        <v>9</v>
      </c>
      <c r="H18" t="str" cm="1">
        <f t="array" ref="H18">_xlfn.IFS(Grammys[[#This Row],[date]] &gt;= DATE(2022,2,1),"Grammys",TRUE,"Grammys TRA")</f>
        <v>Grammys TRA</v>
      </c>
      <c r="I18">
        <f>_xlfn.XLOOKUP(Grammys[[#This Row],[date]],mobile_visits[date],mobile_visits[mobile_visitors],0)</f>
        <v>0</v>
      </c>
      <c r="O18" s="1">
        <v>44609</v>
      </c>
      <c r="P18">
        <v>10821</v>
      </c>
    </row>
    <row r="19" spans="1:16">
      <c r="A19" s="1">
        <v>42753</v>
      </c>
      <c r="B19">
        <v>14483</v>
      </c>
      <c r="C19">
        <v>36586</v>
      </c>
      <c r="D19">
        <v>15809</v>
      </c>
      <c r="E19">
        <v>9494</v>
      </c>
      <c r="F19">
        <v>117</v>
      </c>
      <c r="G19" t="s">
        <v>9</v>
      </c>
      <c r="H19" t="str" cm="1">
        <f t="array" ref="H19">_xlfn.IFS(Grammys[[#This Row],[date]] &gt;= DATE(2022,2,1),"Grammys",TRUE,"Grammys TRA")</f>
        <v>Grammys TRA</v>
      </c>
      <c r="I19">
        <f>_xlfn.XLOOKUP(Grammys[[#This Row],[date]],mobile_visits[date],mobile_visits[mobile_visitors],0)</f>
        <v>0</v>
      </c>
      <c r="O19" s="1">
        <v>44610</v>
      </c>
      <c r="P19">
        <v>8344</v>
      </c>
    </row>
    <row r="20" spans="1:16">
      <c r="A20" s="1">
        <v>42754</v>
      </c>
      <c r="B20">
        <v>13551</v>
      </c>
      <c r="C20">
        <v>31964</v>
      </c>
      <c r="D20">
        <v>14694</v>
      </c>
      <c r="E20">
        <v>9118</v>
      </c>
      <c r="F20">
        <v>104</v>
      </c>
      <c r="G20" t="s">
        <v>9</v>
      </c>
      <c r="H20" t="str" cm="1">
        <f t="array" ref="H20">_xlfn.IFS(Grammys[[#This Row],[date]] &gt;= DATE(2022,2,1),"Grammys",TRUE,"Grammys TRA")</f>
        <v>Grammys TRA</v>
      </c>
      <c r="I20">
        <f>_xlfn.XLOOKUP(Grammys[[#This Row],[date]],mobile_visits[date],mobile_visits[mobile_visitors],0)</f>
        <v>0</v>
      </c>
      <c r="O20" s="1">
        <v>44611</v>
      </c>
      <c r="P20">
        <v>9054</v>
      </c>
    </row>
    <row r="21" spans="1:16">
      <c r="A21" s="1">
        <v>42755</v>
      </c>
      <c r="B21">
        <v>13215</v>
      </c>
      <c r="C21">
        <v>32339</v>
      </c>
      <c r="D21">
        <v>14083</v>
      </c>
      <c r="E21">
        <v>8609</v>
      </c>
      <c r="F21">
        <v>99</v>
      </c>
      <c r="G21" t="s">
        <v>9</v>
      </c>
      <c r="H21" t="str" cm="1">
        <f t="array" ref="H21">_xlfn.IFS(Grammys[[#This Row],[date]] &gt;= DATE(2022,2,1),"Grammys",TRUE,"Grammys TRA")</f>
        <v>Grammys TRA</v>
      </c>
      <c r="I21">
        <f>_xlfn.XLOOKUP(Grammys[[#This Row],[date]],mobile_visits[date],mobile_visits[mobile_visitors],0)</f>
        <v>0</v>
      </c>
      <c r="O21" s="1">
        <v>44612</v>
      </c>
      <c r="P21">
        <v>10781</v>
      </c>
    </row>
    <row r="22" spans="1:16">
      <c r="A22" s="1">
        <v>42756</v>
      </c>
      <c r="B22">
        <v>12578</v>
      </c>
      <c r="C22">
        <v>32504</v>
      </c>
      <c r="D22">
        <v>13725</v>
      </c>
      <c r="E22">
        <v>8135</v>
      </c>
      <c r="F22">
        <v>101</v>
      </c>
      <c r="G22" t="s">
        <v>9</v>
      </c>
      <c r="H22" t="str" cm="1">
        <f t="array" ref="H22">_xlfn.IFS(Grammys[[#This Row],[date]] &gt;= DATE(2022,2,1),"Grammys",TRUE,"Grammys TRA")</f>
        <v>Grammys TRA</v>
      </c>
      <c r="I22">
        <f>_xlfn.XLOOKUP(Grammys[[#This Row],[date]],mobile_visits[date],mobile_visits[mobile_visitors],0)</f>
        <v>0</v>
      </c>
      <c r="O22" s="1">
        <v>44613</v>
      </c>
      <c r="P22">
        <v>8657</v>
      </c>
    </row>
    <row r="23" spans="1:16">
      <c r="A23" s="1">
        <v>42757</v>
      </c>
      <c r="B23">
        <v>16502</v>
      </c>
      <c r="C23">
        <v>42656</v>
      </c>
      <c r="D23">
        <v>17814</v>
      </c>
      <c r="E23">
        <v>10570</v>
      </c>
      <c r="F23">
        <v>93</v>
      </c>
      <c r="G23" t="s">
        <v>9</v>
      </c>
      <c r="H23" t="str" cm="1">
        <f t="array" ref="H23">_xlfn.IFS(Grammys[[#This Row],[date]] &gt;= DATE(2022,2,1),"Grammys",TRUE,"Grammys TRA")</f>
        <v>Grammys TRA</v>
      </c>
      <c r="I23">
        <f>_xlfn.XLOOKUP(Grammys[[#This Row],[date]],mobile_visits[date],mobile_visits[mobile_visitors],0)</f>
        <v>0</v>
      </c>
      <c r="O23" s="1">
        <v>44614</v>
      </c>
      <c r="P23">
        <v>9721</v>
      </c>
    </row>
    <row r="24" spans="1:16">
      <c r="A24" s="1">
        <v>42758</v>
      </c>
      <c r="B24">
        <v>14620</v>
      </c>
      <c r="C24">
        <v>35936</v>
      </c>
      <c r="D24">
        <v>15755</v>
      </c>
      <c r="E24">
        <v>9463</v>
      </c>
      <c r="F24">
        <v>106</v>
      </c>
      <c r="G24" t="s">
        <v>9</v>
      </c>
      <c r="H24" t="str" cm="1">
        <f t="array" ref="H24">_xlfn.IFS(Grammys[[#This Row],[date]] &gt;= DATE(2022,2,1),"Grammys",TRUE,"Grammys TRA")</f>
        <v>Grammys TRA</v>
      </c>
      <c r="I24">
        <f>_xlfn.XLOOKUP(Grammys[[#This Row],[date]],mobile_visits[date],mobile_visits[mobile_visitors],0)</f>
        <v>0</v>
      </c>
      <c r="O24" s="1">
        <v>44615</v>
      </c>
      <c r="P24">
        <v>9813</v>
      </c>
    </row>
    <row r="25" spans="1:16">
      <c r="A25" s="1">
        <v>42759</v>
      </c>
      <c r="B25">
        <v>17787</v>
      </c>
      <c r="C25">
        <v>43392</v>
      </c>
      <c r="D25">
        <v>19070</v>
      </c>
      <c r="E25">
        <v>11845</v>
      </c>
      <c r="F25">
        <v>106</v>
      </c>
      <c r="G25" t="s">
        <v>9</v>
      </c>
      <c r="H25" t="str" cm="1">
        <f t="array" ref="H25">_xlfn.IFS(Grammys[[#This Row],[date]] &gt;= DATE(2022,2,1),"Grammys",TRUE,"Grammys TRA")</f>
        <v>Grammys TRA</v>
      </c>
      <c r="I25">
        <f>_xlfn.XLOOKUP(Grammys[[#This Row],[date]],mobile_visits[date],mobile_visits[mobile_visitors],0)</f>
        <v>0</v>
      </c>
      <c r="O25" s="1">
        <v>44616</v>
      </c>
      <c r="P25">
        <v>8065</v>
      </c>
    </row>
    <row r="26" spans="1:16">
      <c r="A26" s="1">
        <v>42760</v>
      </c>
      <c r="B26">
        <v>15447</v>
      </c>
      <c r="C26">
        <v>38741</v>
      </c>
      <c r="D26">
        <v>16650</v>
      </c>
      <c r="E26">
        <v>10094</v>
      </c>
      <c r="F26">
        <v>112</v>
      </c>
      <c r="G26" t="s">
        <v>9</v>
      </c>
      <c r="H26" t="str" cm="1">
        <f t="array" ref="H26">_xlfn.IFS(Grammys[[#This Row],[date]] &gt;= DATE(2022,2,1),"Grammys",TRUE,"Grammys TRA")</f>
        <v>Grammys TRA</v>
      </c>
      <c r="I26">
        <f>_xlfn.XLOOKUP(Grammys[[#This Row],[date]],mobile_visits[date],mobile_visits[mobile_visitors],0)</f>
        <v>0</v>
      </c>
      <c r="O26" s="1">
        <v>44617</v>
      </c>
      <c r="P26">
        <v>14550</v>
      </c>
    </row>
    <row r="27" spans="1:16">
      <c r="A27" s="1">
        <v>42761</v>
      </c>
      <c r="B27">
        <v>15211</v>
      </c>
      <c r="C27">
        <v>35885</v>
      </c>
      <c r="D27">
        <v>16507</v>
      </c>
      <c r="E27">
        <v>10184</v>
      </c>
      <c r="F27">
        <v>111</v>
      </c>
      <c r="G27" t="s">
        <v>9</v>
      </c>
      <c r="H27" t="str" cm="1">
        <f t="array" ref="H27">_xlfn.IFS(Grammys[[#This Row],[date]] &gt;= DATE(2022,2,1),"Grammys",TRUE,"Grammys TRA")</f>
        <v>Grammys TRA</v>
      </c>
      <c r="I27">
        <f>_xlfn.XLOOKUP(Grammys[[#This Row],[date]],mobile_visits[date],mobile_visits[mobile_visitors],0)</f>
        <v>0</v>
      </c>
      <c r="O27" s="1">
        <v>44618</v>
      </c>
      <c r="P27">
        <v>11505</v>
      </c>
    </row>
    <row r="28" spans="1:16">
      <c r="A28" s="1">
        <v>42762</v>
      </c>
      <c r="B28">
        <v>14007</v>
      </c>
      <c r="C28">
        <v>32563</v>
      </c>
      <c r="D28">
        <v>15147</v>
      </c>
      <c r="E28">
        <v>9337</v>
      </c>
      <c r="F28">
        <v>104</v>
      </c>
      <c r="G28" t="s">
        <v>9</v>
      </c>
      <c r="H28" t="str" cm="1">
        <f t="array" ref="H28">_xlfn.IFS(Grammys[[#This Row],[date]] &gt;= DATE(2022,2,1),"Grammys",TRUE,"Grammys TRA")</f>
        <v>Grammys TRA</v>
      </c>
      <c r="I28">
        <f>_xlfn.XLOOKUP(Grammys[[#This Row],[date]],mobile_visits[date],mobile_visits[mobile_visitors],0)</f>
        <v>0</v>
      </c>
      <c r="O28" s="1">
        <v>44619</v>
      </c>
      <c r="P28">
        <v>9702</v>
      </c>
    </row>
    <row r="29" spans="1:16">
      <c r="A29" s="1">
        <v>42763</v>
      </c>
      <c r="B29">
        <v>12950</v>
      </c>
      <c r="C29">
        <v>30170</v>
      </c>
      <c r="D29">
        <v>13920</v>
      </c>
      <c r="E29">
        <v>8861</v>
      </c>
      <c r="F29">
        <v>101</v>
      </c>
      <c r="G29" t="s">
        <v>9</v>
      </c>
      <c r="H29" t="str" cm="1">
        <f t="array" ref="H29">_xlfn.IFS(Grammys[[#This Row],[date]] &gt;= DATE(2022,2,1),"Grammys",TRUE,"Grammys TRA")</f>
        <v>Grammys TRA</v>
      </c>
      <c r="I29">
        <f>_xlfn.XLOOKUP(Grammys[[#This Row],[date]],mobile_visits[date],mobile_visits[mobile_visitors],0)</f>
        <v>0</v>
      </c>
      <c r="O29" s="1">
        <v>44620</v>
      </c>
      <c r="P29">
        <v>9113</v>
      </c>
    </row>
    <row r="30" spans="1:16">
      <c r="A30" s="1">
        <v>42764</v>
      </c>
      <c r="B30">
        <v>16137</v>
      </c>
      <c r="C30">
        <v>35206</v>
      </c>
      <c r="D30">
        <v>17316</v>
      </c>
      <c r="E30">
        <v>11180</v>
      </c>
      <c r="F30">
        <v>91</v>
      </c>
      <c r="G30" t="s">
        <v>9</v>
      </c>
      <c r="H30" t="str" cm="1">
        <f t="array" ref="H30">_xlfn.IFS(Grammys[[#This Row],[date]] &gt;= DATE(2022,2,1),"Grammys",TRUE,"Grammys TRA")</f>
        <v>Grammys TRA</v>
      </c>
      <c r="I30">
        <f>_xlfn.XLOOKUP(Grammys[[#This Row],[date]],mobile_visits[date],mobile_visits[mobile_visitors],0)</f>
        <v>0</v>
      </c>
      <c r="O30" s="1">
        <v>44621</v>
      </c>
      <c r="P30">
        <v>7336</v>
      </c>
    </row>
    <row r="31" spans="1:16">
      <c r="A31" s="1">
        <v>42765</v>
      </c>
      <c r="B31">
        <v>18765</v>
      </c>
      <c r="C31">
        <v>45298</v>
      </c>
      <c r="D31">
        <v>20142</v>
      </c>
      <c r="E31">
        <v>12442</v>
      </c>
      <c r="F31">
        <v>105</v>
      </c>
      <c r="G31" t="s">
        <v>9</v>
      </c>
      <c r="H31" t="str" cm="1">
        <f t="array" ref="H31">_xlfn.IFS(Grammys[[#This Row],[date]] &gt;= DATE(2022,2,1),"Grammys",TRUE,"Grammys TRA")</f>
        <v>Grammys TRA</v>
      </c>
      <c r="I31">
        <f>_xlfn.XLOOKUP(Grammys[[#This Row],[date]],mobile_visits[date],mobile_visits[mobile_visitors],0)</f>
        <v>0</v>
      </c>
      <c r="O31" s="1">
        <v>44622</v>
      </c>
      <c r="P31">
        <v>7905</v>
      </c>
    </row>
    <row r="32" spans="1:16">
      <c r="A32" s="1">
        <v>42766</v>
      </c>
      <c r="B32">
        <v>35148</v>
      </c>
      <c r="C32">
        <v>89209</v>
      </c>
      <c r="D32">
        <v>38493</v>
      </c>
      <c r="E32">
        <v>24474</v>
      </c>
      <c r="F32">
        <v>104</v>
      </c>
      <c r="G32" t="s">
        <v>9</v>
      </c>
      <c r="H32" t="str" cm="1">
        <f t="array" ref="H32">_xlfn.IFS(Grammys[[#This Row],[date]] &gt;= DATE(2022,2,1),"Grammys",TRUE,"Grammys TRA")</f>
        <v>Grammys TRA</v>
      </c>
      <c r="I32">
        <f>_xlfn.XLOOKUP(Grammys[[#This Row],[date]],mobile_visits[date],mobile_visits[mobile_visitors],0)</f>
        <v>0</v>
      </c>
      <c r="O32" s="1">
        <v>44623</v>
      </c>
      <c r="P32">
        <v>9374</v>
      </c>
    </row>
    <row r="33" spans="1:16">
      <c r="A33" s="1">
        <v>42767</v>
      </c>
      <c r="B33">
        <v>28565</v>
      </c>
      <c r="C33">
        <v>69292</v>
      </c>
      <c r="D33">
        <v>31107</v>
      </c>
      <c r="E33">
        <v>19408</v>
      </c>
      <c r="F33">
        <v>98</v>
      </c>
      <c r="G33" t="s">
        <v>9</v>
      </c>
      <c r="H33" t="str" cm="1">
        <f t="array" ref="H33">_xlfn.IFS(Grammys[[#This Row],[date]] &gt;= DATE(2022,2,1),"Grammys",TRUE,"Grammys TRA")</f>
        <v>Grammys TRA</v>
      </c>
      <c r="I33">
        <f>_xlfn.XLOOKUP(Grammys[[#This Row],[date]],mobile_visits[date],mobile_visits[mobile_visitors],0)</f>
        <v>0</v>
      </c>
      <c r="O33" s="1">
        <v>44624</v>
      </c>
      <c r="P33">
        <v>10977</v>
      </c>
    </row>
    <row r="34" spans="1:16">
      <c r="A34" s="1">
        <v>42768</v>
      </c>
      <c r="B34">
        <v>27502</v>
      </c>
      <c r="C34">
        <v>63795</v>
      </c>
      <c r="D34">
        <v>29756</v>
      </c>
      <c r="E34">
        <v>18955</v>
      </c>
      <c r="F34">
        <v>92</v>
      </c>
      <c r="G34" t="s">
        <v>9</v>
      </c>
      <c r="H34" t="str" cm="1">
        <f t="array" ref="H34">_xlfn.IFS(Grammys[[#This Row],[date]] &gt;= DATE(2022,2,1),"Grammys",TRUE,"Grammys TRA")</f>
        <v>Grammys TRA</v>
      </c>
      <c r="I34">
        <f>_xlfn.XLOOKUP(Grammys[[#This Row],[date]],mobile_visits[date],mobile_visits[mobile_visitors],0)</f>
        <v>0</v>
      </c>
      <c r="O34" s="1">
        <v>44625</v>
      </c>
      <c r="P34">
        <v>10404</v>
      </c>
    </row>
    <row r="35" spans="1:16">
      <c r="A35" s="1">
        <v>42769</v>
      </c>
      <c r="B35">
        <v>22888</v>
      </c>
      <c r="C35">
        <v>54418</v>
      </c>
      <c r="D35">
        <v>24902</v>
      </c>
      <c r="E35">
        <v>15676</v>
      </c>
      <c r="F35">
        <v>102</v>
      </c>
      <c r="G35" t="s">
        <v>9</v>
      </c>
      <c r="H35" t="str" cm="1">
        <f t="array" ref="H35">_xlfn.IFS(Grammys[[#This Row],[date]] &gt;= DATE(2022,2,1),"Grammys",TRUE,"Grammys TRA")</f>
        <v>Grammys TRA</v>
      </c>
      <c r="I35">
        <f>_xlfn.XLOOKUP(Grammys[[#This Row],[date]],mobile_visits[date],mobile_visits[mobile_visitors],0)</f>
        <v>0</v>
      </c>
      <c r="O35" s="1">
        <v>44626</v>
      </c>
      <c r="P35">
        <v>9655</v>
      </c>
    </row>
    <row r="36" spans="1:16">
      <c r="A36" s="1">
        <v>42770</v>
      </c>
      <c r="B36">
        <v>25069</v>
      </c>
      <c r="C36">
        <v>69341</v>
      </c>
      <c r="D36">
        <v>27585</v>
      </c>
      <c r="E36">
        <v>16849</v>
      </c>
      <c r="F36">
        <v>95</v>
      </c>
      <c r="G36" t="s">
        <v>9</v>
      </c>
      <c r="H36" t="str" cm="1">
        <f t="array" ref="H36">_xlfn.IFS(Grammys[[#This Row],[date]] &gt;= DATE(2022,2,1),"Grammys",TRUE,"Grammys TRA")</f>
        <v>Grammys TRA</v>
      </c>
      <c r="I36">
        <f>_xlfn.XLOOKUP(Grammys[[#This Row],[date]],mobile_visits[date],mobile_visits[mobile_visitors],0)</f>
        <v>0</v>
      </c>
      <c r="O36" s="1">
        <v>44627</v>
      </c>
      <c r="P36">
        <v>9351</v>
      </c>
    </row>
    <row r="37" spans="1:16">
      <c r="A37" s="1">
        <v>42771</v>
      </c>
      <c r="B37">
        <v>30728</v>
      </c>
      <c r="C37">
        <v>84077</v>
      </c>
      <c r="D37">
        <v>33575</v>
      </c>
      <c r="E37">
        <v>20307</v>
      </c>
      <c r="F37">
        <v>100</v>
      </c>
      <c r="G37" t="s">
        <v>9</v>
      </c>
      <c r="H37" t="str" cm="1">
        <f t="array" ref="H37">_xlfn.IFS(Grammys[[#This Row],[date]] &gt;= DATE(2022,2,1),"Grammys",TRUE,"Grammys TRA")</f>
        <v>Grammys TRA</v>
      </c>
      <c r="I37">
        <f>_xlfn.XLOOKUP(Grammys[[#This Row],[date]],mobile_visits[date],mobile_visits[mobile_visitors],0)</f>
        <v>0</v>
      </c>
      <c r="O37" s="1">
        <v>44628</v>
      </c>
      <c r="P37">
        <v>9410</v>
      </c>
    </row>
    <row r="38" spans="1:16">
      <c r="A38" s="1">
        <v>42772</v>
      </c>
      <c r="B38">
        <v>34723</v>
      </c>
      <c r="C38">
        <v>88352</v>
      </c>
      <c r="D38">
        <v>38058</v>
      </c>
      <c r="E38">
        <v>22957</v>
      </c>
      <c r="F38">
        <v>104</v>
      </c>
      <c r="G38" t="s">
        <v>9</v>
      </c>
      <c r="H38" t="str" cm="1">
        <f t="array" ref="H38">_xlfn.IFS(Grammys[[#This Row],[date]] &gt;= DATE(2022,2,1),"Grammys",TRUE,"Grammys TRA")</f>
        <v>Grammys TRA</v>
      </c>
      <c r="I38">
        <f>_xlfn.XLOOKUP(Grammys[[#This Row],[date]],mobile_visits[date],mobile_visits[mobile_visitors],0)</f>
        <v>0</v>
      </c>
      <c r="O38" s="1">
        <v>44629</v>
      </c>
      <c r="P38">
        <v>8478</v>
      </c>
    </row>
    <row r="39" spans="1:16">
      <c r="A39" s="1">
        <v>42773</v>
      </c>
      <c r="B39">
        <v>47583</v>
      </c>
      <c r="C39">
        <v>122424</v>
      </c>
      <c r="D39">
        <v>52246</v>
      </c>
      <c r="E39">
        <v>31531</v>
      </c>
      <c r="F39">
        <v>108</v>
      </c>
      <c r="G39" t="s">
        <v>9</v>
      </c>
      <c r="H39" t="str" cm="1">
        <f t="array" ref="H39">_xlfn.IFS(Grammys[[#This Row],[date]] &gt;= DATE(2022,2,1),"Grammys",TRUE,"Grammys TRA")</f>
        <v>Grammys TRA</v>
      </c>
      <c r="I39">
        <f>_xlfn.XLOOKUP(Grammys[[#This Row],[date]],mobile_visits[date],mobile_visits[mobile_visitors],0)</f>
        <v>0</v>
      </c>
      <c r="O39" s="1">
        <v>44630</v>
      </c>
      <c r="P39">
        <v>9234</v>
      </c>
    </row>
    <row r="40" spans="1:16">
      <c r="A40" s="1">
        <v>42774</v>
      </c>
      <c r="B40">
        <v>52279</v>
      </c>
      <c r="C40">
        <v>133884</v>
      </c>
      <c r="D40">
        <v>57599</v>
      </c>
      <c r="E40">
        <v>34946</v>
      </c>
      <c r="F40">
        <v>104</v>
      </c>
      <c r="G40" t="s">
        <v>9</v>
      </c>
      <c r="H40" t="str" cm="1">
        <f t="array" ref="H40">_xlfn.IFS(Grammys[[#This Row],[date]] &gt;= DATE(2022,2,1),"Grammys",TRUE,"Grammys TRA")</f>
        <v>Grammys TRA</v>
      </c>
      <c r="I40">
        <f>_xlfn.XLOOKUP(Grammys[[#This Row],[date]],mobile_visits[date],mobile_visits[mobile_visitors],0)</f>
        <v>0</v>
      </c>
      <c r="O40" s="1">
        <v>44631</v>
      </c>
      <c r="P40">
        <v>9408</v>
      </c>
    </row>
    <row r="41" spans="1:16">
      <c r="A41" s="1">
        <v>42775</v>
      </c>
      <c r="B41">
        <v>73648</v>
      </c>
      <c r="C41">
        <v>191472</v>
      </c>
      <c r="D41">
        <v>81432</v>
      </c>
      <c r="E41">
        <v>49926</v>
      </c>
      <c r="F41">
        <v>108</v>
      </c>
      <c r="G41" t="s">
        <v>9</v>
      </c>
      <c r="H41" t="str" cm="1">
        <f t="array" ref="H41">_xlfn.IFS(Grammys[[#This Row],[date]] &gt;= DATE(2022,2,1),"Grammys",TRUE,"Grammys TRA")</f>
        <v>Grammys TRA</v>
      </c>
      <c r="I41">
        <f>_xlfn.XLOOKUP(Grammys[[#This Row],[date]],mobile_visits[date],mobile_visits[mobile_visitors],0)</f>
        <v>0</v>
      </c>
      <c r="O41" s="1">
        <v>44632</v>
      </c>
      <c r="P41">
        <v>10478</v>
      </c>
    </row>
    <row r="42" spans="1:16">
      <c r="A42" s="1">
        <v>42776</v>
      </c>
      <c r="B42">
        <v>91058</v>
      </c>
      <c r="C42">
        <v>230302</v>
      </c>
      <c r="D42">
        <v>99229</v>
      </c>
      <c r="E42">
        <v>59072</v>
      </c>
      <c r="F42">
        <v>104</v>
      </c>
      <c r="G42" t="s">
        <v>9</v>
      </c>
      <c r="H42" t="str" cm="1">
        <f t="array" ref="H42">_xlfn.IFS(Grammys[[#This Row],[date]] &gt;= DATE(2022,2,1),"Grammys",TRUE,"Grammys TRA")</f>
        <v>Grammys TRA</v>
      </c>
      <c r="I42">
        <f>_xlfn.XLOOKUP(Grammys[[#This Row],[date]],mobile_visits[date],mobile_visits[mobile_visitors],0)</f>
        <v>0</v>
      </c>
      <c r="O42" s="1">
        <v>44633</v>
      </c>
      <c r="P42">
        <v>11570</v>
      </c>
    </row>
    <row r="43" spans="1:16">
      <c r="A43" s="1">
        <v>42777</v>
      </c>
      <c r="B43">
        <v>133362</v>
      </c>
      <c r="C43">
        <v>346375</v>
      </c>
      <c r="D43">
        <v>145977</v>
      </c>
      <c r="E43">
        <v>82930</v>
      </c>
      <c r="F43">
        <v>105</v>
      </c>
      <c r="G43" t="s">
        <v>9</v>
      </c>
      <c r="H43" t="str" cm="1">
        <f t="array" ref="H43">_xlfn.IFS(Grammys[[#This Row],[date]] &gt;= DATE(2022,2,1),"Grammys",TRUE,"Grammys TRA")</f>
        <v>Grammys TRA</v>
      </c>
      <c r="I43">
        <f>_xlfn.XLOOKUP(Grammys[[#This Row],[date]],mobile_visits[date],mobile_visits[mobile_visitors],0)</f>
        <v>0</v>
      </c>
      <c r="O43" s="1">
        <v>44634</v>
      </c>
      <c r="P43">
        <v>14861</v>
      </c>
    </row>
    <row r="44" spans="1:16">
      <c r="A44" s="1">
        <v>42778</v>
      </c>
      <c r="B44">
        <v>1930245</v>
      </c>
      <c r="C44">
        <v>5406421</v>
      </c>
      <c r="D44">
        <v>2254973</v>
      </c>
      <c r="E44">
        <v>1190175</v>
      </c>
      <c r="F44">
        <v>162</v>
      </c>
      <c r="G44" t="s">
        <v>10</v>
      </c>
      <c r="H44" t="str" cm="1">
        <f t="array" ref="H44">_xlfn.IFS(Grammys[[#This Row],[date]] &gt;= DATE(2022,2,1),"Grammys",TRUE,"Grammys TRA")</f>
        <v>Grammys TRA</v>
      </c>
      <c r="I44">
        <f>_xlfn.XLOOKUP(Grammys[[#This Row],[date]],mobile_visits[date],mobile_visits[mobile_visitors],0)</f>
        <v>0</v>
      </c>
      <c r="O44" s="1">
        <v>44635</v>
      </c>
      <c r="P44">
        <v>34343</v>
      </c>
    </row>
    <row r="45" spans="1:16">
      <c r="A45" s="1">
        <v>42779</v>
      </c>
      <c r="B45">
        <v>1057729</v>
      </c>
      <c r="C45">
        <v>2926094</v>
      </c>
      <c r="D45">
        <v>1150572</v>
      </c>
      <c r="E45">
        <v>694831</v>
      </c>
      <c r="F45">
        <v>113</v>
      </c>
      <c r="G45" t="s">
        <v>9</v>
      </c>
      <c r="H45" t="str" cm="1">
        <f t="array" ref="H45">_xlfn.IFS(Grammys[[#This Row],[date]] &gt;= DATE(2022,2,1),"Grammys",TRUE,"Grammys TRA")</f>
        <v>Grammys TRA</v>
      </c>
      <c r="I45">
        <f>_xlfn.XLOOKUP(Grammys[[#This Row],[date]],mobile_visits[date],mobile_visits[mobile_visitors],0)</f>
        <v>0</v>
      </c>
      <c r="O45" s="1">
        <v>44636</v>
      </c>
      <c r="P45">
        <v>17294</v>
      </c>
    </row>
    <row r="46" spans="1:16">
      <c r="A46" s="1">
        <v>42780</v>
      </c>
      <c r="B46">
        <v>213939</v>
      </c>
      <c r="C46">
        <v>526079</v>
      </c>
      <c r="D46">
        <v>229644</v>
      </c>
      <c r="E46">
        <v>149522</v>
      </c>
      <c r="F46">
        <v>102</v>
      </c>
      <c r="G46" t="s">
        <v>9</v>
      </c>
      <c r="H46" t="str" cm="1">
        <f t="array" ref="H46">_xlfn.IFS(Grammys[[#This Row],[date]] &gt;= DATE(2022,2,1),"Grammys",TRUE,"Grammys TRA")</f>
        <v>Grammys TRA</v>
      </c>
      <c r="I46">
        <f>_xlfn.XLOOKUP(Grammys[[#This Row],[date]],mobile_visits[date],mobile_visits[mobile_visitors],0)</f>
        <v>0</v>
      </c>
      <c r="O46" s="1">
        <v>44637</v>
      </c>
      <c r="P46">
        <v>14935</v>
      </c>
    </row>
    <row r="47" spans="1:16">
      <c r="A47" s="1">
        <v>42781</v>
      </c>
      <c r="B47">
        <v>105345</v>
      </c>
      <c r="C47">
        <v>257780</v>
      </c>
      <c r="D47">
        <v>113153</v>
      </c>
      <c r="E47">
        <v>73663</v>
      </c>
      <c r="F47">
        <v>101</v>
      </c>
      <c r="G47" t="s">
        <v>9</v>
      </c>
      <c r="H47" t="str" cm="1">
        <f t="array" ref="H47">_xlfn.IFS(Grammys[[#This Row],[date]] &gt;= DATE(2022,2,1),"Grammys",TRUE,"Grammys TRA")</f>
        <v>Grammys TRA</v>
      </c>
      <c r="I47">
        <f>_xlfn.XLOOKUP(Grammys[[#This Row],[date]],mobile_visits[date],mobile_visits[mobile_visitors],0)</f>
        <v>0</v>
      </c>
      <c r="O47" s="1">
        <v>44638</v>
      </c>
      <c r="P47">
        <v>18086</v>
      </c>
    </row>
    <row r="48" spans="1:16">
      <c r="A48" s="1">
        <v>42782</v>
      </c>
      <c r="B48">
        <v>72888</v>
      </c>
      <c r="C48">
        <v>176323</v>
      </c>
      <c r="D48">
        <v>78087</v>
      </c>
      <c r="E48">
        <v>52100</v>
      </c>
      <c r="F48">
        <v>102</v>
      </c>
      <c r="G48" t="s">
        <v>9</v>
      </c>
      <c r="H48" t="str" cm="1">
        <f t="array" ref="H48">_xlfn.IFS(Grammys[[#This Row],[date]] &gt;= DATE(2022,2,1),"Grammys",TRUE,"Grammys TRA")</f>
        <v>Grammys TRA</v>
      </c>
      <c r="I48">
        <f>_xlfn.XLOOKUP(Grammys[[#This Row],[date]],mobile_visits[date],mobile_visits[mobile_visitors],0)</f>
        <v>0</v>
      </c>
      <c r="O48" s="1">
        <v>44639</v>
      </c>
      <c r="P48">
        <v>24121</v>
      </c>
    </row>
    <row r="49" spans="1:16">
      <c r="A49" s="1">
        <v>42783</v>
      </c>
      <c r="B49">
        <v>62042</v>
      </c>
      <c r="C49">
        <v>137206</v>
      </c>
      <c r="D49">
        <v>66572</v>
      </c>
      <c r="E49">
        <v>46108</v>
      </c>
      <c r="F49">
        <v>95</v>
      </c>
      <c r="G49" t="s">
        <v>9</v>
      </c>
      <c r="H49" t="str" cm="1">
        <f t="array" ref="H49">_xlfn.IFS(Grammys[[#This Row],[date]] &gt;= DATE(2022,2,1),"Grammys",TRUE,"Grammys TRA")</f>
        <v>Grammys TRA</v>
      </c>
      <c r="I49">
        <f>_xlfn.XLOOKUP(Grammys[[#This Row],[date]],mobile_visits[date],mobile_visits[mobile_visitors],0)</f>
        <v>0</v>
      </c>
      <c r="O49" s="1">
        <v>44640</v>
      </c>
      <c r="P49">
        <v>24641</v>
      </c>
    </row>
    <row r="50" spans="1:16">
      <c r="A50" s="1">
        <v>42784</v>
      </c>
      <c r="B50">
        <v>56309</v>
      </c>
      <c r="C50">
        <v>122892</v>
      </c>
      <c r="D50">
        <v>60790</v>
      </c>
      <c r="E50">
        <v>42517</v>
      </c>
      <c r="F50">
        <v>93</v>
      </c>
      <c r="G50" t="s">
        <v>9</v>
      </c>
      <c r="H50" t="str" cm="1">
        <f t="array" ref="H50">_xlfn.IFS(Grammys[[#This Row],[date]] &gt;= DATE(2022,2,1),"Grammys",TRUE,"Grammys TRA")</f>
        <v>Grammys TRA</v>
      </c>
      <c r="I50">
        <f>_xlfn.XLOOKUP(Grammys[[#This Row],[date]],mobile_visits[date],mobile_visits[mobile_visitors],0)</f>
        <v>0</v>
      </c>
      <c r="O50" s="1">
        <v>44641</v>
      </c>
      <c r="P50">
        <v>20029</v>
      </c>
    </row>
    <row r="51" spans="1:16">
      <c r="A51" s="1">
        <v>42785</v>
      </c>
      <c r="B51">
        <v>45545</v>
      </c>
      <c r="C51">
        <v>94898</v>
      </c>
      <c r="D51">
        <v>48812</v>
      </c>
      <c r="E51">
        <v>34345</v>
      </c>
      <c r="F51">
        <v>90</v>
      </c>
      <c r="G51" t="s">
        <v>9</v>
      </c>
      <c r="H51" t="str" cm="1">
        <f t="array" ref="H51">_xlfn.IFS(Grammys[[#This Row],[date]] &gt;= DATE(2022,2,1),"Grammys",TRUE,"Grammys TRA")</f>
        <v>Grammys TRA</v>
      </c>
      <c r="I51">
        <f>_xlfn.XLOOKUP(Grammys[[#This Row],[date]],mobile_visits[date],mobile_visits[mobile_visitors],0)</f>
        <v>0</v>
      </c>
      <c r="O51" s="1">
        <v>44642</v>
      </c>
      <c r="P51">
        <v>25122</v>
      </c>
    </row>
    <row r="52" spans="1:16">
      <c r="A52" s="1">
        <v>42786</v>
      </c>
      <c r="B52">
        <v>36105</v>
      </c>
      <c r="C52">
        <v>76531</v>
      </c>
      <c r="D52">
        <v>38674</v>
      </c>
      <c r="E52">
        <v>27324</v>
      </c>
      <c r="F52">
        <v>92</v>
      </c>
      <c r="G52" t="s">
        <v>9</v>
      </c>
      <c r="H52" t="str" cm="1">
        <f t="array" ref="H52">_xlfn.IFS(Grammys[[#This Row],[date]] &gt;= DATE(2022,2,1),"Grammys",TRUE,"Grammys TRA")</f>
        <v>Grammys TRA</v>
      </c>
      <c r="I52">
        <f>_xlfn.XLOOKUP(Grammys[[#This Row],[date]],mobile_visits[date],mobile_visits[mobile_visitors],0)</f>
        <v>0</v>
      </c>
      <c r="O52" s="1">
        <v>44643</v>
      </c>
      <c r="P52">
        <v>23193</v>
      </c>
    </row>
    <row r="53" spans="1:16">
      <c r="A53" s="1">
        <v>42787</v>
      </c>
      <c r="B53">
        <v>32413</v>
      </c>
      <c r="C53">
        <v>67242</v>
      </c>
      <c r="D53">
        <v>34335</v>
      </c>
      <c r="E53">
        <v>23908</v>
      </c>
      <c r="F53">
        <v>92</v>
      </c>
      <c r="G53" t="s">
        <v>9</v>
      </c>
      <c r="H53" t="str" cm="1">
        <f t="array" ref="H53">_xlfn.IFS(Grammys[[#This Row],[date]] &gt;= DATE(2022,2,1),"Grammys",TRUE,"Grammys TRA")</f>
        <v>Grammys TRA</v>
      </c>
      <c r="I53">
        <f>_xlfn.XLOOKUP(Grammys[[#This Row],[date]],mobile_visits[date],mobile_visits[mobile_visitors],0)</f>
        <v>0</v>
      </c>
      <c r="O53" s="1">
        <v>44644</v>
      </c>
      <c r="P53">
        <v>21853</v>
      </c>
    </row>
    <row r="54" spans="1:16">
      <c r="A54" s="1">
        <v>42788</v>
      </c>
      <c r="B54">
        <v>29955</v>
      </c>
      <c r="C54">
        <v>65302</v>
      </c>
      <c r="D54">
        <v>31991</v>
      </c>
      <c r="E54">
        <v>22189</v>
      </c>
      <c r="F54">
        <v>93</v>
      </c>
      <c r="G54" t="s">
        <v>9</v>
      </c>
      <c r="H54" t="str" cm="1">
        <f t="array" ref="H54">_xlfn.IFS(Grammys[[#This Row],[date]] &gt;= DATE(2022,2,1),"Grammys",TRUE,"Grammys TRA")</f>
        <v>Grammys TRA</v>
      </c>
      <c r="I54">
        <f>_xlfn.XLOOKUP(Grammys[[#This Row],[date]],mobile_visits[date],mobile_visits[mobile_visitors],0)</f>
        <v>0</v>
      </c>
      <c r="O54" s="1">
        <v>44645</v>
      </c>
      <c r="P54">
        <v>23730</v>
      </c>
    </row>
    <row r="55" spans="1:16">
      <c r="A55" s="1">
        <v>42789</v>
      </c>
      <c r="B55">
        <v>25603</v>
      </c>
      <c r="C55">
        <v>55174</v>
      </c>
      <c r="D55">
        <v>27515</v>
      </c>
      <c r="E55">
        <v>19275</v>
      </c>
      <c r="F55">
        <v>92</v>
      </c>
      <c r="G55" t="s">
        <v>9</v>
      </c>
      <c r="H55" t="str" cm="1">
        <f t="array" ref="H55">_xlfn.IFS(Grammys[[#This Row],[date]] &gt;= DATE(2022,2,1),"Grammys",TRUE,"Grammys TRA")</f>
        <v>Grammys TRA</v>
      </c>
      <c r="I55">
        <f>_xlfn.XLOOKUP(Grammys[[#This Row],[date]],mobile_visits[date],mobile_visits[mobile_visitors],0)</f>
        <v>0</v>
      </c>
      <c r="O55" s="1">
        <v>44646</v>
      </c>
      <c r="P55">
        <v>31163</v>
      </c>
    </row>
    <row r="56" spans="1:16">
      <c r="A56" s="1">
        <v>42790</v>
      </c>
      <c r="B56">
        <v>23074</v>
      </c>
      <c r="C56">
        <v>47921</v>
      </c>
      <c r="D56">
        <v>24605</v>
      </c>
      <c r="E56">
        <v>17384</v>
      </c>
      <c r="F56">
        <v>84</v>
      </c>
      <c r="G56" t="s">
        <v>9</v>
      </c>
      <c r="H56" t="str" cm="1">
        <f t="array" ref="H56">_xlfn.IFS(Grammys[[#This Row],[date]] &gt;= DATE(2022,2,1),"Grammys",TRUE,"Grammys TRA")</f>
        <v>Grammys TRA</v>
      </c>
      <c r="I56">
        <f>_xlfn.XLOOKUP(Grammys[[#This Row],[date]],mobile_visits[date],mobile_visits[mobile_visitors],0)</f>
        <v>0</v>
      </c>
      <c r="O56" s="1">
        <v>44647</v>
      </c>
      <c r="P56">
        <v>64557</v>
      </c>
    </row>
    <row r="57" spans="1:16">
      <c r="A57" s="1">
        <v>42791</v>
      </c>
      <c r="B57">
        <v>26718</v>
      </c>
      <c r="C57">
        <v>49579</v>
      </c>
      <c r="D57">
        <v>28030</v>
      </c>
      <c r="E57">
        <v>20874</v>
      </c>
      <c r="F57">
        <v>74</v>
      </c>
      <c r="G57" t="s">
        <v>9</v>
      </c>
      <c r="H57" t="str" cm="1">
        <f t="array" ref="H57">_xlfn.IFS(Grammys[[#This Row],[date]] &gt;= DATE(2022,2,1),"Grammys",TRUE,"Grammys TRA")</f>
        <v>Grammys TRA</v>
      </c>
      <c r="I57">
        <f>_xlfn.XLOOKUP(Grammys[[#This Row],[date]],mobile_visits[date],mobile_visits[mobile_visitors],0)</f>
        <v>0</v>
      </c>
      <c r="O57" s="1">
        <v>44648</v>
      </c>
      <c r="P57">
        <v>67000</v>
      </c>
    </row>
    <row r="58" spans="1:16">
      <c r="A58" s="1">
        <v>42792</v>
      </c>
      <c r="B58">
        <v>33563</v>
      </c>
      <c r="C58">
        <v>60222</v>
      </c>
      <c r="D58">
        <v>35116</v>
      </c>
      <c r="E58">
        <v>25790</v>
      </c>
      <c r="F58">
        <v>69</v>
      </c>
      <c r="G58" t="s">
        <v>9</v>
      </c>
      <c r="H58" t="str" cm="1">
        <f t="array" ref="H58">_xlfn.IFS(Grammys[[#This Row],[date]] &gt;= DATE(2022,2,1),"Grammys",TRUE,"Grammys TRA")</f>
        <v>Grammys TRA</v>
      </c>
      <c r="I58">
        <f>_xlfn.XLOOKUP(Grammys[[#This Row],[date]],mobile_visits[date],mobile_visits[mobile_visitors],0)</f>
        <v>0</v>
      </c>
      <c r="O58" s="1">
        <v>44649</v>
      </c>
      <c r="P58">
        <v>64586</v>
      </c>
    </row>
    <row r="59" spans="1:16">
      <c r="A59" s="1">
        <v>42793</v>
      </c>
      <c r="B59">
        <v>27790</v>
      </c>
      <c r="C59">
        <v>53034</v>
      </c>
      <c r="D59">
        <v>29224</v>
      </c>
      <c r="E59">
        <v>21261</v>
      </c>
      <c r="F59">
        <v>77</v>
      </c>
      <c r="G59" t="s">
        <v>9</v>
      </c>
      <c r="H59" t="str" cm="1">
        <f t="array" ref="H59">_xlfn.IFS(Grammys[[#This Row],[date]] &gt;= DATE(2022,2,1),"Grammys",TRUE,"Grammys TRA")</f>
        <v>Grammys TRA</v>
      </c>
      <c r="I59">
        <f>_xlfn.XLOOKUP(Grammys[[#This Row],[date]],mobile_visits[date],mobile_visits[mobile_visitors],0)</f>
        <v>0</v>
      </c>
      <c r="O59" s="1">
        <v>44650</v>
      </c>
      <c r="P59">
        <v>70495</v>
      </c>
    </row>
    <row r="60" spans="1:16">
      <c r="A60" s="1">
        <v>42794</v>
      </c>
      <c r="B60">
        <v>19932</v>
      </c>
      <c r="C60">
        <v>38080</v>
      </c>
      <c r="D60">
        <v>21147</v>
      </c>
      <c r="E60">
        <v>15222</v>
      </c>
      <c r="F60">
        <v>80</v>
      </c>
      <c r="G60" t="s">
        <v>9</v>
      </c>
      <c r="H60" t="str" cm="1">
        <f t="array" ref="H60">_xlfn.IFS(Grammys[[#This Row],[date]] &gt;= DATE(2022,2,1),"Grammys",TRUE,"Grammys TRA")</f>
        <v>Grammys TRA</v>
      </c>
      <c r="I60">
        <f>_xlfn.XLOOKUP(Grammys[[#This Row],[date]],mobile_visits[date],mobile_visits[mobile_visitors],0)</f>
        <v>0</v>
      </c>
      <c r="O60" s="1">
        <v>44651</v>
      </c>
      <c r="P60">
        <v>58734</v>
      </c>
    </row>
    <row r="61" spans="1:16">
      <c r="A61" s="1">
        <v>42795</v>
      </c>
      <c r="B61">
        <v>17077</v>
      </c>
      <c r="C61">
        <v>33835</v>
      </c>
      <c r="D61">
        <v>18085</v>
      </c>
      <c r="E61">
        <v>12738</v>
      </c>
      <c r="F61">
        <v>87</v>
      </c>
      <c r="G61" t="s">
        <v>9</v>
      </c>
      <c r="H61" t="str" cm="1">
        <f t="array" ref="H61">_xlfn.IFS(Grammys[[#This Row],[date]] &gt;= DATE(2022,2,1),"Grammys",TRUE,"Grammys TRA")</f>
        <v>Grammys TRA</v>
      </c>
      <c r="I61">
        <f>_xlfn.XLOOKUP(Grammys[[#This Row],[date]],mobile_visits[date],mobile_visits[mobile_visitors],0)</f>
        <v>0</v>
      </c>
      <c r="O61" s="1">
        <v>44652</v>
      </c>
      <c r="P61">
        <v>81320</v>
      </c>
    </row>
    <row r="62" spans="1:16">
      <c r="A62" s="1">
        <v>42796</v>
      </c>
      <c r="B62">
        <v>21703</v>
      </c>
      <c r="C62">
        <v>38318</v>
      </c>
      <c r="D62">
        <v>22885</v>
      </c>
      <c r="E62">
        <v>17530</v>
      </c>
      <c r="F62">
        <v>68</v>
      </c>
      <c r="G62" t="s">
        <v>9</v>
      </c>
      <c r="H62" t="str" cm="1">
        <f t="array" ref="H62">_xlfn.IFS(Grammys[[#This Row],[date]] &gt;= DATE(2022,2,1),"Grammys",TRUE,"Grammys TRA")</f>
        <v>Grammys TRA</v>
      </c>
      <c r="I62">
        <f>_xlfn.XLOOKUP(Grammys[[#This Row],[date]],mobile_visits[date],mobile_visits[mobile_visitors],0)</f>
        <v>0</v>
      </c>
      <c r="O62" s="1">
        <v>44653</v>
      </c>
      <c r="P62">
        <v>181561</v>
      </c>
    </row>
    <row r="63" spans="1:16">
      <c r="A63" s="1">
        <v>42797</v>
      </c>
      <c r="B63">
        <v>21421</v>
      </c>
      <c r="C63">
        <v>39240</v>
      </c>
      <c r="D63">
        <v>22932</v>
      </c>
      <c r="E63">
        <v>17378</v>
      </c>
      <c r="F63">
        <v>73</v>
      </c>
      <c r="G63" t="s">
        <v>9</v>
      </c>
      <c r="H63" t="str" cm="1">
        <f t="array" ref="H63">_xlfn.IFS(Grammys[[#This Row],[date]] &gt;= DATE(2022,2,1),"Grammys",TRUE,"Grammys TRA")</f>
        <v>Grammys TRA</v>
      </c>
      <c r="I63">
        <f>_xlfn.XLOOKUP(Grammys[[#This Row],[date]],mobile_visits[date],mobile_visits[mobile_visitors],0)</f>
        <v>0</v>
      </c>
      <c r="O63" s="1">
        <v>44654</v>
      </c>
      <c r="P63">
        <v>1751415</v>
      </c>
    </row>
    <row r="64" spans="1:16">
      <c r="A64" s="1">
        <v>42798</v>
      </c>
      <c r="B64">
        <v>16004</v>
      </c>
      <c r="C64">
        <v>31000</v>
      </c>
      <c r="D64">
        <v>17007</v>
      </c>
      <c r="E64">
        <v>12417</v>
      </c>
      <c r="F64">
        <v>79</v>
      </c>
      <c r="G64" t="s">
        <v>9</v>
      </c>
      <c r="H64" t="str" cm="1">
        <f t="array" ref="H64">_xlfn.IFS(Grammys[[#This Row],[date]] &gt;= DATE(2022,2,1),"Grammys",TRUE,"Grammys TRA")</f>
        <v>Grammys TRA</v>
      </c>
      <c r="I64">
        <f>_xlfn.XLOOKUP(Grammys[[#This Row],[date]],mobile_visits[date],mobile_visits[mobile_visitors],0)</f>
        <v>0</v>
      </c>
      <c r="O64" s="1">
        <v>44655</v>
      </c>
      <c r="P64">
        <v>568791</v>
      </c>
    </row>
    <row r="65" spans="1:16">
      <c r="A65" s="1">
        <v>42799</v>
      </c>
      <c r="B65">
        <v>15142</v>
      </c>
      <c r="C65">
        <v>29655</v>
      </c>
      <c r="D65">
        <v>16135</v>
      </c>
      <c r="E65">
        <v>11606</v>
      </c>
      <c r="F65">
        <v>84</v>
      </c>
      <c r="G65" t="s">
        <v>9</v>
      </c>
      <c r="H65" t="str" cm="1">
        <f t="array" ref="H65">_xlfn.IFS(Grammys[[#This Row],[date]] &gt;= DATE(2022,2,1),"Grammys",TRUE,"Grammys TRA")</f>
        <v>Grammys TRA</v>
      </c>
      <c r="I65">
        <f>_xlfn.XLOOKUP(Grammys[[#This Row],[date]],mobile_visits[date],mobile_visits[mobile_visitors],0)</f>
        <v>0</v>
      </c>
      <c r="O65" s="1">
        <v>44656</v>
      </c>
      <c r="P65">
        <v>156760</v>
      </c>
    </row>
    <row r="66" spans="1:16">
      <c r="A66" s="1">
        <v>42800</v>
      </c>
      <c r="B66">
        <v>14735</v>
      </c>
      <c r="C66">
        <v>28074</v>
      </c>
      <c r="D66">
        <v>15733</v>
      </c>
      <c r="E66">
        <v>11346</v>
      </c>
      <c r="F66">
        <v>81</v>
      </c>
      <c r="G66" t="s">
        <v>9</v>
      </c>
      <c r="H66" t="str" cm="1">
        <f t="array" ref="H66">_xlfn.IFS(Grammys[[#This Row],[date]] &gt;= DATE(2022,2,1),"Grammys",TRUE,"Grammys TRA")</f>
        <v>Grammys TRA</v>
      </c>
      <c r="I66">
        <f>_xlfn.XLOOKUP(Grammys[[#This Row],[date]],mobile_visits[date],mobile_visits[mobile_visitors],0)</f>
        <v>0</v>
      </c>
      <c r="O66" s="1">
        <v>44657</v>
      </c>
      <c r="P66">
        <v>88797</v>
      </c>
    </row>
    <row r="67" spans="1:16">
      <c r="A67" s="1">
        <v>42801</v>
      </c>
      <c r="B67">
        <v>12773</v>
      </c>
      <c r="C67">
        <v>24940</v>
      </c>
      <c r="D67">
        <v>13571</v>
      </c>
      <c r="E67">
        <v>9838</v>
      </c>
      <c r="F67">
        <v>82</v>
      </c>
      <c r="G67" t="s">
        <v>9</v>
      </c>
      <c r="H67" t="str" cm="1">
        <f t="array" ref="H67">_xlfn.IFS(Grammys[[#This Row],[date]] &gt;= DATE(2022,2,1),"Grammys",TRUE,"Grammys TRA")</f>
        <v>Grammys TRA</v>
      </c>
      <c r="I67">
        <f>_xlfn.XLOOKUP(Grammys[[#This Row],[date]],mobile_visits[date],mobile_visits[mobile_visitors],0)</f>
        <v>0</v>
      </c>
      <c r="O67" s="1">
        <v>44658</v>
      </c>
      <c r="P67">
        <v>64588</v>
      </c>
    </row>
    <row r="68" spans="1:16">
      <c r="A68" s="1">
        <v>42802</v>
      </c>
      <c r="B68">
        <v>11539</v>
      </c>
      <c r="C68">
        <v>23070</v>
      </c>
      <c r="D68">
        <v>12432</v>
      </c>
      <c r="E68">
        <v>8892</v>
      </c>
      <c r="F68">
        <v>87</v>
      </c>
      <c r="G68" t="s">
        <v>9</v>
      </c>
      <c r="H68" t="str" cm="1">
        <f t="array" ref="H68">_xlfn.IFS(Grammys[[#This Row],[date]] &gt;= DATE(2022,2,1),"Grammys",TRUE,"Grammys TRA")</f>
        <v>Grammys TRA</v>
      </c>
      <c r="I68">
        <f>_xlfn.XLOOKUP(Grammys[[#This Row],[date]],mobile_visits[date],mobile_visits[mobile_visitors],0)</f>
        <v>0</v>
      </c>
      <c r="O68" s="1">
        <v>44659</v>
      </c>
      <c r="P68">
        <v>55077</v>
      </c>
    </row>
    <row r="69" spans="1:16">
      <c r="A69" s="1">
        <v>42803</v>
      </c>
      <c r="B69">
        <v>11395</v>
      </c>
      <c r="C69">
        <v>23221</v>
      </c>
      <c r="D69">
        <v>12217</v>
      </c>
      <c r="E69">
        <v>8667</v>
      </c>
      <c r="F69">
        <v>83</v>
      </c>
      <c r="G69" t="s">
        <v>9</v>
      </c>
      <c r="H69" t="str" cm="1">
        <f t="array" ref="H69">_xlfn.IFS(Grammys[[#This Row],[date]] &gt;= DATE(2022,2,1),"Grammys",TRUE,"Grammys TRA")</f>
        <v>Grammys TRA</v>
      </c>
      <c r="I69">
        <f>_xlfn.XLOOKUP(Grammys[[#This Row],[date]],mobile_visits[date],mobile_visits[mobile_visitors],0)</f>
        <v>0</v>
      </c>
      <c r="O69" s="1">
        <v>44660</v>
      </c>
      <c r="P69">
        <v>50750</v>
      </c>
    </row>
    <row r="70" spans="1:16">
      <c r="A70" s="1">
        <v>42804</v>
      </c>
      <c r="B70">
        <v>10794</v>
      </c>
      <c r="C70">
        <v>21259</v>
      </c>
      <c r="D70">
        <v>11382</v>
      </c>
      <c r="E70">
        <v>8175</v>
      </c>
      <c r="F70">
        <v>86</v>
      </c>
      <c r="G70" t="s">
        <v>9</v>
      </c>
      <c r="H70" t="str" cm="1">
        <f t="array" ref="H70">_xlfn.IFS(Grammys[[#This Row],[date]] &gt;= DATE(2022,2,1),"Grammys",TRUE,"Grammys TRA")</f>
        <v>Grammys TRA</v>
      </c>
      <c r="I70">
        <f>_xlfn.XLOOKUP(Grammys[[#This Row],[date]],mobile_visits[date],mobile_visits[mobile_visitors],0)</f>
        <v>0</v>
      </c>
      <c r="O70" s="1">
        <v>44661</v>
      </c>
      <c r="P70">
        <v>41091</v>
      </c>
    </row>
    <row r="71" spans="1:16">
      <c r="A71" s="1">
        <v>42805</v>
      </c>
      <c r="B71">
        <v>11855</v>
      </c>
      <c r="C71">
        <v>25447</v>
      </c>
      <c r="D71">
        <v>12524</v>
      </c>
      <c r="E71">
        <v>8706</v>
      </c>
      <c r="F71">
        <v>81</v>
      </c>
      <c r="G71" t="s">
        <v>9</v>
      </c>
      <c r="H71" t="str" cm="1">
        <f t="array" ref="H71">_xlfn.IFS(Grammys[[#This Row],[date]] &gt;= DATE(2022,2,1),"Grammys",TRUE,"Grammys TRA")</f>
        <v>Grammys TRA</v>
      </c>
      <c r="I71">
        <f>_xlfn.XLOOKUP(Grammys[[#This Row],[date]],mobile_visits[date],mobile_visits[mobile_visitors],0)</f>
        <v>0</v>
      </c>
      <c r="O71" s="1">
        <v>44662</v>
      </c>
      <c r="P71">
        <v>29459</v>
      </c>
    </row>
    <row r="72" spans="1:16">
      <c r="A72" s="1">
        <v>42806</v>
      </c>
      <c r="B72">
        <v>9602</v>
      </c>
      <c r="C72">
        <v>19257</v>
      </c>
      <c r="D72">
        <v>10334</v>
      </c>
      <c r="E72">
        <v>7414</v>
      </c>
      <c r="F72">
        <v>83</v>
      </c>
      <c r="G72" t="s">
        <v>9</v>
      </c>
      <c r="H72" t="str" cm="1">
        <f t="array" ref="H72">_xlfn.IFS(Grammys[[#This Row],[date]] &gt;= DATE(2022,2,1),"Grammys",TRUE,"Grammys TRA")</f>
        <v>Grammys TRA</v>
      </c>
      <c r="I72">
        <f>_xlfn.XLOOKUP(Grammys[[#This Row],[date]],mobile_visits[date],mobile_visits[mobile_visitors],0)</f>
        <v>0</v>
      </c>
      <c r="O72" s="1">
        <v>44663</v>
      </c>
      <c r="P72">
        <v>26759</v>
      </c>
    </row>
    <row r="73" spans="1:16">
      <c r="A73" s="1">
        <v>42807</v>
      </c>
      <c r="B73">
        <v>9797</v>
      </c>
      <c r="C73">
        <v>19886</v>
      </c>
      <c r="D73">
        <v>10432</v>
      </c>
      <c r="E73">
        <v>7483</v>
      </c>
      <c r="F73">
        <v>96</v>
      </c>
      <c r="G73" t="s">
        <v>9</v>
      </c>
      <c r="H73" t="str" cm="1">
        <f t="array" ref="H73">_xlfn.IFS(Grammys[[#This Row],[date]] &gt;= DATE(2022,2,1),"Grammys",TRUE,"Grammys TRA")</f>
        <v>Grammys TRA</v>
      </c>
      <c r="I73">
        <f>_xlfn.XLOOKUP(Grammys[[#This Row],[date]],mobile_visits[date],mobile_visits[mobile_visitors],0)</f>
        <v>0</v>
      </c>
      <c r="O73" s="1">
        <v>44664</v>
      </c>
      <c r="P73">
        <v>23134</v>
      </c>
    </row>
    <row r="74" spans="1:16">
      <c r="A74" s="1">
        <v>42808</v>
      </c>
      <c r="B74">
        <v>10665</v>
      </c>
      <c r="C74">
        <v>20742</v>
      </c>
      <c r="D74">
        <v>11257</v>
      </c>
      <c r="E74">
        <v>8190</v>
      </c>
      <c r="F74">
        <v>86</v>
      </c>
      <c r="G74" t="s">
        <v>9</v>
      </c>
      <c r="H74" t="str" cm="1">
        <f t="array" ref="H74">_xlfn.IFS(Grammys[[#This Row],[date]] &gt;= DATE(2022,2,1),"Grammys",TRUE,"Grammys TRA")</f>
        <v>Grammys TRA</v>
      </c>
      <c r="I74">
        <f>_xlfn.XLOOKUP(Grammys[[#This Row],[date]],mobile_visits[date],mobile_visits[mobile_visitors],0)</f>
        <v>0</v>
      </c>
      <c r="O74" s="1">
        <v>44665</v>
      </c>
      <c r="P74">
        <v>21536</v>
      </c>
    </row>
    <row r="75" spans="1:16">
      <c r="A75" s="1">
        <v>42809</v>
      </c>
      <c r="B75">
        <v>9546</v>
      </c>
      <c r="C75">
        <v>19267</v>
      </c>
      <c r="D75">
        <v>10205</v>
      </c>
      <c r="E75">
        <v>7397</v>
      </c>
      <c r="F75">
        <v>96</v>
      </c>
      <c r="G75" t="s">
        <v>9</v>
      </c>
      <c r="H75" t="str" cm="1">
        <f t="array" ref="H75">_xlfn.IFS(Grammys[[#This Row],[date]] &gt;= DATE(2022,2,1),"Grammys",TRUE,"Grammys TRA")</f>
        <v>Grammys TRA</v>
      </c>
      <c r="I75">
        <f>_xlfn.XLOOKUP(Grammys[[#This Row],[date]],mobile_visits[date],mobile_visits[mobile_visitors],0)</f>
        <v>0</v>
      </c>
      <c r="O75" s="1">
        <v>44666</v>
      </c>
      <c r="P75">
        <v>21387</v>
      </c>
    </row>
    <row r="76" spans="1:16">
      <c r="A76" s="1">
        <v>42810</v>
      </c>
      <c r="B76">
        <v>8789</v>
      </c>
      <c r="C76">
        <v>17184</v>
      </c>
      <c r="D76">
        <v>9291</v>
      </c>
      <c r="E76">
        <v>6718</v>
      </c>
      <c r="F76">
        <v>83</v>
      </c>
      <c r="G76" t="s">
        <v>9</v>
      </c>
      <c r="H76" t="str" cm="1">
        <f t="array" ref="H76">_xlfn.IFS(Grammys[[#This Row],[date]] &gt;= DATE(2022,2,1),"Grammys",TRUE,"Grammys TRA")</f>
        <v>Grammys TRA</v>
      </c>
      <c r="I76">
        <f>_xlfn.XLOOKUP(Grammys[[#This Row],[date]],mobile_visits[date],mobile_visits[mobile_visitors],0)</f>
        <v>0</v>
      </c>
      <c r="O76" s="1">
        <v>44667</v>
      </c>
      <c r="P76">
        <v>20604</v>
      </c>
    </row>
    <row r="77" spans="1:16">
      <c r="A77" s="1">
        <v>42811</v>
      </c>
      <c r="B77">
        <v>8242</v>
      </c>
      <c r="C77">
        <v>15837</v>
      </c>
      <c r="D77">
        <v>8790</v>
      </c>
      <c r="E77">
        <v>6308</v>
      </c>
      <c r="F77">
        <v>85</v>
      </c>
      <c r="G77" t="s">
        <v>9</v>
      </c>
      <c r="H77" t="str" cm="1">
        <f t="array" ref="H77">_xlfn.IFS(Grammys[[#This Row],[date]] &gt;= DATE(2022,2,1),"Grammys",TRUE,"Grammys TRA")</f>
        <v>Grammys TRA</v>
      </c>
      <c r="I77">
        <f>_xlfn.XLOOKUP(Grammys[[#This Row],[date]],mobile_visits[date],mobile_visits[mobile_visitors],0)</f>
        <v>0</v>
      </c>
      <c r="O77" s="1">
        <v>44668</v>
      </c>
      <c r="P77">
        <v>20193</v>
      </c>
    </row>
    <row r="78" spans="1:16">
      <c r="A78" s="1">
        <v>42812</v>
      </c>
      <c r="B78">
        <v>8303</v>
      </c>
      <c r="C78">
        <v>16195</v>
      </c>
      <c r="D78">
        <v>8767</v>
      </c>
      <c r="E78">
        <v>6314</v>
      </c>
      <c r="F78">
        <v>89</v>
      </c>
      <c r="G78" t="s">
        <v>9</v>
      </c>
      <c r="H78" t="str" cm="1">
        <f t="array" ref="H78">_xlfn.IFS(Grammys[[#This Row],[date]] &gt;= DATE(2022,2,1),"Grammys",TRUE,"Grammys TRA")</f>
        <v>Grammys TRA</v>
      </c>
      <c r="I78">
        <f>_xlfn.XLOOKUP(Grammys[[#This Row],[date]],mobile_visits[date],mobile_visits[mobile_visitors],0)</f>
        <v>0</v>
      </c>
      <c r="O78" s="1">
        <v>44669</v>
      </c>
      <c r="P78">
        <v>17961</v>
      </c>
    </row>
    <row r="79" spans="1:16">
      <c r="A79" s="1">
        <v>42813</v>
      </c>
      <c r="B79">
        <v>8990</v>
      </c>
      <c r="C79">
        <v>17393</v>
      </c>
      <c r="D79">
        <v>9573</v>
      </c>
      <c r="E79">
        <v>6931</v>
      </c>
      <c r="F79">
        <v>82</v>
      </c>
      <c r="G79" t="s">
        <v>9</v>
      </c>
      <c r="H79" t="str" cm="1">
        <f t="array" ref="H79">_xlfn.IFS(Grammys[[#This Row],[date]] &gt;= DATE(2022,2,1),"Grammys",TRUE,"Grammys TRA")</f>
        <v>Grammys TRA</v>
      </c>
      <c r="I79">
        <f>_xlfn.XLOOKUP(Grammys[[#This Row],[date]],mobile_visits[date],mobile_visits[mobile_visitors],0)</f>
        <v>0</v>
      </c>
      <c r="O79" s="1">
        <v>44670</v>
      </c>
      <c r="P79">
        <v>15563</v>
      </c>
    </row>
    <row r="80" spans="1:16">
      <c r="A80" s="1">
        <v>42814</v>
      </c>
      <c r="B80">
        <v>8511</v>
      </c>
      <c r="C80">
        <v>16708</v>
      </c>
      <c r="D80">
        <v>9077</v>
      </c>
      <c r="E80">
        <v>6560</v>
      </c>
      <c r="F80">
        <v>87</v>
      </c>
      <c r="G80" t="s">
        <v>9</v>
      </c>
      <c r="H80" t="str" cm="1">
        <f t="array" ref="H80">_xlfn.IFS(Grammys[[#This Row],[date]] &gt;= DATE(2022,2,1),"Grammys",TRUE,"Grammys TRA")</f>
        <v>Grammys TRA</v>
      </c>
      <c r="I80">
        <f>_xlfn.XLOOKUP(Grammys[[#This Row],[date]],mobile_visits[date],mobile_visits[mobile_visitors],0)</f>
        <v>0</v>
      </c>
      <c r="O80" s="1">
        <v>44671</v>
      </c>
      <c r="P80">
        <v>14430</v>
      </c>
    </row>
    <row r="81" spans="1:16">
      <c r="A81" s="1">
        <v>42815</v>
      </c>
      <c r="B81">
        <v>12251</v>
      </c>
      <c r="C81">
        <v>21578</v>
      </c>
      <c r="D81">
        <v>12929</v>
      </c>
      <c r="E81">
        <v>9971</v>
      </c>
      <c r="F81">
        <v>73</v>
      </c>
      <c r="G81" t="s">
        <v>9</v>
      </c>
      <c r="H81" t="str" cm="1">
        <f t="array" ref="H81">_xlfn.IFS(Grammys[[#This Row],[date]] &gt;= DATE(2022,2,1),"Grammys",TRUE,"Grammys TRA")</f>
        <v>Grammys TRA</v>
      </c>
      <c r="I81">
        <f>_xlfn.XLOOKUP(Grammys[[#This Row],[date]],mobile_visits[date],mobile_visits[mobile_visitors],0)</f>
        <v>0</v>
      </c>
      <c r="O81" s="1">
        <v>44672</v>
      </c>
      <c r="P81">
        <v>17867</v>
      </c>
    </row>
    <row r="82" spans="1:16">
      <c r="A82" s="1">
        <v>42816</v>
      </c>
      <c r="B82">
        <v>9377</v>
      </c>
      <c r="C82">
        <v>17646</v>
      </c>
      <c r="D82">
        <v>9899</v>
      </c>
      <c r="E82">
        <v>7190</v>
      </c>
      <c r="F82">
        <v>86</v>
      </c>
      <c r="G82" t="s">
        <v>9</v>
      </c>
      <c r="H82" t="str" cm="1">
        <f t="array" ref="H82">_xlfn.IFS(Grammys[[#This Row],[date]] &gt;= DATE(2022,2,1),"Grammys",TRUE,"Grammys TRA")</f>
        <v>Grammys TRA</v>
      </c>
      <c r="I82">
        <f>_xlfn.XLOOKUP(Grammys[[#This Row],[date]],mobile_visits[date],mobile_visits[mobile_visitors],0)</f>
        <v>0</v>
      </c>
      <c r="O82" s="1">
        <v>44673</v>
      </c>
      <c r="P82">
        <v>17332</v>
      </c>
    </row>
    <row r="83" spans="1:16">
      <c r="A83" s="1">
        <v>42817</v>
      </c>
      <c r="B83">
        <v>8615</v>
      </c>
      <c r="C83">
        <v>16532</v>
      </c>
      <c r="D83">
        <v>9261</v>
      </c>
      <c r="E83">
        <v>6743</v>
      </c>
      <c r="F83">
        <v>84</v>
      </c>
      <c r="G83" t="s">
        <v>9</v>
      </c>
      <c r="H83" t="str" cm="1">
        <f t="array" ref="H83">_xlfn.IFS(Grammys[[#This Row],[date]] &gt;= DATE(2022,2,1),"Grammys",TRUE,"Grammys TRA")</f>
        <v>Grammys TRA</v>
      </c>
      <c r="I83">
        <f>_xlfn.XLOOKUP(Grammys[[#This Row],[date]],mobile_visits[date],mobile_visits[mobile_visitors],0)</f>
        <v>0</v>
      </c>
      <c r="O83" s="1">
        <v>44674</v>
      </c>
      <c r="P83">
        <v>16219</v>
      </c>
    </row>
    <row r="84" spans="1:16">
      <c r="A84" s="1">
        <v>42818</v>
      </c>
      <c r="B84">
        <v>7789</v>
      </c>
      <c r="C84">
        <v>15290</v>
      </c>
      <c r="D84">
        <v>8334</v>
      </c>
      <c r="E84">
        <v>6033</v>
      </c>
      <c r="F84">
        <v>90</v>
      </c>
      <c r="G84" t="s">
        <v>9</v>
      </c>
      <c r="H84" t="str" cm="1">
        <f t="array" ref="H84">_xlfn.IFS(Grammys[[#This Row],[date]] &gt;= DATE(2022,2,1),"Grammys",TRUE,"Grammys TRA")</f>
        <v>Grammys TRA</v>
      </c>
      <c r="I84">
        <f>_xlfn.XLOOKUP(Grammys[[#This Row],[date]],mobile_visits[date],mobile_visits[mobile_visitors],0)</f>
        <v>0</v>
      </c>
      <c r="O84" s="1">
        <v>44675</v>
      </c>
      <c r="P84">
        <v>15779</v>
      </c>
    </row>
    <row r="85" spans="1:16">
      <c r="A85" s="1">
        <v>42819</v>
      </c>
      <c r="B85">
        <v>7602</v>
      </c>
      <c r="C85">
        <v>14023</v>
      </c>
      <c r="D85">
        <v>8081</v>
      </c>
      <c r="E85">
        <v>6030</v>
      </c>
      <c r="F85">
        <v>76</v>
      </c>
      <c r="G85" t="s">
        <v>9</v>
      </c>
      <c r="H85" t="str" cm="1">
        <f t="array" ref="H85">_xlfn.IFS(Grammys[[#This Row],[date]] &gt;= DATE(2022,2,1),"Grammys",TRUE,"Grammys TRA")</f>
        <v>Grammys TRA</v>
      </c>
      <c r="I85">
        <f>_xlfn.XLOOKUP(Grammys[[#This Row],[date]],mobile_visits[date],mobile_visits[mobile_visitors],0)</f>
        <v>0</v>
      </c>
      <c r="O85" s="1">
        <v>44676</v>
      </c>
      <c r="P85">
        <v>12360</v>
      </c>
    </row>
    <row r="86" spans="1:16">
      <c r="A86" s="1">
        <v>42820</v>
      </c>
      <c r="B86">
        <v>7633</v>
      </c>
      <c r="C86">
        <v>14420</v>
      </c>
      <c r="D86">
        <v>8076</v>
      </c>
      <c r="E86">
        <v>5961</v>
      </c>
      <c r="F86">
        <v>82</v>
      </c>
      <c r="G86" t="s">
        <v>9</v>
      </c>
      <c r="H86" t="str" cm="1">
        <f t="array" ref="H86">_xlfn.IFS(Grammys[[#This Row],[date]] &gt;= DATE(2022,2,1),"Grammys",TRUE,"Grammys TRA")</f>
        <v>Grammys TRA</v>
      </c>
      <c r="I86">
        <f>_xlfn.XLOOKUP(Grammys[[#This Row],[date]],mobile_visits[date],mobile_visits[mobile_visitors],0)</f>
        <v>0</v>
      </c>
      <c r="O86" s="1">
        <v>44677</v>
      </c>
      <c r="P86">
        <v>12417</v>
      </c>
    </row>
    <row r="87" spans="1:16">
      <c r="A87" s="1">
        <v>42821</v>
      </c>
      <c r="B87">
        <v>7947</v>
      </c>
      <c r="C87">
        <v>14722</v>
      </c>
      <c r="D87">
        <v>8454</v>
      </c>
      <c r="E87">
        <v>6224</v>
      </c>
      <c r="F87">
        <v>76</v>
      </c>
      <c r="G87" t="s">
        <v>9</v>
      </c>
      <c r="H87" t="str" cm="1">
        <f t="array" ref="H87">_xlfn.IFS(Grammys[[#This Row],[date]] &gt;= DATE(2022,2,1),"Grammys",TRUE,"Grammys TRA")</f>
        <v>Grammys TRA</v>
      </c>
      <c r="I87">
        <f>_xlfn.XLOOKUP(Grammys[[#This Row],[date]],mobile_visits[date],mobile_visits[mobile_visitors],0)</f>
        <v>0</v>
      </c>
      <c r="O87" s="1">
        <v>44678</v>
      </c>
      <c r="P87">
        <v>11444</v>
      </c>
    </row>
    <row r="88" spans="1:16">
      <c r="A88" s="1">
        <v>42822</v>
      </c>
      <c r="B88">
        <v>8096</v>
      </c>
      <c r="C88">
        <v>14785</v>
      </c>
      <c r="D88">
        <v>8517</v>
      </c>
      <c r="E88">
        <v>6388</v>
      </c>
      <c r="F88">
        <v>81</v>
      </c>
      <c r="G88" t="s">
        <v>9</v>
      </c>
      <c r="H88" t="str" cm="1">
        <f t="array" ref="H88">_xlfn.IFS(Grammys[[#This Row],[date]] &gt;= DATE(2022,2,1),"Grammys",TRUE,"Grammys TRA")</f>
        <v>Grammys TRA</v>
      </c>
      <c r="I88">
        <f>_xlfn.XLOOKUP(Grammys[[#This Row],[date]],mobile_visits[date],mobile_visits[mobile_visitors],0)</f>
        <v>0</v>
      </c>
      <c r="O88" s="1">
        <v>44679</v>
      </c>
      <c r="P88">
        <v>12591</v>
      </c>
    </row>
    <row r="89" spans="1:16">
      <c r="A89" s="1">
        <v>42823</v>
      </c>
      <c r="B89">
        <v>7968</v>
      </c>
      <c r="C89">
        <v>15487</v>
      </c>
      <c r="D89">
        <v>8531</v>
      </c>
      <c r="E89">
        <v>6241</v>
      </c>
      <c r="F89">
        <v>93</v>
      </c>
      <c r="G89" t="s">
        <v>9</v>
      </c>
      <c r="H89" t="str" cm="1">
        <f t="array" ref="H89">_xlfn.IFS(Grammys[[#This Row],[date]] &gt;= DATE(2022,2,1),"Grammys",TRUE,"Grammys TRA")</f>
        <v>Grammys TRA</v>
      </c>
      <c r="I89">
        <f>_xlfn.XLOOKUP(Grammys[[#This Row],[date]],mobile_visits[date],mobile_visits[mobile_visitors],0)</f>
        <v>0</v>
      </c>
      <c r="O89" s="1">
        <v>44680</v>
      </c>
      <c r="P89">
        <v>12764</v>
      </c>
    </row>
    <row r="90" spans="1:16">
      <c r="A90" s="1">
        <v>42824</v>
      </c>
      <c r="B90">
        <v>7624</v>
      </c>
      <c r="C90">
        <v>15014</v>
      </c>
      <c r="D90">
        <v>8122</v>
      </c>
      <c r="E90">
        <v>5836</v>
      </c>
      <c r="F90">
        <v>87</v>
      </c>
      <c r="G90" t="s">
        <v>9</v>
      </c>
      <c r="H90" t="str" cm="1">
        <f t="array" ref="H90">_xlfn.IFS(Grammys[[#This Row],[date]] &gt;= DATE(2022,2,1),"Grammys",TRUE,"Grammys TRA")</f>
        <v>Grammys TRA</v>
      </c>
      <c r="I90">
        <f>_xlfn.XLOOKUP(Grammys[[#This Row],[date]],mobile_visits[date],mobile_visits[mobile_visitors],0)</f>
        <v>0</v>
      </c>
      <c r="O90" s="1">
        <v>44681</v>
      </c>
      <c r="P90">
        <v>13395</v>
      </c>
    </row>
    <row r="91" spans="1:16">
      <c r="A91" s="1">
        <v>42825</v>
      </c>
      <c r="B91">
        <v>7373</v>
      </c>
      <c r="C91">
        <v>14068</v>
      </c>
      <c r="D91">
        <v>7817</v>
      </c>
      <c r="E91">
        <v>5665</v>
      </c>
      <c r="F91">
        <v>69</v>
      </c>
      <c r="G91" t="s">
        <v>9</v>
      </c>
      <c r="H91" t="str" cm="1">
        <f t="array" ref="H91">_xlfn.IFS(Grammys[[#This Row],[date]] &gt;= DATE(2022,2,1),"Grammys",TRUE,"Grammys TRA")</f>
        <v>Grammys TRA</v>
      </c>
      <c r="I91">
        <f>_xlfn.XLOOKUP(Grammys[[#This Row],[date]],mobile_visits[date],mobile_visits[mobile_visitors],0)</f>
        <v>0</v>
      </c>
      <c r="O91" s="1">
        <v>44682</v>
      </c>
      <c r="P91">
        <v>13256</v>
      </c>
    </row>
    <row r="92" spans="1:16">
      <c r="A92" s="1">
        <v>42826</v>
      </c>
      <c r="B92">
        <v>7627</v>
      </c>
      <c r="C92">
        <v>13840</v>
      </c>
      <c r="D92">
        <v>7987</v>
      </c>
      <c r="E92">
        <v>5976</v>
      </c>
      <c r="F92">
        <v>78</v>
      </c>
      <c r="G92" t="s">
        <v>9</v>
      </c>
      <c r="H92" t="str" cm="1">
        <f t="array" ref="H92">_xlfn.IFS(Grammys[[#This Row],[date]] &gt;= DATE(2022,2,1),"Grammys",TRUE,"Grammys TRA")</f>
        <v>Grammys TRA</v>
      </c>
      <c r="I92">
        <f>_xlfn.XLOOKUP(Grammys[[#This Row],[date]],mobile_visits[date],mobile_visits[mobile_visitors],0)</f>
        <v>0</v>
      </c>
      <c r="O92" s="1">
        <v>44683</v>
      </c>
      <c r="P92">
        <v>11428</v>
      </c>
    </row>
    <row r="93" spans="1:16">
      <c r="A93" s="1">
        <v>42827</v>
      </c>
      <c r="B93">
        <v>7970</v>
      </c>
      <c r="C93">
        <v>15161</v>
      </c>
      <c r="D93">
        <v>8488</v>
      </c>
      <c r="E93">
        <v>6203</v>
      </c>
      <c r="F93">
        <v>82</v>
      </c>
      <c r="G93" t="s">
        <v>9</v>
      </c>
      <c r="H93" t="str" cm="1">
        <f t="array" ref="H93">_xlfn.IFS(Grammys[[#This Row],[date]] &gt;= DATE(2022,2,1),"Grammys",TRUE,"Grammys TRA")</f>
        <v>Grammys TRA</v>
      </c>
      <c r="I93">
        <f>_xlfn.XLOOKUP(Grammys[[#This Row],[date]],mobile_visits[date],mobile_visits[mobile_visitors],0)</f>
        <v>0</v>
      </c>
      <c r="O93" s="1">
        <v>44684</v>
      </c>
      <c r="P93">
        <v>11634</v>
      </c>
    </row>
    <row r="94" spans="1:16">
      <c r="A94" s="1">
        <v>42828</v>
      </c>
      <c r="B94">
        <v>7827</v>
      </c>
      <c r="C94">
        <v>15386</v>
      </c>
      <c r="D94">
        <v>8361</v>
      </c>
      <c r="E94">
        <v>5994</v>
      </c>
      <c r="F94">
        <v>80</v>
      </c>
      <c r="G94" t="s">
        <v>9</v>
      </c>
      <c r="H94" t="str" cm="1">
        <f t="array" ref="H94">_xlfn.IFS(Grammys[[#This Row],[date]] &gt;= DATE(2022,2,1),"Grammys",TRUE,"Grammys TRA")</f>
        <v>Grammys TRA</v>
      </c>
      <c r="I94">
        <f>_xlfn.XLOOKUP(Grammys[[#This Row],[date]],mobile_visits[date],mobile_visits[mobile_visitors],0)</f>
        <v>0</v>
      </c>
      <c r="O94" s="1">
        <v>44685</v>
      </c>
      <c r="P94">
        <v>11398</v>
      </c>
    </row>
    <row r="95" spans="1:16">
      <c r="A95" s="1">
        <v>42829</v>
      </c>
      <c r="B95">
        <v>7359</v>
      </c>
      <c r="C95">
        <v>15506</v>
      </c>
      <c r="D95">
        <v>7811</v>
      </c>
      <c r="E95">
        <v>5510</v>
      </c>
      <c r="F95">
        <v>83</v>
      </c>
      <c r="G95" t="s">
        <v>9</v>
      </c>
      <c r="H95" t="str" cm="1">
        <f t="array" ref="H95">_xlfn.IFS(Grammys[[#This Row],[date]] &gt;= DATE(2022,2,1),"Grammys",TRUE,"Grammys TRA")</f>
        <v>Grammys TRA</v>
      </c>
      <c r="I95">
        <f>_xlfn.XLOOKUP(Grammys[[#This Row],[date]],mobile_visits[date],mobile_visits[mobile_visitors],0)</f>
        <v>0</v>
      </c>
      <c r="O95" s="1">
        <v>44686</v>
      </c>
      <c r="P95">
        <v>10272</v>
      </c>
    </row>
    <row r="96" spans="1:16">
      <c r="A96" s="1">
        <v>42830</v>
      </c>
      <c r="B96">
        <v>7201</v>
      </c>
      <c r="C96">
        <v>13538</v>
      </c>
      <c r="D96">
        <v>7526</v>
      </c>
      <c r="E96">
        <v>5521</v>
      </c>
      <c r="F96">
        <v>80</v>
      </c>
      <c r="G96" t="s">
        <v>9</v>
      </c>
      <c r="H96" t="str" cm="1">
        <f t="array" ref="H96">_xlfn.IFS(Grammys[[#This Row],[date]] &gt;= DATE(2022,2,1),"Grammys",TRUE,"Grammys TRA")</f>
        <v>Grammys TRA</v>
      </c>
      <c r="I96">
        <f>_xlfn.XLOOKUP(Grammys[[#This Row],[date]],mobile_visits[date],mobile_visits[mobile_visitors],0)</f>
        <v>0</v>
      </c>
      <c r="O96" s="1">
        <v>44687</v>
      </c>
      <c r="P96">
        <v>11848</v>
      </c>
    </row>
    <row r="97" spans="1:16">
      <c r="A97" s="1">
        <v>42831</v>
      </c>
      <c r="B97">
        <v>7249</v>
      </c>
      <c r="C97">
        <v>13767</v>
      </c>
      <c r="D97">
        <v>7605</v>
      </c>
      <c r="E97">
        <v>5377</v>
      </c>
      <c r="F97">
        <v>80</v>
      </c>
      <c r="G97" t="s">
        <v>9</v>
      </c>
      <c r="H97" t="str" cm="1">
        <f t="array" ref="H97">_xlfn.IFS(Grammys[[#This Row],[date]] &gt;= DATE(2022,2,1),"Grammys",TRUE,"Grammys TRA")</f>
        <v>Grammys TRA</v>
      </c>
      <c r="I97">
        <f>_xlfn.XLOOKUP(Grammys[[#This Row],[date]],mobile_visits[date],mobile_visits[mobile_visitors],0)</f>
        <v>0</v>
      </c>
      <c r="O97" s="1">
        <v>44688</v>
      </c>
      <c r="P97">
        <v>11987</v>
      </c>
    </row>
    <row r="98" spans="1:16">
      <c r="A98" s="1">
        <v>42832</v>
      </c>
      <c r="B98">
        <v>6950</v>
      </c>
      <c r="C98">
        <v>13052</v>
      </c>
      <c r="D98">
        <v>7292</v>
      </c>
      <c r="E98">
        <v>5254</v>
      </c>
      <c r="F98">
        <v>71</v>
      </c>
      <c r="G98" t="s">
        <v>9</v>
      </c>
      <c r="H98" t="str" cm="1">
        <f t="array" ref="H98">_xlfn.IFS(Grammys[[#This Row],[date]] &gt;= DATE(2022,2,1),"Grammys",TRUE,"Grammys TRA")</f>
        <v>Grammys TRA</v>
      </c>
      <c r="I98">
        <f>_xlfn.XLOOKUP(Grammys[[#This Row],[date]],mobile_visits[date],mobile_visits[mobile_visitors],0)</f>
        <v>0</v>
      </c>
      <c r="O98" s="1">
        <v>44689</v>
      </c>
      <c r="P98">
        <v>11988</v>
      </c>
    </row>
    <row r="99" spans="1:16">
      <c r="A99" s="1">
        <v>42833</v>
      </c>
      <c r="B99">
        <v>6262</v>
      </c>
      <c r="C99">
        <v>11439</v>
      </c>
      <c r="D99">
        <v>6648</v>
      </c>
      <c r="E99">
        <v>4947</v>
      </c>
      <c r="F99">
        <v>68</v>
      </c>
      <c r="G99" t="s">
        <v>9</v>
      </c>
      <c r="H99" t="str" cm="1">
        <f t="array" ref="H99">_xlfn.IFS(Grammys[[#This Row],[date]] &gt;= DATE(2022,2,1),"Grammys",TRUE,"Grammys TRA")</f>
        <v>Grammys TRA</v>
      </c>
      <c r="I99">
        <f>_xlfn.XLOOKUP(Grammys[[#This Row],[date]],mobile_visits[date],mobile_visits[mobile_visitors],0)</f>
        <v>0</v>
      </c>
      <c r="O99" s="1">
        <v>44690</v>
      </c>
      <c r="P99">
        <v>10033</v>
      </c>
    </row>
    <row r="100" spans="1:16">
      <c r="A100" s="1">
        <v>42834</v>
      </c>
      <c r="B100">
        <v>6347</v>
      </c>
      <c r="C100">
        <v>12067</v>
      </c>
      <c r="D100">
        <v>6701</v>
      </c>
      <c r="E100">
        <v>4855</v>
      </c>
      <c r="F100">
        <v>78</v>
      </c>
      <c r="G100" t="s">
        <v>9</v>
      </c>
      <c r="H100" t="str" cm="1">
        <f t="array" ref="H100">_xlfn.IFS(Grammys[[#This Row],[date]] &gt;= DATE(2022,2,1),"Grammys",TRUE,"Grammys TRA")</f>
        <v>Grammys TRA</v>
      </c>
      <c r="I100">
        <f>_xlfn.XLOOKUP(Grammys[[#This Row],[date]],mobile_visits[date],mobile_visits[mobile_visitors],0)</f>
        <v>0</v>
      </c>
      <c r="O100" s="1">
        <v>44691</v>
      </c>
      <c r="P100">
        <v>8265</v>
      </c>
    </row>
    <row r="101" spans="1:16">
      <c r="A101" s="1">
        <v>42835</v>
      </c>
      <c r="B101">
        <v>6337</v>
      </c>
      <c r="C101">
        <v>12033</v>
      </c>
      <c r="D101">
        <v>6719</v>
      </c>
      <c r="E101">
        <v>4883</v>
      </c>
      <c r="F101">
        <v>75</v>
      </c>
      <c r="G101" t="s">
        <v>9</v>
      </c>
      <c r="H101" t="str" cm="1">
        <f t="array" ref="H101">_xlfn.IFS(Grammys[[#This Row],[date]] &gt;= DATE(2022,2,1),"Grammys",TRUE,"Grammys TRA")</f>
        <v>Grammys TRA</v>
      </c>
      <c r="I101">
        <f>_xlfn.XLOOKUP(Grammys[[#This Row],[date]],mobile_visits[date],mobile_visits[mobile_visitors],0)</f>
        <v>0</v>
      </c>
      <c r="O101" s="1">
        <v>44692</v>
      </c>
      <c r="P101">
        <v>9151</v>
      </c>
    </row>
    <row r="102" spans="1:16">
      <c r="A102" s="1">
        <v>42836</v>
      </c>
      <c r="B102">
        <v>7011</v>
      </c>
      <c r="C102">
        <v>13225</v>
      </c>
      <c r="D102">
        <v>7513</v>
      </c>
      <c r="E102">
        <v>5456</v>
      </c>
      <c r="F102">
        <v>74</v>
      </c>
      <c r="G102" t="s">
        <v>9</v>
      </c>
      <c r="H102" t="str" cm="1">
        <f t="array" ref="H102">_xlfn.IFS(Grammys[[#This Row],[date]] &gt;= DATE(2022,2,1),"Grammys",TRUE,"Grammys TRA")</f>
        <v>Grammys TRA</v>
      </c>
      <c r="I102">
        <f>_xlfn.XLOOKUP(Grammys[[#This Row],[date]],mobile_visits[date],mobile_visits[mobile_visitors],0)</f>
        <v>0</v>
      </c>
      <c r="O102" s="1">
        <v>44693</v>
      </c>
      <c r="P102">
        <v>10890</v>
      </c>
    </row>
    <row r="103" spans="1:16">
      <c r="A103" s="1">
        <v>42837</v>
      </c>
      <c r="B103">
        <v>8038</v>
      </c>
      <c r="C103">
        <v>13900</v>
      </c>
      <c r="D103">
        <v>8415</v>
      </c>
      <c r="E103">
        <v>6181</v>
      </c>
      <c r="F103">
        <v>62</v>
      </c>
      <c r="G103" t="s">
        <v>9</v>
      </c>
      <c r="H103" t="str" cm="1">
        <f t="array" ref="H103">_xlfn.IFS(Grammys[[#This Row],[date]] &gt;= DATE(2022,2,1),"Grammys",TRUE,"Grammys TRA")</f>
        <v>Grammys TRA</v>
      </c>
      <c r="I103">
        <f>_xlfn.XLOOKUP(Grammys[[#This Row],[date]],mobile_visits[date],mobile_visits[mobile_visitors],0)</f>
        <v>0</v>
      </c>
      <c r="O103" s="1">
        <v>44694</v>
      </c>
      <c r="P103">
        <v>11956</v>
      </c>
    </row>
    <row r="104" spans="1:16">
      <c r="A104" s="1">
        <v>42838</v>
      </c>
      <c r="B104">
        <v>10204</v>
      </c>
      <c r="C104">
        <v>17707</v>
      </c>
      <c r="D104">
        <v>10830</v>
      </c>
      <c r="E104">
        <v>8061</v>
      </c>
      <c r="F104">
        <v>62</v>
      </c>
      <c r="G104" t="s">
        <v>9</v>
      </c>
      <c r="H104" t="str" cm="1">
        <f t="array" ref="H104">_xlfn.IFS(Grammys[[#This Row],[date]] &gt;= DATE(2022,2,1),"Grammys",TRUE,"Grammys TRA")</f>
        <v>Grammys TRA</v>
      </c>
      <c r="I104">
        <f>_xlfn.XLOOKUP(Grammys[[#This Row],[date]],mobile_visits[date],mobile_visits[mobile_visitors],0)</f>
        <v>0</v>
      </c>
      <c r="O104" s="1">
        <v>44695</v>
      </c>
      <c r="P104">
        <v>12357</v>
      </c>
    </row>
    <row r="105" spans="1:16">
      <c r="A105" s="1">
        <v>42839</v>
      </c>
      <c r="B105">
        <v>10322</v>
      </c>
      <c r="C105">
        <v>17967</v>
      </c>
      <c r="D105">
        <v>10990</v>
      </c>
      <c r="E105">
        <v>8253</v>
      </c>
      <c r="F105">
        <v>67</v>
      </c>
      <c r="G105" t="s">
        <v>9</v>
      </c>
      <c r="H105" t="str" cm="1">
        <f t="array" ref="H105">_xlfn.IFS(Grammys[[#This Row],[date]] &gt;= DATE(2022,2,1),"Grammys",TRUE,"Grammys TRA")</f>
        <v>Grammys TRA</v>
      </c>
      <c r="I105">
        <f>_xlfn.XLOOKUP(Grammys[[#This Row],[date]],mobile_visits[date],mobile_visits[mobile_visitors],0)</f>
        <v>0</v>
      </c>
      <c r="O105" s="1">
        <v>44696</v>
      </c>
      <c r="P105">
        <v>12572</v>
      </c>
    </row>
    <row r="106" spans="1:16">
      <c r="A106" s="1">
        <v>42840</v>
      </c>
      <c r="B106">
        <v>8806</v>
      </c>
      <c r="C106">
        <v>15271</v>
      </c>
      <c r="D106">
        <v>9285</v>
      </c>
      <c r="E106">
        <v>6988</v>
      </c>
      <c r="F106">
        <v>62</v>
      </c>
      <c r="G106" t="s">
        <v>9</v>
      </c>
      <c r="H106" t="str" cm="1">
        <f t="array" ref="H106">_xlfn.IFS(Grammys[[#This Row],[date]] &gt;= DATE(2022,2,1),"Grammys",TRUE,"Grammys TRA")</f>
        <v>Grammys TRA</v>
      </c>
      <c r="I106">
        <f>_xlfn.XLOOKUP(Grammys[[#This Row],[date]],mobile_visits[date],mobile_visits[mobile_visitors],0)</f>
        <v>0</v>
      </c>
      <c r="O106" s="1">
        <v>44697</v>
      </c>
      <c r="P106">
        <v>10794</v>
      </c>
    </row>
    <row r="107" spans="1:16">
      <c r="A107" s="1">
        <v>42841</v>
      </c>
      <c r="B107">
        <v>21469</v>
      </c>
      <c r="C107">
        <v>37310</v>
      </c>
      <c r="D107">
        <v>22710</v>
      </c>
      <c r="E107">
        <v>16452</v>
      </c>
      <c r="F107">
        <v>67</v>
      </c>
      <c r="G107" t="s">
        <v>9</v>
      </c>
      <c r="H107" t="str" cm="1">
        <f t="array" ref="H107">_xlfn.IFS(Grammys[[#This Row],[date]] &gt;= DATE(2022,2,1),"Grammys",TRUE,"Grammys TRA")</f>
        <v>Grammys TRA</v>
      </c>
      <c r="I107">
        <f>_xlfn.XLOOKUP(Grammys[[#This Row],[date]],mobile_visits[date],mobile_visits[mobile_visitors],0)</f>
        <v>0</v>
      </c>
      <c r="O107" s="1">
        <v>44698</v>
      </c>
      <c r="P107">
        <v>9797</v>
      </c>
    </row>
    <row r="108" spans="1:16">
      <c r="A108" s="1">
        <v>42842</v>
      </c>
      <c r="B108">
        <v>14149</v>
      </c>
      <c r="C108">
        <v>27777</v>
      </c>
      <c r="D108">
        <v>14922</v>
      </c>
      <c r="E108">
        <v>10188</v>
      </c>
      <c r="F108">
        <v>73</v>
      </c>
      <c r="G108" t="s">
        <v>9</v>
      </c>
      <c r="H108" t="str" cm="1">
        <f t="array" ref="H108">_xlfn.IFS(Grammys[[#This Row],[date]] &gt;= DATE(2022,2,1),"Grammys",TRUE,"Grammys TRA")</f>
        <v>Grammys TRA</v>
      </c>
      <c r="I108">
        <f>_xlfn.XLOOKUP(Grammys[[#This Row],[date]],mobile_visits[date],mobile_visits[mobile_visitors],0)</f>
        <v>0</v>
      </c>
      <c r="O108" s="1">
        <v>44699</v>
      </c>
      <c r="P108">
        <v>9463</v>
      </c>
    </row>
    <row r="109" spans="1:16">
      <c r="A109" s="1">
        <v>42843</v>
      </c>
      <c r="B109">
        <v>10477</v>
      </c>
      <c r="C109">
        <v>20391</v>
      </c>
      <c r="D109">
        <v>11127</v>
      </c>
      <c r="E109">
        <v>7851</v>
      </c>
      <c r="F109">
        <v>74</v>
      </c>
      <c r="G109" t="s">
        <v>9</v>
      </c>
      <c r="H109" t="str" cm="1">
        <f t="array" ref="H109">_xlfn.IFS(Grammys[[#This Row],[date]] &gt;= DATE(2022,2,1),"Grammys",TRUE,"Grammys TRA")</f>
        <v>Grammys TRA</v>
      </c>
      <c r="I109">
        <f>_xlfn.XLOOKUP(Grammys[[#This Row],[date]],mobile_visits[date],mobile_visits[mobile_visitors],0)</f>
        <v>0</v>
      </c>
      <c r="O109" s="1">
        <v>44700</v>
      </c>
      <c r="P109">
        <v>12308</v>
      </c>
    </row>
    <row r="110" spans="1:16">
      <c r="A110" s="1">
        <v>42844</v>
      </c>
      <c r="B110">
        <v>35249</v>
      </c>
      <c r="C110">
        <v>50045</v>
      </c>
      <c r="D110">
        <v>36246</v>
      </c>
      <c r="E110">
        <v>30063</v>
      </c>
      <c r="F110">
        <v>35</v>
      </c>
      <c r="G110" t="s">
        <v>9</v>
      </c>
      <c r="H110" t="str" cm="1">
        <f t="array" ref="H110">_xlfn.IFS(Grammys[[#This Row],[date]] &gt;= DATE(2022,2,1),"Grammys",TRUE,"Grammys TRA")</f>
        <v>Grammys TRA</v>
      </c>
      <c r="I110">
        <f>_xlfn.XLOOKUP(Grammys[[#This Row],[date]],mobile_visits[date],mobile_visits[mobile_visitors],0)</f>
        <v>0</v>
      </c>
      <c r="O110" s="1">
        <v>44701</v>
      </c>
      <c r="P110">
        <v>11140</v>
      </c>
    </row>
    <row r="111" spans="1:16">
      <c r="A111" s="1">
        <v>42845</v>
      </c>
      <c r="B111">
        <v>13080</v>
      </c>
      <c r="C111">
        <v>23052</v>
      </c>
      <c r="D111">
        <v>13730</v>
      </c>
      <c r="E111">
        <v>10242</v>
      </c>
      <c r="F111">
        <v>59</v>
      </c>
      <c r="G111" t="s">
        <v>9</v>
      </c>
      <c r="H111" t="str" cm="1">
        <f t="array" ref="H111">_xlfn.IFS(Grammys[[#This Row],[date]] &gt;= DATE(2022,2,1),"Grammys",TRUE,"Grammys TRA")</f>
        <v>Grammys TRA</v>
      </c>
      <c r="I111">
        <f>_xlfn.XLOOKUP(Grammys[[#This Row],[date]],mobile_visits[date],mobile_visits[mobile_visitors],0)</f>
        <v>0</v>
      </c>
      <c r="O111" s="1">
        <v>44702</v>
      </c>
      <c r="P111">
        <v>11411</v>
      </c>
    </row>
    <row r="112" spans="1:16">
      <c r="A112" s="1">
        <v>42846</v>
      </c>
      <c r="B112">
        <v>11195</v>
      </c>
      <c r="C112">
        <v>20578</v>
      </c>
      <c r="D112">
        <v>11770</v>
      </c>
      <c r="E112">
        <v>8228</v>
      </c>
      <c r="F112">
        <v>68</v>
      </c>
      <c r="G112" t="s">
        <v>9</v>
      </c>
      <c r="H112" t="str" cm="1">
        <f t="array" ref="H112">_xlfn.IFS(Grammys[[#This Row],[date]] &gt;= DATE(2022,2,1),"Grammys",TRUE,"Grammys TRA")</f>
        <v>Grammys TRA</v>
      </c>
      <c r="I112">
        <f>_xlfn.XLOOKUP(Grammys[[#This Row],[date]],mobile_visits[date],mobile_visits[mobile_visitors],0)</f>
        <v>0</v>
      </c>
      <c r="O112" s="1">
        <v>44703</v>
      </c>
      <c r="P112">
        <v>11219</v>
      </c>
    </row>
    <row r="113" spans="1:16">
      <c r="A113" s="1">
        <v>42847</v>
      </c>
      <c r="B113">
        <v>8363</v>
      </c>
      <c r="C113">
        <v>14911</v>
      </c>
      <c r="D113">
        <v>8892</v>
      </c>
      <c r="E113">
        <v>6258</v>
      </c>
      <c r="F113">
        <v>66</v>
      </c>
      <c r="G113" t="s">
        <v>9</v>
      </c>
      <c r="H113" t="str" cm="1">
        <f t="array" ref="H113">_xlfn.IFS(Grammys[[#This Row],[date]] &gt;= DATE(2022,2,1),"Grammys",TRUE,"Grammys TRA")</f>
        <v>Grammys TRA</v>
      </c>
      <c r="I113">
        <f>_xlfn.XLOOKUP(Grammys[[#This Row],[date]],mobile_visits[date],mobile_visits[mobile_visitors],0)</f>
        <v>0</v>
      </c>
      <c r="O113" s="1">
        <v>44704</v>
      </c>
      <c r="P113">
        <v>9882</v>
      </c>
    </row>
    <row r="114" spans="1:16">
      <c r="A114" s="1">
        <v>42848</v>
      </c>
      <c r="B114">
        <v>8071</v>
      </c>
      <c r="C114">
        <v>14772</v>
      </c>
      <c r="D114">
        <v>8486</v>
      </c>
      <c r="E114">
        <v>6231</v>
      </c>
      <c r="F114">
        <v>69</v>
      </c>
      <c r="G114" t="s">
        <v>9</v>
      </c>
      <c r="H114" t="str" cm="1">
        <f t="array" ref="H114">_xlfn.IFS(Grammys[[#This Row],[date]] &gt;= DATE(2022,2,1),"Grammys",TRUE,"Grammys TRA")</f>
        <v>Grammys TRA</v>
      </c>
      <c r="I114">
        <f>_xlfn.XLOOKUP(Grammys[[#This Row],[date]],mobile_visits[date],mobile_visits[mobile_visitors],0)</f>
        <v>0</v>
      </c>
      <c r="O114" s="1">
        <v>44705</v>
      </c>
      <c r="P114">
        <v>10101</v>
      </c>
    </row>
    <row r="115" spans="1:16">
      <c r="A115" s="1">
        <v>42849</v>
      </c>
      <c r="B115">
        <v>8548</v>
      </c>
      <c r="C115">
        <v>15685</v>
      </c>
      <c r="D115">
        <v>8981</v>
      </c>
      <c r="E115">
        <v>6587</v>
      </c>
      <c r="F115">
        <v>72</v>
      </c>
      <c r="G115" t="s">
        <v>9</v>
      </c>
      <c r="H115" t="str" cm="1">
        <f t="array" ref="H115">_xlfn.IFS(Grammys[[#This Row],[date]] &gt;= DATE(2022,2,1),"Grammys",TRUE,"Grammys TRA")</f>
        <v>Grammys TRA</v>
      </c>
      <c r="I115">
        <f>_xlfn.XLOOKUP(Grammys[[#This Row],[date]],mobile_visits[date],mobile_visits[mobile_visitors],0)</f>
        <v>0</v>
      </c>
      <c r="O115" s="1">
        <v>44706</v>
      </c>
      <c r="P115">
        <v>10184</v>
      </c>
    </row>
    <row r="116" spans="1:16">
      <c r="A116" s="1">
        <v>42850</v>
      </c>
      <c r="B116">
        <v>8179</v>
      </c>
      <c r="C116">
        <v>14435</v>
      </c>
      <c r="D116">
        <v>8633</v>
      </c>
      <c r="E116">
        <v>6410</v>
      </c>
      <c r="F116">
        <v>60</v>
      </c>
      <c r="G116" t="s">
        <v>9</v>
      </c>
      <c r="H116" t="str" cm="1">
        <f t="array" ref="H116">_xlfn.IFS(Grammys[[#This Row],[date]] &gt;= DATE(2022,2,1),"Grammys",TRUE,"Grammys TRA")</f>
        <v>Grammys TRA</v>
      </c>
      <c r="I116">
        <f>_xlfn.XLOOKUP(Grammys[[#This Row],[date]],mobile_visits[date],mobile_visits[mobile_visitors],0)</f>
        <v>0</v>
      </c>
      <c r="O116" s="1">
        <v>44707</v>
      </c>
      <c r="P116">
        <v>10467</v>
      </c>
    </row>
    <row r="117" spans="1:16">
      <c r="A117" s="1">
        <v>42851</v>
      </c>
      <c r="B117">
        <v>7717</v>
      </c>
      <c r="C117">
        <v>14183</v>
      </c>
      <c r="D117">
        <v>8186</v>
      </c>
      <c r="E117">
        <v>5975</v>
      </c>
      <c r="F117">
        <v>67</v>
      </c>
      <c r="G117" t="s">
        <v>9</v>
      </c>
      <c r="H117" t="str" cm="1">
        <f t="array" ref="H117">_xlfn.IFS(Grammys[[#This Row],[date]] &gt;= DATE(2022,2,1),"Grammys",TRUE,"Grammys TRA")</f>
        <v>Grammys TRA</v>
      </c>
      <c r="I117">
        <f>_xlfn.XLOOKUP(Grammys[[#This Row],[date]],mobile_visits[date],mobile_visits[mobile_visitors],0)</f>
        <v>0</v>
      </c>
      <c r="O117" s="1">
        <v>44708</v>
      </c>
      <c r="P117">
        <v>13647</v>
      </c>
    </row>
    <row r="118" spans="1:16">
      <c r="A118" s="1">
        <v>42852</v>
      </c>
      <c r="B118">
        <v>7489</v>
      </c>
      <c r="C118">
        <v>13680</v>
      </c>
      <c r="D118">
        <v>7869</v>
      </c>
      <c r="E118">
        <v>5706</v>
      </c>
      <c r="F118">
        <v>67</v>
      </c>
      <c r="G118" t="s">
        <v>9</v>
      </c>
      <c r="H118" t="str" cm="1">
        <f t="array" ref="H118">_xlfn.IFS(Grammys[[#This Row],[date]] &gt;= DATE(2022,2,1),"Grammys",TRUE,"Grammys TRA")</f>
        <v>Grammys TRA</v>
      </c>
      <c r="I118">
        <f>_xlfn.XLOOKUP(Grammys[[#This Row],[date]],mobile_visits[date],mobile_visits[mobile_visitors],0)</f>
        <v>0</v>
      </c>
      <c r="O118" s="1">
        <v>44709</v>
      </c>
      <c r="P118">
        <v>9615</v>
      </c>
    </row>
    <row r="119" spans="1:16">
      <c r="A119" s="1">
        <v>42853</v>
      </c>
      <c r="B119">
        <v>7011</v>
      </c>
      <c r="C119">
        <v>13079</v>
      </c>
      <c r="D119">
        <v>7342</v>
      </c>
      <c r="E119">
        <v>5301</v>
      </c>
      <c r="F119">
        <v>69</v>
      </c>
      <c r="G119" t="s">
        <v>9</v>
      </c>
      <c r="H119" t="str" cm="1">
        <f t="array" ref="H119">_xlfn.IFS(Grammys[[#This Row],[date]] &gt;= DATE(2022,2,1),"Grammys",TRUE,"Grammys TRA")</f>
        <v>Grammys TRA</v>
      </c>
      <c r="I119">
        <f>_xlfn.XLOOKUP(Grammys[[#This Row],[date]],mobile_visits[date],mobile_visits[mobile_visitors],0)</f>
        <v>0</v>
      </c>
      <c r="O119" s="1">
        <v>44710</v>
      </c>
      <c r="P119">
        <v>8738</v>
      </c>
    </row>
    <row r="120" spans="1:16">
      <c r="A120" s="1">
        <v>42854</v>
      </c>
      <c r="B120">
        <v>10897</v>
      </c>
      <c r="C120">
        <v>16223</v>
      </c>
      <c r="D120">
        <v>11306</v>
      </c>
      <c r="E120">
        <v>9440</v>
      </c>
      <c r="F120">
        <v>36</v>
      </c>
      <c r="G120" t="s">
        <v>9</v>
      </c>
      <c r="H120" t="str" cm="1">
        <f t="array" ref="H120">_xlfn.IFS(Grammys[[#This Row],[date]] &gt;= DATE(2022,2,1),"Grammys",TRUE,"Grammys TRA")</f>
        <v>Grammys TRA</v>
      </c>
      <c r="I120">
        <f>_xlfn.XLOOKUP(Grammys[[#This Row],[date]],mobile_visits[date],mobile_visits[mobile_visitors],0)</f>
        <v>0</v>
      </c>
      <c r="O120" s="1">
        <v>44711</v>
      </c>
      <c r="P120">
        <v>9641</v>
      </c>
    </row>
    <row r="121" spans="1:16">
      <c r="A121" s="1">
        <v>42855</v>
      </c>
      <c r="B121">
        <v>8115</v>
      </c>
      <c r="C121">
        <v>14750</v>
      </c>
      <c r="D121">
        <v>8418</v>
      </c>
      <c r="E121">
        <v>6104</v>
      </c>
      <c r="F121">
        <v>61</v>
      </c>
      <c r="G121" t="s">
        <v>9</v>
      </c>
      <c r="H121" t="str" cm="1">
        <f t="array" ref="H121">_xlfn.IFS(Grammys[[#This Row],[date]] &gt;= DATE(2022,2,1),"Grammys",TRUE,"Grammys TRA")</f>
        <v>Grammys TRA</v>
      </c>
      <c r="I121">
        <f>_xlfn.XLOOKUP(Grammys[[#This Row],[date]],mobile_visits[date],mobile_visits[mobile_visitors],0)</f>
        <v>0</v>
      </c>
      <c r="O121" s="1">
        <v>44712</v>
      </c>
      <c r="P121">
        <v>8517</v>
      </c>
    </row>
    <row r="122" spans="1:16">
      <c r="A122" s="1">
        <v>42856</v>
      </c>
      <c r="B122">
        <v>7923</v>
      </c>
      <c r="C122">
        <v>14731</v>
      </c>
      <c r="D122">
        <v>8382</v>
      </c>
      <c r="E122">
        <v>5982</v>
      </c>
      <c r="F122">
        <v>70</v>
      </c>
      <c r="G122" t="s">
        <v>9</v>
      </c>
      <c r="H122" t="str" cm="1">
        <f t="array" ref="H122">_xlfn.IFS(Grammys[[#This Row],[date]] &gt;= DATE(2022,2,1),"Grammys",TRUE,"Grammys TRA")</f>
        <v>Grammys TRA</v>
      </c>
      <c r="I122">
        <f>_xlfn.XLOOKUP(Grammys[[#This Row],[date]],mobile_visits[date],mobile_visits[mobile_visitors],0)</f>
        <v>0</v>
      </c>
      <c r="O122" s="1">
        <v>44713</v>
      </c>
      <c r="P122">
        <v>9204</v>
      </c>
    </row>
    <row r="123" spans="1:16">
      <c r="A123" s="1">
        <v>42857</v>
      </c>
      <c r="B123">
        <v>7653</v>
      </c>
      <c r="C123">
        <v>13879</v>
      </c>
      <c r="D123">
        <v>8156</v>
      </c>
      <c r="E123">
        <v>5918</v>
      </c>
      <c r="F123">
        <v>67</v>
      </c>
      <c r="G123" t="s">
        <v>9</v>
      </c>
      <c r="H123" t="str" cm="1">
        <f t="array" ref="H123">_xlfn.IFS(Grammys[[#This Row],[date]] &gt;= DATE(2022,2,1),"Grammys",TRUE,"Grammys TRA")</f>
        <v>Grammys TRA</v>
      </c>
      <c r="I123">
        <f>_xlfn.XLOOKUP(Grammys[[#This Row],[date]],mobile_visits[date],mobile_visits[mobile_visitors],0)</f>
        <v>0</v>
      </c>
      <c r="O123" s="1">
        <v>44714</v>
      </c>
      <c r="P123">
        <v>9134</v>
      </c>
    </row>
    <row r="124" spans="1:16">
      <c r="A124" s="1">
        <v>42858</v>
      </c>
      <c r="B124">
        <v>12064</v>
      </c>
      <c r="C124">
        <v>21432</v>
      </c>
      <c r="D124">
        <v>12821</v>
      </c>
      <c r="E124">
        <v>9369</v>
      </c>
      <c r="F124">
        <v>69</v>
      </c>
      <c r="G124" t="s">
        <v>9</v>
      </c>
      <c r="H124" t="str" cm="1">
        <f t="array" ref="H124">_xlfn.IFS(Grammys[[#This Row],[date]] &gt;= DATE(2022,2,1),"Grammys",TRUE,"Grammys TRA")</f>
        <v>Grammys TRA</v>
      </c>
      <c r="I124">
        <f>_xlfn.XLOOKUP(Grammys[[#This Row],[date]],mobile_visits[date],mobile_visits[mobile_visitors],0)</f>
        <v>0</v>
      </c>
      <c r="O124" s="1">
        <v>44715</v>
      </c>
      <c r="P124">
        <v>7944</v>
      </c>
    </row>
    <row r="125" spans="1:16">
      <c r="A125" s="1">
        <v>42859</v>
      </c>
      <c r="B125">
        <v>9065</v>
      </c>
      <c r="C125">
        <v>17003</v>
      </c>
      <c r="D125">
        <v>9524</v>
      </c>
      <c r="E125">
        <v>6938</v>
      </c>
      <c r="F125">
        <v>72</v>
      </c>
      <c r="G125" t="s">
        <v>9</v>
      </c>
      <c r="H125" t="str" cm="1">
        <f t="array" ref="H125">_xlfn.IFS(Grammys[[#This Row],[date]] &gt;= DATE(2022,2,1),"Grammys",TRUE,"Grammys TRA")</f>
        <v>Grammys TRA</v>
      </c>
      <c r="I125">
        <f>_xlfn.XLOOKUP(Grammys[[#This Row],[date]],mobile_visits[date],mobile_visits[mobile_visitors],0)</f>
        <v>0</v>
      </c>
      <c r="O125" s="1">
        <v>44716</v>
      </c>
      <c r="P125">
        <v>8937</v>
      </c>
    </row>
    <row r="126" spans="1:16">
      <c r="A126" s="1">
        <v>42860</v>
      </c>
      <c r="B126">
        <v>8668</v>
      </c>
      <c r="C126">
        <v>15453</v>
      </c>
      <c r="D126">
        <v>9066</v>
      </c>
      <c r="E126">
        <v>6757</v>
      </c>
      <c r="F126">
        <v>66</v>
      </c>
      <c r="G126" t="s">
        <v>9</v>
      </c>
      <c r="H126" t="str" cm="1">
        <f t="array" ref="H126">_xlfn.IFS(Grammys[[#This Row],[date]] &gt;= DATE(2022,2,1),"Grammys",TRUE,"Grammys TRA")</f>
        <v>Grammys TRA</v>
      </c>
      <c r="I126">
        <f>_xlfn.XLOOKUP(Grammys[[#This Row],[date]],mobile_visits[date],mobile_visits[mobile_visitors],0)</f>
        <v>0</v>
      </c>
      <c r="O126" s="1">
        <v>44717</v>
      </c>
      <c r="P126">
        <v>8709</v>
      </c>
    </row>
    <row r="127" spans="1:16">
      <c r="A127" s="1">
        <v>42861</v>
      </c>
      <c r="B127">
        <v>7559</v>
      </c>
      <c r="C127">
        <v>12839</v>
      </c>
      <c r="D127">
        <v>8032</v>
      </c>
      <c r="E127">
        <v>6130</v>
      </c>
      <c r="F127">
        <v>59</v>
      </c>
      <c r="G127" t="s">
        <v>9</v>
      </c>
      <c r="H127" t="str" cm="1">
        <f t="array" ref="H127">_xlfn.IFS(Grammys[[#This Row],[date]] &gt;= DATE(2022,2,1),"Grammys",TRUE,"Grammys TRA")</f>
        <v>Grammys TRA</v>
      </c>
      <c r="I127">
        <f>_xlfn.XLOOKUP(Grammys[[#This Row],[date]],mobile_visits[date],mobile_visits[mobile_visitors],0)</f>
        <v>0</v>
      </c>
      <c r="O127" s="1">
        <v>44718</v>
      </c>
      <c r="P127">
        <v>7237</v>
      </c>
    </row>
    <row r="128" spans="1:16">
      <c r="A128" s="1">
        <v>42862</v>
      </c>
      <c r="B128">
        <v>7065</v>
      </c>
      <c r="C128">
        <v>12279</v>
      </c>
      <c r="D128">
        <v>7410</v>
      </c>
      <c r="E128">
        <v>5465</v>
      </c>
      <c r="F128">
        <v>63</v>
      </c>
      <c r="G128" t="s">
        <v>9</v>
      </c>
      <c r="H128" t="str" cm="1">
        <f t="array" ref="H128">_xlfn.IFS(Grammys[[#This Row],[date]] &gt;= DATE(2022,2,1),"Grammys",TRUE,"Grammys TRA")</f>
        <v>Grammys TRA</v>
      </c>
      <c r="I128">
        <f>_xlfn.XLOOKUP(Grammys[[#This Row],[date]],mobile_visits[date],mobile_visits[mobile_visitors],0)</f>
        <v>0</v>
      </c>
      <c r="O128" s="1">
        <v>44719</v>
      </c>
      <c r="P128">
        <v>7657</v>
      </c>
    </row>
    <row r="129" spans="1:16">
      <c r="A129" s="1">
        <v>42863</v>
      </c>
      <c r="B129">
        <v>7589</v>
      </c>
      <c r="C129">
        <v>13694</v>
      </c>
      <c r="D129">
        <v>7946</v>
      </c>
      <c r="E129">
        <v>5815</v>
      </c>
      <c r="F129">
        <v>67</v>
      </c>
      <c r="G129" t="s">
        <v>9</v>
      </c>
      <c r="H129" t="str" cm="1">
        <f t="array" ref="H129">_xlfn.IFS(Grammys[[#This Row],[date]] &gt;= DATE(2022,2,1),"Grammys",TRUE,"Grammys TRA")</f>
        <v>Grammys TRA</v>
      </c>
      <c r="I129">
        <f>_xlfn.XLOOKUP(Grammys[[#This Row],[date]],mobile_visits[date],mobile_visits[mobile_visitors],0)</f>
        <v>0</v>
      </c>
      <c r="O129" s="1">
        <v>44720</v>
      </c>
      <c r="P129">
        <v>13109</v>
      </c>
    </row>
    <row r="130" spans="1:16">
      <c r="A130" s="1">
        <v>42864</v>
      </c>
      <c r="B130">
        <v>7908</v>
      </c>
      <c r="C130">
        <v>14439</v>
      </c>
      <c r="D130">
        <v>8440</v>
      </c>
      <c r="E130">
        <v>6023</v>
      </c>
      <c r="F130">
        <v>69</v>
      </c>
      <c r="G130" t="s">
        <v>9</v>
      </c>
      <c r="H130" t="str" cm="1">
        <f t="array" ref="H130">_xlfn.IFS(Grammys[[#This Row],[date]] &gt;= DATE(2022,2,1),"Grammys",TRUE,"Grammys TRA")</f>
        <v>Grammys TRA</v>
      </c>
      <c r="I130">
        <f>_xlfn.XLOOKUP(Grammys[[#This Row],[date]],mobile_visits[date],mobile_visits[mobile_visitors],0)</f>
        <v>0</v>
      </c>
      <c r="O130" s="1">
        <v>44721</v>
      </c>
      <c r="P130">
        <v>18442</v>
      </c>
    </row>
    <row r="131" spans="1:16">
      <c r="A131" s="1">
        <v>42865</v>
      </c>
      <c r="B131">
        <v>7363</v>
      </c>
      <c r="C131">
        <v>13436</v>
      </c>
      <c r="D131">
        <v>7787</v>
      </c>
      <c r="E131">
        <v>5634</v>
      </c>
      <c r="F131">
        <v>67</v>
      </c>
      <c r="G131" t="s">
        <v>9</v>
      </c>
      <c r="H131" t="str" cm="1">
        <f t="array" ref="H131">_xlfn.IFS(Grammys[[#This Row],[date]] &gt;= DATE(2022,2,1),"Grammys",TRUE,"Grammys TRA")</f>
        <v>Grammys TRA</v>
      </c>
      <c r="I131">
        <f>_xlfn.XLOOKUP(Grammys[[#This Row],[date]],mobile_visits[date],mobile_visits[mobile_visitors],0)</f>
        <v>0</v>
      </c>
      <c r="O131" s="1">
        <v>44722</v>
      </c>
      <c r="P131">
        <v>22236</v>
      </c>
    </row>
    <row r="132" spans="1:16">
      <c r="A132" s="1">
        <v>42866</v>
      </c>
      <c r="B132">
        <v>7019</v>
      </c>
      <c r="C132">
        <v>12511</v>
      </c>
      <c r="D132">
        <v>7409</v>
      </c>
      <c r="E132">
        <v>5431</v>
      </c>
      <c r="F132">
        <v>64</v>
      </c>
      <c r="G132" t="s">
        <v>9</v>
      </c>
      <c r="H132" t="str" cm="1">
        <f t="array" ref="H132">_xlfn.IFS(Grammys[[#This Row],[date]] &gt;= DATE(2022,2,1),"Grammys",TRUE,"Grammys TRA")</f>
        <v>Grammys TRA</v>
      </c>
      <c r="I132">
        <f>_xlfn.XLOOKUP(Grammys[[#This Row],[date]],mobile_visits[date],mobile_visits[mobile_visitors],0)</f>
        <v>0</v>
      </c>
      <c r="O132" s="1">
        <v>44723</v>
      </c>
      <c r="P132">
        <v>15349</v>
      </c>
    </row>
    <row r="133" spans="1:16">
      <c r="A133" s="1">
        <v>42867</v>
      </c>
      <c r="B133">
        <v>6703</v>
      </c>
      <c r="C133">
        <v>12084</v>
      </c>
      <c r="D133">
        <v>7098</v>
      </c>
      <c r="E133">
        <v>5281</v>
      </c>
      <c r="F133">
        <v>64</v>
      </c>
      <c r="G133" t="s">
        <v>9</v>
      </c>
      <c r="H133" t="str" cm="1">
        <f t="array" ref="H133">_xlfn.IFS(Grammys[[#This Row],[date]] &gt;= DATE(2022,2,1),"Grammys",TRUE,"Grammys TRA")</f>
        <v>Grammys TRA</v>
      </c>
      <c r="I133">
        <f>_xlfn.XLOOKUP(Grammys[[#This Row],[date]],mobile_visits[date],mobile_visits[mobile_visitors],0)</f>
        <v>0</v>
      </c>
      <c r="O133" s="1">
        <v>44724</v>
      </c>
      <c r="P133">
        <v>11890</v>
      </c>
    </row>
    <row r="134" spans="1:16">
      <c r="A134" s="1">
        <v>42868</v>
      </c>
      <c r="B134">
        <v>6279</v>
      </c>
      <c r="C134">
        <v>11498</v>
      </c>
      <c r="D134">
        <v>6524</v>
      </c>
      <c r="E134">
        <v>4736</v>
      </c>
      <c r="F134">
        <v>69</v>
      </c>
      <c r="G134" t="s">
        <v>9</v>
      </c>
      <c r="H134" t="str" cm="1">
        <f t="array" ref="H134">_xlfn.IFS(Grammys[[#This Row],[date]] &gt;= DATE(2022,2,1),"Grammys",TRUE,"Grammys TRA")</f>
        <v>Grammys TRA</v>
      </c>
      <c r="I134">
        <f>_xlfn.XLOOKUP(Grammys[[#This Row],[date]],mobile_visits[date],mobile_visits[mobile_visitors],0)</f>
        <v>0</v>
      </c>
      <c r="O134" s="1">
        <v>44725</v>
      </c>
      <c r="P134">
        <v>10433</v>
      </c>
    </row>
    <row r="135" spans="1:16">
      <c r="A135" s="1">
        <v>42869</v>
      </c>
      <c r="B135">
        <v>5789</v>
      </c>
      <c r="C135">
        <v>11085</v>
      </c>
      <c r="D135">
        <v>6111</v>
      </c>
      <c r="E135">
        <v>4466</v>
      </c>
      <c r="F135">
        <v>71</v>
      </c>
      <c r="G135" t="s">
        <v>9</v>
      </c>
      <c r="H135" t="str" cm="1">
        <f t="array" ref="H135">_xlfn.IFS(Grammys[[#This Row],[date]] &gt;= DATE(2022,2,1),"Grammys",TRUE,"Grammys TRA")</f>
        <v>Grammys TRA</v>
      </c>
      <c r="I135">
        <f>_xlfn.XLOOKUP(Grammys[[#This Row],[date]],mobile_visits[date],mobile_visits[mobile_visitors],0)</f>
        <v>0</v>
      </c>
      <c r="O135" s="1">
        <v>44726</v>
      </c>
      <c r="P135">
        <v>10968</v>
      </c>
    </row>
    <row r="136" spans="1:16">
      <c r="A136" s="1">
        <v>42870</v>
      </c>
      <c r="B136">
        <v>6356</v>
      </c>
      <c r="C136">
        <v>11424</v>
      </c>
      <c r="D136">
        <v>6691</v>
      </c>
      <c r="E136">
        <v>4928</v>
      </c>
      <c r="F136">
        <v>68</v>
      </c>
      <c r="G136" t="s">
        <v>9</v>
      </c>
      <c r="H136" t="str" cm="1">
        <f t="array" ref="H136">_xlfn.IFS(Grammys[[#This Row],[date]] &gt;= DATE(2022,2,1),"Grammys",TRUE,"Grammys TRA")</f>
        <v>Grammys TRA</v>
      </c>
      <c r="I136">
        <f>_xlfn.XLOOKUP(Grammys[[#This Row],[date]],mobile_visits[date],mobile_visits[mobile_visitors],0)</f>
        <v>0</v>
      </c>
      <c r="O136" s="1">
        <v>44727</v>
      </c>
      <c r="P136">
        <v>8899</v>
      </c>
    </row>
    <row r="137" spans="1:16">
      <c r="A137" s="1">
        <v>42871</v>
      </c>
      <c r="B137">
        <v>6376</v>
      </c>
      <c r="C137">
        <v>11956</v>
      </c>
      <c r="D137">
        <v>6735</v>
      </c>
      <c r="E137">
        <v>4848</v>
      </c>
      <c r="F137">
        <v>75</v>
      </c>
      <c r="G137" t="s">
        <v>9</v>
      </c>
      <c r="H137" t="str" cm="1">
        <f t="array" ref="H137">_xlfn.IFS(Grammys[[#This Row],[date]] &gt;= DATE(2022,2,1),"Grammys",TRUE,"Grammys TRA")</f>
        <v>Grammys TRA</v>
      </c>
      <c r="I137">
        <f>_xlfn.XLOOKUP(Grammys[[#This Row],[date]],mobile_visits[date],mobile_visits[mobile_visitors],0)</f>
        <v>0</v>
      </c>
      <c r="O137" s="1">
        <v>44728</v>
      </c>
      <c r="P137">
        <v>11492</v>
      </c>
    </row>
    <row r="138" spans="1:16">
      <c r="A138" s="1">
        <v>42872</v>
      </c>
      <c r="B138">
        <v>1462</v>
      </c>
      <c r="C138">
        <v>2493</v>
      </c>
      <c r="D138">
        <v>1516</v>
      </c>
      <c r="E138">
        <v>1002</v>
      </c>
      <c r="F138">
        <v>94</v>
      </c>
      <c r="G138" t="s">
        <v>9</v>
      </c>
      <c r="H138" t="str" cm="1">
        <f t="array" ref="H138">_xlfn.IFS(Grammys[[#This Row],[date]] &gt;= DATE(2022,2,1),"Grammys",TRUE,"Grammys TRA")</f>
        <v>Grammys TRA</v>
      </c>
      <c r="I138">
        <f>_xlfn.XLOOKUP(Grammys[[#This Row],[date]],mobile_visits[date],mobile_visits[mobile_visitors],0)</f>
        <v>0</v>
      </c>
      <c r="O138" s="1">
        <v>44729</v>
      </c>
      <c r="P138">
        <v>12255</v>
      </c>
    </row>
    <row r="139" spans="1:16">
      <c r="A139" s="1">
        <v>42873</v>
      </c>
      <c r="B139">
        <v>4263</v>
      </c>
      <c r="C139">
        <v>6743</v>
      </c>
      <c r="D139">
        <v>4490</v>
      </c>
      <c r="E139">
        <v>3042</v>
      </c>
      <c r="F139">
        <v>69</v>
      </c>
      <c r="G139" t="s">
        <v>9</v>
      </c>
      <c r="H139" t="str" cm="1">
        <f t="array" ref="H139">_xlfn.IFS(Grammys[[#This Row],[date]] &gt;= DATE(2022,2,1),"Grammys",TRUE,"Grammys TRA")</f>
        <v>Grammys TRA</v>
      </c>
      <c r="I139">
        <f>_xlfn.XLOOKUP(Grammys[[#This Row],[date]],mobile_visits[date],mobile_visits[mobile_visitors],0)</f>
        <v>0</v>
      </c>
      <c r="O139" s="1">
        <v>44730</v>
      </c>
      <c r="P139">
        <v>9358</v>
      </c>
    </row>
    <row r="140" spans="1:16">
      <c r="A140" s="1">
        <v>42874</v>
      </c>
      <c r="B140">
        <v>4018</v>
      </c>
      <c r="C140">
        <v>6443</v>
      </c>
      <c r="D140">
        <v>4220</v>
      </c>
      <c r="E140">
        <v>2364</v>
      </c>
      <c r="F140">
        <v>78</v>
      </c>
      <c r="G140" t="s">
        <v>9</v>
      </c>
      <c r="H140" t="str" cm="1">
        <f t="array" ref="H140">_xlfn.IFS(Grammys[[#This Row],[date]] &gt;= DATE(2022,2,1),"Grammys",TRUE,"Grammys TRA")</f>
        <v>Grammys TRA</v>
      </c>
      <c r="I140">
        <f>_xlfn.XLOOKUP(Grammys[[#This Row],[date]],mobile_visits[date],mobile_visits[mobile_visitors],0)</f>
        <v>0</v>
      </c>
      <c r="O140" s="1">
        <v>44731</v>
      </c>
      <c r="P140">
        <v>9579</v>
      </c>
    </row>
    <row r="141" spans="1:16">
      <c r="A141" s="1">
        <v>42875</v>
      </c>
      <c r="B141">
        <v>3444</v>
      </c>
      <c r="C141">
        <v>5451</v>
      </c>
      <c r="D141">
        <v>3610</v>
      </c>
      <c r="E141">
        <v>1861</v>
      </c>
      <c r="F141">
        <v>83</v>
      </c>
      <c r="G141" t="s">
        <v>9</v>
      </c>
      <c r="H141" t="str" cm="1">
        <f t="array" ref="H141">_xlfn.IFS(Grammys[[#This Row],[date]] &gt;= DATE(2022,2,1),"Grammys",TRUE,"Grammys TRA")</f>
        <v>Grammys TRA</v>
      </c>
      <c r="I141">
        <f>_xlfn.XLOOKUP(Grammys[[#This Row],[date]],mobile_visits[date],mobile_visits[mobile_visitors],0)</f>
        <v>0</v>
      </c>
      <c r="O141" s="1">
        <v>44732</v>
      </c>
      <c r="P141">
        <v>9868</v>
      </c>
    </row>
    <row r="142" spans="1:16">
      <c r="A142" s="1">
        <v>42876</v>
      </c>
      <c r="B142">
        <v>4776</v>
      </c>
      <c r="C142">
        <v>7596</v>
      </c>
      <c r="D142">
        <v>5018</v>
      </c>
      <c r="E142">
        <v>2711</v>
      </c>
      <c r="F142">
        <v>83</v>
      </c>
      <c r="G142" t="s">
        <v>9</v>
      </c>
      <c r="H142" t="str" cm="1">
        <f t="array" ref="H142">_xlfn.IFS(Grammys[[#This Row],[date]] &gt;= DATE(2022,2,1),"Grammys",TRUE,"Grammys TRA")</f>
        <v>Grammys TRA</v>
      </c>
      <c r="I142">
        <f>_xlfn.XLOOKUP(Grammys[[#This Row],[date]],mobile_visits[date],mobile_visits[mobile_visitors],0)</f>
        <v>0</v>
      </c>
      <c r="O142" s="1">
        <v>44733</v>
      </c>
      <c r="P142">
        <v>9075</v>
      </c>
    </row>
    <row r="143" spans="1:16">
      <c r="A143" s="1">
        <v>42877</v>
      </c>
      <c r="B143">
        <v>5434</v>
      </c>
      <c r="C143">
        <v>8280</v>
      </c>
      <c r="D143">
        <v>5687</v>
      </c>
      <c r="E143">
        <v>3141</v>
      </c>
      <c r="F143">
        <v>77</v>
      </c>
      <c r="G143" t="s">
        <v>9</v>
      </c>
      <c r="H143" t="str" cm="1">
        <f t="array" ref="H143">_xlfn.IFS(Grammys[[#This Row],[date]] &gt;= DATE(2022,2,1),"Grammys",TRUE,"Grammys TRA")</f>
        <v>Grammys TRA</v>
      </c>
      <c r="I143">
        <f>_xlfn.XLOOKUP(Grammys[[#This Row],[date]],mobile_visits[date],mobile_visits[mobile_visitors],0)</f>
        <v>0</v>
      </c>
      <c r="O143" s="1">
        <v>44734</v>
      </c>
      <c r="P143">
        <v>8343</v>
      </c>
    </row>
    <row r="144" spans="1:16">
      <c r="A144" s="1">
        <v>42878</v>
      </c>
      <c r="B144">
        <v>4157</v>
      </c>
      <c r="C144">
        <v>6434</v>
      </c>
      <c r="D144">
        <v>4412</v>
      </c>
      <c r="E144">
        <v>2466</v>
      </c>
      <c r="F144">
        <v>80</v>
      </c>
      <c r="G144" t="s">
        <v>9</v>
      </c>
      <c r="H144" t="str" cm="1">
        <f t="array" ref="H144">_xlfn.IFS(Grammys[[#This Row],[date]] &gt;= DATE(2022,2,1),"Grammys",TRUE,"Grammys TRA")</f>
        <v>Grammys TRA</v>
      </c>
      <c r="I144">
        <f>_xlfn.XLOOKUP(Grammys[[#This Row],[date]],mobile_visits[date],mobile_visits[mobile_visitors],0)</f>
        <v>0</v>
      </c>
      <c r="O144" s="1">
        <v>44735</v>
      </c>
      <c r="P144">
        <v>8078</v>
      </c>
    </row>
    <row r="145" spans="1:16">
      <c r="A145" s="1">
        <v>42879</v>
      </c>
      <c r="B145">
        <v>3766</v>
      </c>
      <c r="C145">
        <v>6088</v>
      </c>
      <c r="D145">
        <v>3986</v>
      </c>
      <c r="E145">
        <v>2163</v>
      </c>
      <c r="F145">
        <v>90</v>
      </c>
      <c r="G145" t="s">
        <v>9</v>
      </c>
      <c r="H145" t="str" cm="1">
        <f t="array" ref="H145">_xlfn.IFS(Grammys[[#This Row],[date]] &gt;= DATE(2022,2,1),"Grammys",TRUE,"Grammys TRA")</f>
        <v>Grammys TRA</v>
      </c>
      <c r="I145">
        <f>_xlfn.XLOOKUP(Grammys[[#This Row],[date]],mobile_visits[date],mobile_visits[mobile_visitors],0)</f>
        <v>0</v>
      </c>
      <c r="O145" s="1">
        <v>44736</v>
      </c>
      <c r="P145">
        <v>8148</v>
      </c>
    </row>
    <row r="146" spans="1:16">
      <c r="A146" s="1">
        <v>42880</v>
      </c>
      <c r="B146">
        <v>4317</v>
      </c>
      <c r="C146">
        <v>7003</v>
      </c>
      <c r="D146">
        <v>4582</v>
      </c>
      <c r="E146">
        <v>2529</v>
      </c>
      <c r="F146">
        <v>84</v>
      </c>
      <c r="G146" t="s">
        <v>9</v>
      </c>
      <c r="H146" t="str" cm="1">
        <f t="array" ref="H146">_xlfn.IFS(Grammys[[#This Row],[date]] &gt;= DATE(2022,2,1),"Grammys",TRUE,"Grammys TRA")</f>
        <v>Grammys TRA</v>
      </c>
      <c r="I146">
        <f>_xlfn.XLOOKUP(Grammys[[#This Row],[date]],mobile_visits[date],mobile_visits[mobile_visitors],0)</f>
        <v>0</v>
      </c>
      <c r="O146" s="1">
        <v>44737</v>
      </c>
      <c r="P146">
        <v>7657</v>
      </c>
    </row>
    <row r="147" spans="1:16">
      <c r="A147" s="1">
        <v>42881</v>
      </c>
      <c r="B147">
        <v>4406</v>
      </c>
      <c r="C147">
        <v>7131</v>
      </c>
      <c r="D147">
        <v>4729</v>
      </c>
      <c r="E147">
        <v>2613</v>
      </c>
      <c r="F147">
        <v>81</v>
      </c>
      <c r="G147" t="s">
        <v>9</v>
      </c>
      <c r="H147" t="str" cm="1">
        <f t="array" ref="H147">_xlfn.IFS(Grammys[[#This Row],[date]] &gt;= DATE(2022,2,1),"Grammys",TRUE,"Grammys TRA")</f>
        <v>Grammys TRA</v>
      </c>
      <c r="I147">
        <f>_xlfn.XLOOKUP(Grammys[[#This Row],[date]],mobile_visits[date],mobile_visits[mobile_visitors],0)</f>
        <v>0</v>
      </c>
      <c r="O147" s="1">
        <v>44738</v>
      </c>
      <c r="P147">
        <v>8268</v>
      </c>
    </row>
    <row r="148" spans="1:16">
      <c r="A148" s="1">
        <v>42882</v>
      </c>
      <c r="B148">
        <v>4031</v>
      </c>
      <c r="C148">
        <v>6774</v>
      </c>
      <c r="D148">
        <v>4272</v>
      </c>
      <c r="E148">
        <v>2474</v>
      </c>
      <c r="F148">
        <v>76</v>
      </c>
      <c r="G148" t="s">
        <v>9</v>
      </c>
      <c r="H148" t="str" cm="1">
        <f t="array" ref="H148">_xlfn.IFS(Grammys[[#This Row],[date]] &gt;= DATE(2022,2,1),"Grammys",TRUE,"Grammys TRA")</f>
        <v>Grammys TRA</v>
      </c>
      <c r="I148">
        <f>_xlfn.XLOOKUP(Grammys[[#This Row],[date]],mobile_visits[date],mobile_visits[mobile_visitors],0)</f>
        <v>0</v>
      </c>
      <c r="O148" s="1">
        <v>44739</v>
      </c>
      <c r="P148">
        <v>7772</v>
      </c>
    </row>
    <row r="149" spans="1:16">
      <c r="A149" s="1">
        <v>42883</v>
      </c>
      <c r="B149">
        <v>5186</v>
      </c>
      <c r="C149">
        <v>12019</v>
      </c>
      <c r="D149">
        <v>5566</v>
      </c>
      <c r="E149">
        <v>2796</v>
      </c>
      <c r="F149">
        <v>111</v>
      </c>
      <c r="G149" t="s">
        <v>9</v>
      </c>
      <c r="H149" t="str" cm="1">
        <f t="array" ref="H149">_xlfn.IFS(Grammys[[#This Row],[date]] &gt;= DATE(2022,2,1),"Grammys",TRUE,"Grammys TRA")</f>
        <v>Grammys TRA</v>
      </c>
      <c r="I149">
        <f>_xlfn.XLOOKUP(Grammys[[#This Row],[date]],mobile_visits[date],mobile_visits[mobile_visitors],0)</f>
        <v>0</v>
      </c>
      <c r="O149" s="1">
        <v>44740</v>
      </c>
      <c r="P149">
        <v>7860</v>
      </c>
    </row>
    <row r="150" spans="1:16">
      <c r="A150" s="1">
        <v>42884</v>
      </c>
      <c r="B150">
        <v>3972</v>
      </c>
      <c r="C150">
        <v>7122</v>
      </c>
      <c r="D150">
        <v>4245</v>
      </c>
      <c r="E150">
        <v>2365</v>
      </c>
      <c r="F150">
        <v>87</v>
      </c>
      <c r="G150" t="s">
        <v>9</v>
      </c>
      <c r="H150" t="str" cm="1">
        <f t="array" ref="H150">_xlfn.IFS(Grammys[[#This Row],[date]] &gt;= DATE(2022,2,1),"Grammys",TRUE,"Grammys TRA")</f>
        <v>Grammys TRA</v>
      </c>
      <c r="I150">
        <f>_xlfn.XLOOKUP(Grammys[[#This Row],[date]],mobile_visits[date],mobile_visits[mobile_visitors],0)</f>
        <v>0</v>
      </c>
      <c r="O150" s="1">
        <v>44741</v>
      </c>
      <c r="P150">
        <v>20986</v>
      </c>
    </row>
    <row r="151" spans="1:16">
      <c r="A151" s="1">
        <v>42885</v>
      </c>
      <c r="B151">
        <v>5343</v>
      </c>
      <c r="C151">
        <v>8187</v>
      </c>
      <c r="D151">
        <v>5624</v>
      </c>
      <c r="E151">
        <v>2816</v>
      </c>
      <c r="F151">
        <v>85</v>
      </c>
      <c r="G151" t="s">
        <v>9</v>
      </c>
      <c r="H151" t="str" cm="1">
        <f t="array" ref="H151">_xlfn.IFS(Grammys[[#This Row],[date]] &gt;= DATE(2022,2,1),"Grammys",TRUE,"Grammys TRA")</f>
        <v>Grammys TRA</v>
      </c>
      <c r="I151">
        <f>_xlfn.XLOOKUP(Grammys[[#This Row],[date]],mobile_visits[date],mobile_visits[mobile_visitors],0)</f>
        <v>0</v>
      </c>
      <c r="O151" s="1">
        <v>44742</v>
      </c>
      <c r="P151">
        <v>11811</v>
      </c>
    </row>
    <row r="152" spans="1:16">
      <c r="A152" s="1">
        <v>42886</v>
      </c>
      <c r="B152">
        <v>5060</v>
      </c>
      <c r="C152">
        <v>8021</v>
      </c>
      <c r="D152">
        <v>5307</v>
      </c>
      <c r="E152">
        <v>2805</v>
      </c>
      <c r="F152">
        <v>81</v>
      </c>
      <c r="G152" t="s">
        <v>9</v>
      </c>
      <c r="H152" t="str" cm="1">
        <f t="array" ref="H152">_xlfn.IFS(Grammys[[#This Row],[date]] &gt;= DATE(2022,2,1),"Grammys",TRUE,"Grammys TRA")</f>
        <v>Grammys TRA</v>
      </c>
      <c r="I152">
        <f>_xlfn.XLOOKUP(Grammys[[#This Row],[date]],mobile_visits[date],mobile_visits[mobile_visitors],0)</f>
        <v>0</v>
      </c>
      <c r="O152" s="1">
        <v>44743</v>
      </c>
      <c r="P152">
        <v>10215</v>
      </c>
    </row>
    <row r="153" spans="1:16">
      <c r="A153" s="1">
        <v>42887</v>
      </c>
      <c r="B153">
        <v>3998</v>
      </c>
      <c r="C153">
        <v>6474</v>
      </c>
      <c r="D153">
        <v>4233</v>
      </c>
      <c r="E153">
        <v>2396</v>
      </c>
      <c r="F153">
        <v>78</v>
      </c>
      <c r="G153" t="s">
        <v>9</v>
      </c>
      <c r="H153" t="str" cm="1">
        <f t="array" ref="H153">_xlfn.IFS(Grammys[[#This Row],[date]] &gt;= DATE(2022,2,1),"Grammys",TRUE,"Grammys TRA")</f>
        <v>Grammys TRA</v>
      </c>
      <c r="I153">
        <f>_xlfn.XLOOKUP(Grammys[[#This Row],[date]],mobile_visits[date],mobile_visits[mobile_visitors],0)</f>
        <v>0</v>
      </c>
      <c r="O153" s="1">
        <v>44744</v>
      </c>
      <c r="P153">
        <v>11704</v>
      </c>
    </row>
    <row r="154" spans="1:16">
      <c r="A154" s="1">
        <v>42888</v>
      </c>
      <c r="B154">
        <v>3761</v>
      </c>
      <c r="C154">
        <v>5890</v>
      </c>
      <c r="D154">
        <v>3972</v>
      </c>
      <c r="E154">
        <v>2307</v>
      </c>
      <c r="F154">
        <v>73</v>
      </c>
      <c r="G154" t="s">
        <v>9</v>
      </c>
      <c r="H154" t="str" cm="1">
        <f t="array" ref="H154">_xlfn.IFS(Grammys[[#This Row],[date]] &gt;= DATE(2022,2,1),"Grammys",TRUE,"Grammys TRA")</f>
        <v>Grammys TRA</v>
      </c>
      <c r="I154">
        <f>_xlfn.XLOOKUP(Grammys[[#This Row],[date]],mobile_visits[date],mobile_visits[mobile_visitors],0)</f>
        <v>0</v>
      </c>
      <c r="O154" s="1">
        <v>44745</v>
      </c>
      <c r="P154">
        <v>10138</v>
      </c>
    </row>
    <row r="155" spans="1:16">
      <c r="A155" s="1">
        <v>42889</v>
      </c>
      <c r="B155">
        <v>3794</v>
      </c>
      <c r="C155">
        <v>6006</v>
      </c>
      <c r="D155">
        <v>3967</v>
      </c>
      <c r="E155">
        <v>2282</v>
      </c>
      <c r="F155">
        <v>78</v>
      </c>
      <c r="G155" t="s">
        <v>9</v>
      </c>
      <c r="H155" t="str" cm="1">
        <f t="array" ref="H155">_xlfn.IFS(Grammys[[#This Row],[date]] &gt;= DATE(2022,2,1),"Grammys",TRUE,"Grammys TRA")</f>
        <v>Grammys TRA</v>
      </c>
      <c r="I155">
        <f>_xlfn.XLOOKUP(Grammys[[#This Row],[date]],mobile_visits[date],mobile_visits[mobile_visitors],0)</f>
        <v>0</v>
      </c>
      <c r="O155" s="1">
        <v>44746</v>
      </c>
      <c r="P155">
        <v>9361</v>
      </c>
    </row>
    <row r="156" spans="1:16">
      <c r="A156" s="1">
        <v>42890</v>
      </c>
      <c r="B156">
        <v>3907</v>
      </c>
      <c r="C156">
        <v>6189</v>
      </c>
      <c r="D156">
        <v>4103</v>
      </c>
      <c r="E156">
        <v>2351</v>
      </c>
      <c r="F156">
        <v>70</v>
      </c>
      <c r="G156" t="s">
        <v>9</v>
      </c>
      <c r="H156" t="str" cm="1">
        <f t="array" ref="H156">_xlfn.IFS(Grammys[[#This Row],[date]] &gt;= DATE(2022,2,1),"Grammys",TRUE,"Grammys TRA")</f>
        <v>Grammys TRA</v>
      </c>
      <c r="I156">
        <f>_xlfn.XLOOKUP(Grammys[[#This Row],[date]],mobile_visits[date],mobile_visits[mobile_visitors],0)</f>
        <v>0</v>
      </c>
      <c r="O156" s="1">
        <v>44747</v>
      </c>
      <c r="P156">
        <v>11760</v>
      </c>
    </row>
    <row r="157" spans="1:16">
      <c r="A157" s="1">
        <v>42891</v>
      </c>
      <c r="B157">
        <v>5109</v>
      </c>
      <c r="C157">
        <v>8047</v>
      </c>
      <c r="D157">
        <v>5355</v>
      </c>
      <c r="E157">
        <v>2833</v>
      </c>
      <c r="F157">
        <v>76</v>
      </c>
      <c r="G157" t="s">
        <v>9</v>
      </c>
      <c r="H157" t="str" cm="1">
        <f t="array" ref="H157">_xlfn.IFS(Grammys[[#This Row],[date]] &gt;= DATE(2022,2,1),"Grammys",TRUE,"Grammys TRA")</f>
        <v>Grammys TRA</v>
      </c>
      <c r="I157">
        <f>_xlfn.XLOOKUP(Grammys[[#This Row],[date]],mobile_visits[date],mobile_visits[mobile_visitors],0)</f>
        <v>0</v>
      </c>
      <c r="O157" s="1">
        <v>44748</v>
      </c>
      <c r="P157">
        <v>10296</v>
      </c>
    </row>
    <row r="158" spans="1:16">
      <c r="A158" s="1">
        <v>42892</v>
      </c>
      <c r="B158">
        <v>4786</v>
      </c>
      <c r="C158">
        <v>9770</v>
      </c>
      <c r="D158">
        <v>5054</v>
      </c>
      <c r="E158">
        <v>2091</v>
      </c>
      <c r="F158">
        <v>84</v>
      </c>
      <c r="G158" t="s">
        <v>9</v>
      </c>
      <c r="H158" t="str" cm="1">
        <f t="array" ref="H158">_xlfn.IFS(Grammys[[#This Row],[date]] &gt;= DATE(2022,2,1),"Grammys",TRUE,"Grammys TRA")</f>
        <v>Grammys TRA</v>
      </c>
      <c r="I158">
        <f>_xlfn.XLOOKUP(Grammys[[#This Row],[date]],mobile_visits[date],mobile_visits[mobile_visitors],0)</f>
        <v>0</v>
      </c>
      <c r="O158" s="1">
        <v>44749</v>
      </c>
      <c r="P158">
        <v>10806</v>
      </c>
    </row>
    <row r="159" spans="1:16">
      <c r="A159" s="1">
        <v>42893</v>
      </c>
      <c r="B159">
        <v>5010</v>
      </c>
      <c r="C159">
        <v>11189</v>
      </c>
      <c r="D159">
        <v>5290</v>
      </c>
      <c r="E159">
        <v>1746</v>
      </c>
      <c r="F159">
        <v>80</v>
      </c>
      <c r="G159" t="s">
        <v>9</v>
      </c>
      <c r="H159" t="str" cm="1">
        <f t="array" ref="H159">_xlfn.IFS(Grammys[[#This Row],[date]] &gt;= DATE(2022,2,1),"Grammys",TRUE,"Grammys TRA")</f>
        <v>Grammys TRA</v>
      </c>
      <c r="I159">
        <f>_xlfn.XLOOKUP(Grammys[[#This Row],[date]],mobile_visits[date],mobile_visits[mobile_visitors],0)</f>
        <v>0</v>
      </c>
      <c r="O159" s="1">
        <v>44750</v>
      </c>
      <c r="P159">
        <v>9690</v>
      </c>
    </row>
    <row r="160" spans="1:16">
      <c r="A160" s="1">
        <v>42894</v>
      </c>
      <c r="B160">
        <v>5338</v>
      </c>
      <c r="C160">
        <v>9638</v>
      </c>
      <c r="D160">
        <v>5648</v>
      </c>
      <c r="E160">
        <v>2436</v>
      </c>
      <c r="F160">
        <v>77</v>
      </c>
      <c r="G160" t="s">
        <v>9</v>
      </c>
      <c r="H160" t="str" cm="1">
        <f t="array" ref="H160">_xlfn.IFS(Grammys[[#This Row],[date]] &gt;= DATE(2022,2,1),"Grammys",TRUE,"Grammys TRA")</f>
        <v>Grammys TRA</v>
      </c>
      <c r="I160">
        <f>_xlfn.XLOOKUP(Grammys[[#This Row],[date]],mobile_visits[date],mobile_visits[mobile_visitors],0)</f>
        <v>0</v>
      </c>
      <c r="O160" s="1">
        <v>44751</v>
      </c>
      <c r="P160">
        <v>8807</v>
      </c>
    </row>
    <row r="161" spans="1:16">
      <c r="A161" s="1">
        <v>42895</v>
      </c>
      <c r="B161">
        <v>4948</v>
      </c>
      <c r="C161">
        <v>8029</v>
      </c>
      <c r="D161">
        <v>5214</v>
      </c>
      <c r="E161">
        <v>2716</v>
      </c>
      <c r="F161">
        <v>86</v>
      </c>
      <c r="G161" t="s">
        <v>9</v>
      </c>
      <c r="H161" t="str" cm="1">
        <f t="array" ref="H161">_xlfn.IFS(Grammys[[#This Row],[date]] &gt;= DATE(2022,2,1),"Grammys",TRUE,"Grammys TRA")</f>
        <v>Grammys TRA</v>
      </c>
      <c r="I161">
        <f>_xlfn.XLOOKUP(Grammys[[#This Row],[date]],mobile_visits[date],mobile_visits[mobile_visitors],0)</f>
        <v>0</v>
      </c>
      <c r="O161" s="1">
        <v>44752</v>
      </c>
      <c r="P161">
        <v>7675</v>
      </c>
    </row>
    <row r="162" spans="1:16">
      <c r="A162" s="1">
        <v>42896</v>
      </c>
      <c r="B162">
        <v>4786</v>
      </c>
      <c r="C162">
        <v>7389</v>
      </c>
      <c r="D162">
        <v>5034</v>
      </c>
      <c r="E162">
        <v>2599</v>
      </c>
      <c r="F162">
        <v>75</v>
      </c>
      <c r="G162" t="s">
        <v>9</v>
      </c>
      <c r="H162" t="str" cm="1">
        <f t="array" ref="H162">_xlfn.IFS(Grammys[[#This Row],[date]] &gt;= DATE(2022,2,1),"Grammys",TRUE,"Grammys TRA")</f>
        <v>Grammys TRA</v>
      </c>
      <c r="I162">
        <f>_xlfn.XLOOKUP(Grammys[[#This Row],[date]],mobile_visits[date],mobile_visits[mobile_visitors],0)</f>
        <v>0</v>
      </c>
      <c r="O162" s="1">
        <v>44753</v>
      </c>
      <c r="P162">
        <v>9797</v>
      </c>
    </row>
    <row r="163" spans="1:16">
      <c r="A163" s="1">
        <v>42897</v>
      </c>
      <c r="B163">
        <v>5219</v>
      </c>
      <c r="C163">
        <v>8070</v>
      </c>
      <c r="D163">
        <v>5513</v>
      </c>
      <c r="E163">
        <v>2783</v>
      </c>
      <c r="F163">
        <v>77</v>
      </c>
      <c r="G163" t="s">
        <v>9</v>
      </c>
      <c r="H163" t="str" cm="1">
        <f t="array" ref="H163">_xlfn.IFS(Grammys[[#This Row],[date]] &gt;= DATE(2022,2,1),"Grammys",TRUE,"Grammys TRA")</f>
        <v>Grammys TRA</v>
      </c>
      <c r="I163">
        <f>_xlfn.XLOOKUP(Grammys[[#This Row],[date]],mobile_visits[date],mobile_visits[mobile_visitors],0)</f>
        <v>0</v>
      </c>
      <c r="O163" s="1">
        <v>44754</v>
      </c>
      <c r="P163">
        <v>10548</v>
      </c>
    </row>
    <row r="164" spans="1:16">
      <c r="A164" s="1">
        <v>42898</v>
      </c>
      <c r="B164">
        <v>5631</v>
      </c>
      <c r="C164">
        <v>8580</v>
      </c>
      <c r="D164">
        <v>5962</v>
      </c>
      <c r="E164">
        <v>3023</v>
      </c>
      <c r="F164">
        <v>84</v>
      </c>
      <c r="G164" t="s">
        <v>9</v>
      </c>
      <c r="H164" t="str" cm="1">
        <f t="array" ref="H164">_xlfn.IFS(Grammys[[#This Row],[date]] &gt;= DATE(2022,2,1),"Grammys",TRUE,"Grammys TRA")</f>
        <v>Grammys TRA</v>
      </c>
      <c r="I164">
        <f>_xlfn.XLOOKUP(Grammys[[#This Row],[date]],mobile_visits[date],mobile_visits[mobile_visitors],0)</f>
        <v>0</v>
      </c>
      <c r="O164" s="1">
        <v>44755</v>
      </c>
      <c r="P164">
        <v>9586</v>
      </c>
    </row>
    <row r="165" spans="1:16">
      <c r="A165" s="1">
        <v>42899</v>
      </c>
      <c r="B165">
        <v>5178</v>
      </c>
      <c r="C165">
        <v>8196</v>
      </c>
      <c r="D165">
        <v>5504</v>
      </c>
      <c r="E165">
        <v>2803</v>
      </c>
      <c r="F165">
        <v>92</v>
      </c>
      <c r="G165" t="s">
        <v>9</v>
      </c>
      <c r="H165" t="str" cm="1">
        <f t="array" ref="H165">_xlfn.IFS(Grammys[[#This Row],[date]] &gt;= DATE(2022,2,1),"Grammys",TRUE,"Grammys TRA")</f>
        <v>Grammys TRA</v>
      </c>
      <c r="I165">
        <f>_xlfn.XLOOKUP(Grammys[[#This Row],[date]],mobile_visits[date],mobile_visits[mobile_visitors],0)</f>
        <v>0</v>
      </c>
      <c r="O165" s="1">
        <v>44756</v>
      </c>
      <c r="P165">
        <v>10245</v>
      </c>
    </row>
    <row r="166" spans="1:16">
      <c r="A166" s="1">
        <v>42900</v>
      </c>
      <c r="B166">
        <v>5952</v>
      </c>
      <c r="C166">
        <v>9445</v>
      </c>
      <c r="D166">
        <v>6368</v>
      </c>
      <c r="E166">
        <v>3146</v>
      </c>
      <c r="F166">
        <v>85</v>
      </c>
      <c r="G166" t="s">
        <v>9</v>
      </c>
      <c r="H166" t="str" cm="1">
        <f t="array" ref="H166">_xlfn.IFS(Grammys[[#This Row],[date]] &gt;= DATE(2022,2,1),"Grammys",TRUE,"Grammys TRA")</f>
        <v>Grammys TRA</v>
      </c>
      <c r="I166">
        <f>_xlfn.XLOOKUP(Grammys[[#This Row],[date]],mobile_visits[date],mobile_visits[mobile_visitors],0)</f>
        <v>0</v>
      </c>
      <c r="O166" s="1">
        <v>44757</v>
      </c>
      <c r="P166">
        <v>13501</v>
      </c>
    </row>
    <row r="167" spans="1:16">
      <c r="A167" s="1">
        <v>42901</v>
      </c>
      <c r="B167">
        <v>5287</v>
      </c>
      <c r="C167">
        <v>8453</v>
      </c>
      <c r="D167">
        <v>5597</v>
      </c>
      <c r="E167">
        <v>2798</v>
      </c>
      <c r="F167">
        <v>83</v>
      </c>
      <c r="G167" t="s">
        <v>9</v>
      </c>
      <c r="H167" t="str" cm="1">
        <f t="array" ref="H167">_xlfn.IFS(Grammys[[#This Row],[date]] &gt;= DATE(2022,2,1),"Grammys",TRUE,"Grammys TRA")</f>
        <v>Grammys TRA</v>
      </c>
      <c r="I167">
        <f>_xlfn.XLOOKUP(Grammys[[#This Row],[date]],mobile_visits[date],mobile_visits[mobile_visitors],0)</f>
        <v>0</v>
      </c>
      <c r="O167" s="1">
        <v>44758</v>
      </c>
      <c r="P167">
        <v>11995</v>
      </c>
    </row>
    <row r="168" spans="1:16">
      <c r="A168" s="1">
        <v>42902</v>
      </c>
      <c r="B168">
        <v>4749</v>
      </c>
      <c r="C168">
        <v>7681</v>
      </c>
      <c r="D168">
        <v>5050</v>
      </c>
      <c r="E168">
        <v>2582</v>
      </c>
      <c r="F168">
        <v>78</v>
      </c>
      <c r="G168" t="s">
        <v>9</v>
      </c>
      <c r="H168" t="str" cm="1">
        <f t="array" ref="H168">_xlfn.IFS(Grammys[[#This Row],[date]] &gt;= DATE(2022,2,1),"Grammys",TRUE,"Grammys TRA")</f>
        <v>Grammys TRA</v>
      </c>
      <c r="I168">
        <f>_xlfn.XLOOKUP(Grammys[[#This Row],[date]],mobile_visits[date],mobile_visits[mobile_visitors],0)</f>
        <v>0</v>
      </c>
      <c r="O168" s="1">
        <v>44759</v>
      </c>
      <c r="P168">
        <v>12154</v>
      </c>
    </row>
    <row r="169" spans="1:16">
      <c r="A169" s="1">
        <v>42903</v>
      </c>
      <c r="B169">
        <v>4515</v>
      </c>
      <c r="C169">
        <v>6917</v>
      </c>
      <c r="D169">
        <v>4743</v>
      </c>
      <c r="E169">
        <v>2464</v>
      </c>
      <c r="F169">
        <v>78</v>
      </c>
      <c r="G169" t="s">
        <v>9</v>
      </c>
      <c r="H169" t="str" cm="1">
        <f t="array" ref="H169">_xlfn.IFS(Grammys[[#This Row],[date]] &gt;= DATE(2022,2,1),"Grammys",TRUE,"Grammys TRA")</f>
        <v>Grammys TRA</v>
      </c>
      <c r="I169">
        <f>_xlfn.XLOOKUP(Grammys[[#This Row],[date]],mobile_visits[date],mobile_visits[mobile_visitors],0)</f>
        <v>0</v>
      </c>
      <c r="O169" s="1">
        <v>44760</v>
      </c>
      <c r="P169">
        <v>8633</v>
      </c>
    </row>
    <row r="170" spans="1:16">
      <c r="A170" s="1">
        <v>42904</v>
      </c>
      <c r="B170">
        <v>4738</v>
      </c>
      <c r="C170">
        <v>7482</v>
      </c>
      <c r="D170">
        <v>4998</v>
      </c>
      <c r="E170">
        <v>2497</v>
      </c>
      <c r="F170">
        <v>84</v>
      </c>
      <c r="G170" t="s">
        <v>9</v>
      </c>
      <c r="H170" t="str" cm="1">
        <f t="array" ref="H170">_xlfn.IFS(Grammys[[#This Row],[date]] &gt;= DATE(2022,2,1),"Grammys",TRUE,"Grammys TRA")</f>
        <v>Grammys TRA</v>
      </c>
      <c r="I170">
        <f>_xlfn.XLOOKUP(Grammys[[#This Row],[date]],mobile_visits[date],mobile_visits[mobile_visitors],0)</f>
        <v>0</v>
      </c>
      <c r="O170" s="1">
        <v>44761</v>
      </c>
      <c r="P170">
        <v>4581</v>
      </c>
    </row>
    <row r="171" spans="1:16">
      <c r="A171" s="1">
        <v>42905</v>
      </c>
      <c r="B171">
        <v>5153</v>
      </c>
      <c r="C171">
        <v>8225</v>
      </c>
      <c r="D171">
        <v>5481</v>
      </c>
      <c r="E171">
        <v>2727</v>
      </c>
      <c r="F171">
        <v>87</v>
      </c>
      <c r="G171" t="s">
        <v>9</v>
      </c>
      <c r="H171" t="str" cm="1">
        <f t="array" ref="H171">_xlfn.IFS(Grammys[[#This Row],[date]] &gt;= DATE(2022,2,1),"Grammys",TRUE,"Grammys TRA")</f>
        <v>Grammys TRA</v>
      </c>
      <c r="I171">
        <f>_xlfn.XLOOKUP(Grammys[[#This Row],[date]],mobile_visits[date],mobile_visits[mobile_visitors],0)</f>
        <v>0</v>
      </c>
      <c r="O171" s="1">
        <v>44762</v>
      </c>
      <c r="P171">
        <v>4698</v>
      </c>
    </row>
    <row r="172" spans="1:16">
      <c r="A172" s="1">
        <v>42906</v>
      </c>
      <c r="B172">
        <v>5278</v>
      </c>
      <c r="C172">
        <v>8230</v>
      </c>
      <c r="D172">
        <v>5586</v>
      </c>
      <c r="E172">
        <v>2828</v>
      </c>
      <c r="F172">
        <v>83</v>
      </c>
      <c r="G172" t="s">
        <v>9</v>
      </c>
      <c r="H172" t="str" cm="1">
        <f t="array" ref="H172">_xlfn.IFS(Grammys[[#This Row],[date]] &gt;= DATE(2022,2,1),"Grammys",TRUE,"Grammys TRA")</f>
        <v>Grammys TRA</v>
      </c>
      <c r="I172">
        <f>_xlfn.XLOOKUP(Grammys[[#This Row],[date]],mobile_visits[date],mobile_visits[mobile_visitors],0)</f>
        <v>0</v>
      </c>
      <c r="O172" s="1">
        <v>44763</v>
      </c>
      <c r="P172">
        <v>7134</v>
      </c>
    </row>
    <row r="173" spans="1:16">
      <c r="A173" s="1">
        <v>42907</v>
      </c>
      <c r="B173">
        <v>5224</v>
      </c>
      <c r="C173">
        <v>8407</v>
      </c>
      <c r="D173">
        <v>5518</v>
      </c>
      <c r="E173">
        <v>2794</v>
      </c>
      <c r="F173">
        <v>90</v>
      </c>
      <c r="G173" t="s">
        <v>9</v>
      </c>
      <c r="H173" t="str" cm="1">
        <f t="array" ref="H173">_xlfn.IFS(Grammys[[#This Row],[date]] &gt;= DATE(2022,2,1),"Grammys",TRUE,"Grammys TRA")</f>
        <v>Grammys TRA</v>
      </c>
      <c r="I173">
        <f>_xlfn.XLOOKUP(Grammys[[#This Row],[date]],mobile_visits[date],mobile_visits[mobile_visitors],0)</f>
        <v>0</v>
      </c>
      <c r="O173" s="1">
        <v>44764</v>
      </c>
      <c r="P173">
        <v>8850</v>
      </c>
    </row>
    <row r="174" spans="1:16">
      <c r="A174" s="1">
        <v>42908</v>
      </c>
      <c r="B174">
        <v>5065</v>
      </c>
      <c r="C174">
        <v>8053</v>
      </c>
      <c r="D174">
        <v>5341</v>
      </c>
      <c r="E174">
        <v>2691</v>
      </c>
      <c r="F174">
        <v>82</v>
      </c>
      <c r="G174" t="s">
        <v>9</v>
      </c>
      <c r="H174" t="str" cm="1">
        <f t="array" ref="H174">_xlfn.IFS(Grammys[[#This Row],[date]] &gt;= DATE(2022,2,1),"Grammys",TRUE,"Grammys TRA")</f>
        <v>Grammys TRA</v>
      </c>
      <c r="I174">
        <f>_xlfn.XLOOKUP(Grammys[[#This Row],[date]],mobile_visits[date],mobile_visits[mobile_visitors],0)</f>
        <v>0</v>
      </c>
      <c r="O174" s="1">
        <v>44765</v>
      </c>
      <c r="P174">
        <v>8627</v>
      </c>
    </row>
    <row r="175" spans="1:16">
      <c r="A175" s="1">
        <v>42909</v>
      </c>
      <c r="B175">
        <v>5043</v>
      </c>
      <c r="C175">
        <v>7795</v>
      </c>
      <c r="D175">
        <v>5313</v>
      </c>
      <c r="E175">
        <v>2687</v>
      </c>
      <c r="F175">
        <v>83</v>
      </c>
      <c r="G175" t="s">
        <v>9</v>
      </c>
      <c r="H175" t="str" cm="1">
        <f t="array" ref="H175">_xlfn.IFS(Grammys[[#This Row],[date]] &gt;= DATE(2022,2,1),"Grammys",TRUE,"Grammys TRA")</f>
        <v>Grammys TRA</v>
      </c>
      <c r="I175">
        <f>_xlfn.XLOOKUP(Grammys[[#This Row],[date]],mobile_visits[date],mobile_visits[mobile_visitors],0)</f>
        <v>0</v>
      </c>
      <c r="O175" s="1">
        <v>44766</v>
      </c>
      <c r="P175">
        <v>8119</v>
      </c>
    </row>
    <row r="176" spans="1:16">
      <c r="A176" s="1">
        <v>42910</v>
      </c>
      <c r="B176">
        <v>5261</v>
      </c>
      <c r="C176">
        <v>8453</v>
      </c>
      <c r="D176">
        <v>5551</v>
      </c>
      <c r="E176">
        <v>2743</v>
      </c>
      <c r="F176">
        <v>98</v>
      </c>
      <c r="G176" t="s">
        <v>9</v>
      </c>
      <c r="H176" t="str" cm="1">
        <f t="array" ref="H176">_xlfn.IFS(Grammys[[#This Row],[date]] &gt;= DATE(2022,2,1),"Grammys",TRUE,"Grammys TRA")</f>
        <v>Grammys TRA</v>
      </c>
      <c r="I176">
        <f>_xlfn.XLOOKUP(Grammys[[#This Row],[date]],mobile_visits[date],mobile_visits[mobile_visitors],0)</f>
        <v>0</v>
      </c>
      <c r="O176" s="1">
        <v>44767</v>
      </c>
      <c r="P176">
        <v>7526</v>
      </c>
    </row>
    <row r="177" spans="1:16">
      <c r="A177" s="1">
        <v>42911</v>
      </c>
      <c r="B177">
        <v>6300</v>
      </c>
      <c r="C177">
        <v>9476</v>
      </c>
      <c r="D177">
        <v>6584</v>
      </c>
      <c r="E177">
        <v>3431</v>
      </c>
      <c r="F177">
        <v>79</v>
      </c>
      <c r="G177" t="s">
        <v>9</v>
      </c>
      <c r="H177" t="str" cm="1">
        <f t="array" ref="H177">_xlfn.IFS(Grammys[[#This Row],[date]] &gt;= DATE(2022,2,1),"Grammys",TRUE,"Grammys TRA")</f>
        <v>Grammys TRA</v>
      </c>
      <c r="I177">
        <f>_xlfn.XLOOKUP(Grammys[[#This Row],[date]],mobile_visits[date],mobile_visits[mobile_visitors],0)</f>
        <v>0</v>
      </c>
      <c r="O177" s="1">
        <v>44768</v>
      </c>
      <c r="P177">
        <v>8198</v>
      </c>
    </row>
    <row r="178" spans="1:16">
      <c r="A178" s="1">
        <v>42912</v>
      </c>
      <c r="B178">
        <v>6453</v>
      </c>
      <c r="C178">
        <v>9981</v>
      </c>
      <c r="D178">
        <v>6805</v>
      </c>
      <c r="E178">
        <v>3477</v>
      </c>
      <c r="F178">
        <v>82</v>
      </c>
      <c r="G178" t="s">
        <v>9</v>
      </c>
      <c r="H178" t="str" cm="1">
        <f t="array" ref="H178">_xlfn.IFS(Grammys[[#This Row],[date]] &gt;= DATE(2022,2,1),"Grammys",TRUE,"Grammys TRA")</f>
        <v>Grammys TRA</v>
      </c>
      <c r="I178">
        <f>_xlfn.XLOOKUP(Grammys[[#This Row],[date]],mobile_visits[date],mobile_visits[mobile_visitors],0)</f>
        <v>0</v>
      </c>
      <c r="O178" s="1">
        <v>44769</v>
      </c>
      <c r="P178">
        <v>17024</v>
      </c>
    </row>
    <row r="179" spans="1:16">
      <c r="A179" s="1">
        <v>42913</v>
      </c>
      <c r="B179">
        <v>6162</v>
      </c>
      <c r="C179">
        <v>9714</v>
      </c>
      <c r="D179">
        <v>6531</v>
      </c>
      <c r="E179">
        <v>3314</v>
      </c>
      <c r="F179">
        <v>90</v>
      </c>
      <c r="G179" t="s">
        <v>9</v>
      </c>
      <c r="H179" t="str" cm="1">
        <f t="array" ref="H179">_xlfn.IFS(Grammys[[#This Row],[date]] &gt;= DATE(2022,2,1),"Grammys",TRUE,"Grammys TRA")</f>
        <v>Grammys TRA</v>
      </c>
      <c r="I179">
        <f>_xlfn.XLOOKUP(Grammys[[#This Row],[date]],mobile_visits[date],mobile_visits[mobile_visitors],0)</f>
        <v>0</v>
      </c>
      <c r="O179" s="1">
        <v>44770</v>
      </c>
      <c r="P179">
        <v>14734</v>
      </c>
    </row>
    <row r="180" spans="1:16">
      <c r="A180" s="1">
        <v>42914</v>
      </c>
      <c r="B180">
        <v>5933</v>
      </c>
      <c r="C180">
        <v>9964</v>
      </c>
      <c r="D180">
        <v>6335</v>
      </c>
      <c r="E180">
        <v>3176</v>
      </c>
      <c r="F180">
        <v>95</v>
      </c>
      <c r="G180" t="s">
        <v>9</v>
      </c>
      <c r="H180" t="str" cm="1">
        <f t="array" ref="H180">_xlfn.IFS(Grammys[[#This Row],[date]] &gt;= DATE(2022,2,1),"Grammys",TRUE,"Grammys TRA")</f>
        <v>Grammys TRA</v>
      </c>
      <c r="I180">
        <f>_xlfn.XLOOKUP(Grammys[[#This Row],[date]],mobile_visits[date],mobile_visits[mobile_visitors],0)</f>
        <v>0</v>
      </c>
      <c r="O180" s="1">
        <v>44771</v>
      </c>
      <c r="P180">
        <v>8994</v>
      </c>
    </row>
    <row r="181" spans="1:16">
      <c r="A181" s="1">
        <v>42915</v>
      </c>
      <c r="B181">
        <v>6410</v>
      </c>
      <c r="C181">
        <v>9903</v>
      </c>
      <c r="D181">
        <v>6725</v>
      </c>
      <c r="E181">
        <v>3391</v>
      </c>
      <c r="F181">
        <v>80</v>
      </c>
      <c r="G181" t="s">
        <v>9</v>
      </c>
      <c r="H181" t="str" cm="1">
        <f t="array" ref="H181">_xlfn.IFS(Grammys[[#This Row],[date]] &gt;= DATE(2022,2,1),"Grammys",TRUE,"Grammys TRA")</f>
        <v>Grammys TRA</v>
      </c>
      <c r="I181">
        <f>_xlfn.XLOOKUP(Grammys[[#This Row],[date]],mobile_visits[date],mobile_visits[mobile_visitors],0)</f>
        <v>0</v>
      </c>
      <c r="O181" s="1">
        <v>44772</v>
      </c>
      <c r="P181">
        <v>8694</v>
      </c>
    </row>
    <row r="182" spans="1:16">
      <c r="A182" s="1">
        <v>42916</v>
      </c>
      <c r="B182">
        <v>5818</v>
      </c>
      <c r="C182">
        <v>9003</v>
      </c>
      <c r="D182">
        <v>6129</v>
      </c>
      <c r="E182">
        <v>3224</v>
      </c>
      <c r="F182">
        <v>75</v>
      </c>
      <c r="G182" t="s">
        <v>9</v>
      </c>
      <c r="H182" t="str" cm="1">
        <f t="array" ref="H182">_xlfn.IFS(Grammys[[#This Row],[date]] &gt;= DATE(2022,2,1),"Grammys",TRUE,"Grammys TRA")</f>
        <v>Grammys TRA</v>
      </c>
      <c r="I182">
        <f>_xlfn.XLOOKUP(Grammys[[#This Row],[date]],mobile_visits[date],mobile_visits[mobile_visitors],0)</f>
        <v>0</v>
      </c>
      <c r="O182" s="1">
        <v>44773</v>
      </c>
      <c r="P182">
        <v>9151</v>
      </c>
    </row>
    <row r="183" spans="1:16">
      <c r="A183" s="1">
        <v>42917</v>
      </c>
      <c r="B183">
        <v>6168</v>
      </c>
      <c r="C183">
        <v>9049</v>
      </c>
      <c r="D183">
        <v>6472</v>
      </c>
      <c r="E183">
        <v>3427</v>
      </c>
      <c r="F183">
        <v>73</v>
      </c>
      <c r="G183" t="s">
        <v>9</v>
      </c>
      <c r="H183" t="str" cm="1">
        <f t="array" ref="H183">_xlfn.IFS(Grammys[[#This Row],[date]] &gt;= DATE(2022,2,1),"Grammys",TRUE,"Grammys TRA")</f>
        <v>Grammys TRA</v>
      </c>
      <c r="I183">
        <f>_xlfn.XLOOKUP(Grammys[[#This Row],[date]],mobile_visits[date],mobile_visits[mobile_visitors],0)</f>
        <v>0</v>
      </c>
      <c r="O183" s="1">
        <v>44774</v>
      </c>
      <c r="P183">
        <v>8274</v>
      </c>
    </row>
    <row r="184" spans="1:16">
      <c r="A184" s="1">
        <v>42918</v>
      </c>
      <c r="B184">
        <v>7661</v>
      </c>
      <c r="C184">
        <v>11298</v>
      </c>
      <c r="D184">
        <v>7985</v>
      </c>
      <c r="E184">
        <v>3519</v>
      </c>
      <c r="F184">
        <v>89</v>
      </c>
      <c r="G184" t="s">
        <v>9</v>
      </c>
      <c r="H184" t="str" cm="1">
        <f t="array" ref="H184">_xlfn.IFS(Grammys[[#This Row],[date]] &gt;= DATE(2022,2,1),"Grammys",TRUE,"Grammys TRA")</f>
        <v>Grammys TRA</v>
      </c>
      <c r="I184">
        <f>_xlfn.XLOOKUP(Grammys[[#This Row],[date]],mobile_visits[date],mobile_visits[mobile_visitors],0)</f>
        <v>0</v>
      </c>
      <c r="O184" s="1">
        <v>44775</v>
      </c>
      <c r="P184">
        <v>8624</v>
      </c>
    </row>
    <row r="185" spans="1:16">
      <c r="A185" s="1">
        <v>42919</v>
      </c>
      <c r="B185">
        <v>17656</v>
      </c>
      <c r="C185">
        <v>32203</v>
      </c>
      <c r="D185">
        <v>23606</v>
      </c>
      <c r="E185">
        <v>8976</v>
      </c>
      <c r="F185">
        <v>65</v>
      </c>
      <c r="G185" t="s">
        <v>9</v>
      </c>
      <c r="H185" t="str" cm="1">
        <f t="array" ref="H185">_xlfn.IFS(Grammys[[#This Row],[date]] &gt;= DATE(2022,2,1),"Grammys",TRUE,"Grammys TRA")</f>
        <v>Grammys TRA</v>
      </c>
      <c r="I185">
        <f>_xlfn.XLOOKUP(Grammys[[#This Row],[date]],mobile_visits[date],mobile_visits[mobile_visitors],0)</f>
        <v>0</v>
      </c>
      <c r="O185" s="1">
        <v>44776</v>
      </c>
      <c r="P185">
        <v>8557</v>
      </c>
    </row>
    <row r="186" spans="1:16">
      <c r="A186" s="1">
        <v>42920</v>
      </c>
      <c r="B186">
        <v>15108</v>
      </c>
      <c r="C186">
        <v>24464</v>
      </c>
      <c r="D186">
        <v>18655</v>
      </c>
      <c r="E186">
        <v>9020</v>
      </c>
      <c r="F186">
        <v>56</v>
      </c>
      <c r="G186" t="s">
        <v>9</v>
      </c>
      <c r="H186" t="str" cm="1">
        <f t="array" ref="H186">_xlfn.IFS(Grammys[[#This Row],[date]] &gt;= DATE(2022,2,1),"Grammys",TRUE,"Grammys TRA")</f>
        <v>Grammys TRA</v>
      </c>
      <c r="I186">
        <f>_xlfn.XLOOKUP(Grammys[[#This Row],[date]],mobile_visits[date],mobile_visits[mobile_visitors],0)</f>
        <v>0</v>
      </c>
      <c r="O186" s="1">
        <v>44777</v>
      </c>
      <c r="P186">
        <v>8857</v>
      </c>
    </row>
    <row r="187" spans="1:16">
      <c r="A187" s="1">
        <v>42921</v>
      </c>
      <c r="B187">
        <v>6976</v>
      </c>
      <c r="C187">
        <v>11251</v>
      </c>
      <c r="D187">
        <v>7676</v>
      </c>
      <c r="E187">
        <v>3904</v>
      </c>
      <c r="F187">
        <v>69</v>
      </c>
      <c r="G187" t="s">
        <v>9</v>
      </c>
      <c r="H187" t="str" cm="1">
        <f t="array" ref="H187">_xlfn.IFS(Grammys[[#This Row],[date]] &gt;= DATE(2022,2,1),"Grammys",TRUE,"Grammys TRA")</f>
        <v>Grammys TRA</v>
      </c>
      <c r="I187">
        <f>_xlfn.XLOOKUP(Grammys[[#This Row],[date]],mobile_visits[date],mobile_visits[mobile_visitors],0)</f>
        <v>0</v>
      </c>
      <c r="O187" s="1">
        <v>44778</v>
      </c>
      <c r="P187">
        <v>9058</v>
      </c>
    </row>
    <row r="188" spans="1:16">
      <c r="A188" s="1">
        <v>42922</v>
      </c>
      <c r="B188">
        <v>6162</v>
      </c>
      <c r="C188">
        <v>9883</v>
      </c>
      <c r="D188">
        <v>6635</v>
      </c>
      <c r="E188">
        <v>3524</v>
      </c>
      <c r="F188">
        <v>77</v>
      </c>
      <c r="G188" t="s">
        <v>9</v>
      </c>
      <c r="H188" t="str" cm="1">
        <f t="array" ref="H188">_xlfn.IFS(Grammys[[#This Row],[date]] &gt;= DATE(2022,2,1),"Grammys",TRUE,"Grammys TRA")</f>
        <v>Grammys TRA</v>
      </c>
      <c r="I188">
        <f>_xlfn.XLOOKUP(Grammys[[#This Row],[date]],mobile_visits[date],mobile_visits[mobile_visitors],0)</f>
        <v>0</v>
      </c>
      <c r="O188" s="1">
        <v>44779</v>
      </c>
      <c r="P188">
        <v>9409</v>
      </c>
    </row>
    <row r="189" spans="1:16">
      <c r="A189" s="1">
        <v>42923</v>
      </c>
      <c r="B189">
        <v>5866</v>
      </c>
      <c r="C189">
        <v>9138</v>
      </c>
      <c r="D189">
        <v>6285</v>
      </c>
      <c r="E189">
        <v>3469</v>
      </c>
      <c r="F189">
        <v>80</v>
      </c>
      <c r="G189" t="s">
        <v>9</v>
      </c>
      <c r="H189" t="str" cm="1">
        <f t="array" ref="H189">_xlfn.IFS(Grammys[[#This Row],[date]] &gt;= DATE(2022,2,1),"Grammys",TRUE,"Grammys TRA")</f>
        <v>Grammys TRA</v>
      </c>
      <c r="I189">
        <f>_xlfn.XLOOKUP(Grammys[[#This Row],[date]],mobile_visits[date],mobile_visits[mobile_visitors],0)</f>
        <v>0</v>
      </c>
      <c r="O189" s="1">
        <v>44780</v>
      </c>
      <c r="P189">
        <v>10702</v>
      </c>
    </row>
    <row r="190" spans="1:16">
      <c r="A190" s="1">
        <v>42924</v>
      </c>
      <c r="B190">
        <v>5802</v>
      </c>
      <c r="C190">
        <v>8911</v>
      </c>
      <c r="D190">
        <v>6149</v>
      </c>
      <c r="E190">
        <v>3355</v>
      </c>
      <c r="F190">
        <v>69</v>
      </c>
      <c r="G190" t="s">
        <v>9</v>
      </c>
      <c r="H190" t="str" cm="1">
        <f t="array" ref="H190">_xlfn.IFS(Grammys[[#This Row],[date]] &gt;= DATE(2022,2,1),"Grammys",TRUE,"Grammys TRA")</f>
        <v>Grammys TRA</v>
      </c>
      <c r="I190">
        <f>_xlfn.XLOOKUP(Grammys[[#This Row],[date]],mobile_visits[date],mobile_visits[mobile_visitors],0)</f>
        <v>0</v>
      </c>
      <c r="O190" s="1">
        <v>44781</v>
      </c>
      <c r="P190">
        <v>10088</v>
      </c>
    </row>
    <row r="191" spans="1:16">
      <c r="A191" s="1">
        <v>42925</v>
      </c>
      <c r="B191">
        <v>5786</v>
      </c>
      <c r="C191">
        <v>9016</v>
      </c>
      <c r="D191">
        <v>6131</v>
      </c>
      <c r="E191">
        <v>3266</v>
      </c>
      <c r="F191">
        <v>76</v>
      </c>
      <c r="G191" t="s">
        <v>9</v>
      </c>
      <c r="H191" t="str" cm="1">
        <f t="array" ref="H191">_xlfn.IFS(Grammys[[#This Row],[date]] &gt;= DATE(2022,2,1),"Grammys",TRUE,"Grammys TRA")</f>
        <v>Grammys TRA</v>
      </c>
      <c r="I191">
        <f>_xlfn.XLOOKUP(Grammys[[#This Row],[date]],mobile_visits[date],mobile_visits[mobile_visitors],0)</f>
        <v>0</v>
      </c>
      <c r="O191" s="1">
        <v>44782</v>
      </c>
      <c r="P191">
        <v>10171</v>
      </c>
    </row>
    <row r="192" spans="1:16">
      <c r="A192" s="1">
        <v>42926</v>
      </c>
      <c r="B192">
        <v>5573</v>
      </c>
      <c r="C192">
        <v>8960</v>
      </c>
      <c r="D192">
        <v>5958</v>
      </c>
      <c r="E192">
        <v>3136</v>
      </c>
      <c r="F192">
        <v>81</v>
      </c>
      <c r="G192" t="s">
        <v>9</v>
      </c>
      <c r="H192" t="str" cm="1">
        <f t="array" ref="H192">_xlfn.IFS(Grammys[[#This Row],[date]] &gt;= DATE(2022,2,1),"Grammys",TRUE,"Grammys TRA")</f>
        <v>Grammys TRA</v>
      </c>
      <c r="I192">
        <f>_xlfn.XLOOKUP(Grammys[[#This Row],[date]],mobile_visits[date],mobile_visits[mobile_visitors],0)</f>
        <v>0</v>
      </c>
      <c r="O192" s="1">
        <v>44783</v>
      </c>
      <c r="P192">
        <v>7844</v>
      </c>
    </row>
    <row r="193" spans="1:16">
      <c r="A193" s="1">
        <v>42927</v>
      </c>
      <c r="B193">
        <v>5949</v>
      </c>
      <c r="C193">
        <v>9433</v>
      </c>
      <c r="D193">
        <v>6286</v>
      </c>
      <c r="E193">
        <v>3284</v>
      </c>
      <c r="F193">
        <v>83</v>
      </c>
      <c r="G193" t="s">
        <v>9</v>
      </c>
      <c r="H193" t="str" cm="1">
        <f t="array" ref="H193">_xlfn.IFS(Grammys[[#This Row],[date]] &gt;= DATE(2022,2,1),"Grammys",TRUE,"Grammys TRA")</f>
        <v>Grammys TRA</v>
      </c>
      <c r="I193">
        <f>_xlfn.XLOOKUP(Grammys[[#This Row],[date]],mobile_visits[date],mobile_visits[mobile_visitors],0)</f>
        <v>0</v>
      </c>
      <c r="O193" s="1">
        <v>44784</v>
      </c>
      <c r="P193">
        <v>8586</v>
      </c>
    </row>
    <row r="194" spans="1:16">
      <c r="A194" s="1">
        <v>42928</v>
      </c>
      <c r="B194">
        <v>6848</v>
      </c>
      <c r="C194">
        <v>10583</v>
      </c>
      <c r="D194">
        <v>7201</v>
      </c>
      <c r="E194">
        <v>4246</v>
      </c>
      <c r="F194">
        <v>72</v>
      </c>
      <c r="G194" t="s">
        <v>9</v>
      </c>
      <c r="H194" t="str" cm="1">
        <f t="array" ref="H194">_xlfn.IFS(Grammys[[#This Row],[date]] &gt;= DATE(2022,2,1),"Grammys",TRUE,"Grammys TRA")</f>
        <v>Grammys TRA</v>
      </c>
      <c r="I194">
        <f>_xlfn.XLOOKUP(Grammys[[#This Row],[date]],mobile_visits[date],mobile_visits[mobile_visitors],0)</f>
        <v>0</v>
      </c>
      <c r="O194" s="1">
        <v>44785</v>
      </c>
      <c r="P194">
        <v>12142</v>
      </c>
    </row>
    <row r="195" spans="1:16">
      <c r="A195" s="1">
        <v>42929</v>
      </c>
      <c r="B195">
        <v>5618</v>
      </c>
      <c r="C195">
        <v>9053</v>
      </c>
      <c r="D195">
        <v>5967</v>
      </c>
      <c r="E195">
        <v>3174</v>
      </c>
      <c r="F195">
        <v>78</v>
      </c>
      <c r="G195" t="s">
        <v>9</v>
      </c>
      <c r="H195" t="str" cm="1">
        <f t="array" ref="H195">_xlfn.IFS(Grammys[[#This Row],[date]] &gt;= DATE(2022,2,1),"Grammys",TRUE,"Grammys TRA")</f>
        <v>Grammys TRA</v>
      </c>
      <c r="I195">
        <f>_xlfn.XLOOKUP(Grammys[[#This Row],[date]],mobile_visits[date],mobile_visits[mobile_visitors],0)</f>
        <v>0</v>
      </c>
      <c r="O195" s="1">
        <v>44786</v>
      </c>
      <c r="P195">
        <v>10824</v>
      </c>
    </row>
    <row r="196" spans="1:16">
      <c r="A196" s="1">
        <v>42930</v>
      </c>
      <c r="B196">
        <v>6162</v>
      </c>
      <c r="C196">
        <v>9682</v>
      </c>
      <c r="D196">
        <v>6542</v>
      </c>
      <c r="E196">
        <v>3200</v>
      </c>
      <c r="F196">
        <v>82</v>
      </c>
      <c r="G196" t="s">
        <v>9</v>
      </c>
      <c r="H196" t="str" cm="1">
        <f t="array" ref="H196">_xlfn.IFS(Grammys[[#This Row],[date]] &gt;= DATE(2022,2,1),"Grammys",TRUE,"Grammys TRA")</f>
        <v>Grammys TRA</v>
      </c>
      <c r="I196">
        <f>_xlfn.XLOOKUP(Grammys[[#This Row],[date]],mobile_visits[date],mobile_visits[mobile_visitors],0)</f>
        <v>0</v>
      </c>
      <c r="O196" s="1">
        <v>44787</v>
      </c>
      <c r="P196">
        <v>10521</v>
      </c>
    </row>
    <row r="197" spans="1:16">
      <c r="A197" s="1">
        <v>42931</v>
      </c>
      <c r="B197">
        <v>6425</v>
      </c>
      <c r="C197">
        <v>9757</v>
      </c>
      <c r="D197">
        <v>6726</v>
      </c>
      <c r="E197">
        <v>3370</v>
      </c>
      <c r="F197">
        <v>82</v>
      </c>
      <c r="G197" t="s">
        <v>9</v>
      </c>
      <c r="H197" t="str" cm="1">
        <f t="array" ref="H197">_xlfn.IFS(Grammys[[#This Row],[date]] &gt;= DATE(2022,2,1),"Grammys",TRUE,"Grammys TRA")</f>
        <v>Grammys TRA</v>
      </c>
      <c r="I197">
        <f>_xlfn.XLOOKUP(Grammys[[#This Row],[date]],mobile_visits[date],mobile_visits[mobile_visitors],0)</f>
        <v>0</v>
      </c>
      <c r="O197" s="1">
        <v>44788</v>
      </c>
      <c r="P197">
        <v>14312</v>
      </c>
    </row>
    <row r="198" spans="1:16">
      <c r="A198" s="1">
        <v>42932</v>
      </c>
      <c r="B198">
        <v>5923</v>
      </c>
      <c r="C198">
        <v>9198</v>
      </c>
      <c r="D198">
        <v>6236</v>
      </c>
      <c r="E198">
        <v>3281</v>
      </c>
      <c r="F198">
        <v>76</v>
      </c>
      <c r="G198" t="s">
        <v>9</v>
      </c>
      <c r="H198" t="str" cm="1">
        <f t="array" ref="H198">_xlfn.IFS(Grammys[[#This Row],[date]] &gt;= DATE(2022,2,1),"Grammys",TRUE,"Grammys TRA")</f>
        <v>Grammys TRA</v>
      </c>
      <c r="I198">
        <f>_xlfn.XLOOKUP(Grammys[[#This Row],[date]],mobile_visits[date],mobile_visits[mobile_visitors],0)</f>
        <v>0</v>
      </c>
      <c r="O198" s="1">
        <v>44789</v>
      </c>
      <c r="P198">
        <v>10770</v>
      </c>
    </row>
    <row r="199" spans="1:16">
      <c r="A199" s="1">
        <v>42933</v>
      </c>
      <c r="B199">
        <v>6098</v>
      </c>
      <c r="C199">
        <v>9840</v>
      </c>
      <c r="D199">
        <v>6509</v>
      </c>
      <c r="E199">
        <v>3340</v>
      </c>
      <c r="F199">
        <v>86</v>
      </c>
      <c r="G199" t="s">
        <v>9</v>
      </c>
      <c r="H199" t="str" cm="1">
        <f t="array" ref="H199">_xlfn.IFS(Grammys[[#This Row],[date]] &gt;= DATE(2022,2,1),"Grammys",TRUE,"Grammys TRA")</f>
        <v>Grammys TRA</v>
      </c>
      <c r="I199">
        <f>_xlfn.XLOOKUP(Grammys[[#This Row],[date]],mobile_visits[date],mobile_visits[mobile_visitors],0)</f>
        <v>0</v>
      </c>
      <c r="O199" s="1">
        <v>44790</v>
      </c>
      <c r="P199">
        <v>9347</v>
      </c>
    </row>
    <row r="200" spans="1:16">
      <c r="A200" s="1">
        <v>42934</v>
      </c>
      <c r="B200">
        <v>5624</v>
      </c>
      <c r="C200">
        <v>9063</v>
      </c>
      <c r="D200">
        <v>5975</v>
      </c>
      <c r="E200">
        <v>3211</v>
      </c>
      <c r="F200">
        <v>81</v>
      </c>
      <c r="G200" t="s">
        <v>9</v>
      </c>
      <c r="H200" t="str" cm="1">
        <f t="array" ref="H200">_xlfn.IFS(Grammys[[#This Row],[date]] &gt;= DATE(2022,2,1),"Grammys",TRUE,"Grammys TRA")</f>
        <v>Grammys TRA</v>
      </c>
      <c r="I200">
        <f>_xlfn.XLOOKUP(Grammys[[#This Row],[date]],mobile_visits[date],mobile_visits[mobile_visitors],0)</f>
        <v>0</v>
      </c>
      <c r="O200" s="1">
        <v>44791</v>
      </c>
      <c r="P200">
        <v>9270</v>
      </c>
    </row>
    <row r="201" spans="1:16">
      <c r="A201" s="1">
        <v>42935</v>
      </c>
      <c r="B201">
        <v>6170</v>
      </c>
      <c r="C201">
        <v>8922</v>
      </c>
      <c r="D201">
        <v>5872</v>
      </c>
      <c r="E201">
        <v>2909</v>
      </c>
      <c r="F201">
        <v>84</v>
      </c>
      <c r="G201" t="s">
        <v>9</v>
      </c>
      <c r="H201" t="str" cm="1">
        <f t="array" ref="H201">_xlfn.IFS(Grammys[[#This Row],[date]] &gt;= DATE(2022,2,1),"Grammys",TRUE,"Grammys TRA")</f>
        <v>Grammys TRA</v>
      </c>
      <c r="I201">
        <f>_xlfn.XLOOKUP(Grammys[[#This Row],[date]],mobile_visits[date],mobile_visits[mobile_visitors],0)</f>
        <v>0</v>
      </c>
      <c r="O201" s="1">
        <v>44792</v>
      </c>
      <c r="P201">
        <v>10770</v>
      </c>
    </row>
    <row r="202" spans="1:16">
      <c r="A202" s="1">
        <v>42936</v>
      </c>
      <c r="B202">
        <v>6578</v>
      </c>
      <c r="C202">
        <v>10065</v>
      </c>
      <c r="D202">
        <v>6648</v>
      </c>
      <c r="E202">
        <v>3390</v>
      </c>
      <c r="F202">
        <v>79</v>
      </c>
      <c r="G202" t="s">
        <v>9</v>
      </c>
      <c r="H202" t="str" cm="1">
        <f t="array" ref="H202">_xlfn.IFS(Grammys[[#This Row],[date]] &gt;= DATE(2022,2,1),"Grammys",TRUE,"Grammys TRA")</f>
        <v>Grammys TRA</v>
      </c>
      <c r="I202">
        <f>_xlfn.XLOOKUP(Grammys[[#This Row],[date]],mobile_visits[date],mobile_visits[mobile_visitors],0)</f>
        <v>0</v>
      </c>
      <c r="O202" s="1">
        <v>44793</v>
      </c>
      <c r="P202">
        <v>10141</v>
      </c>
    </row>
    <row r="203" spans="1:16">
      <c r="A203" s="1">
        <v>42937</v>
      </c>
      <c r="B203">
        <v>6650</v>
      </c>
      <c r="C203">
        <v>10223</v>
      </c>
      <c r="D203">
        <v>6981</v>
      </c>
      <c r="E203">
        <v>3742</v>
      </c>
      <c r="F203">
        <v>76</v>
      </c>
      <c r="G203" t="s">
        <v>9</v>
      </c>
      <c r="H203" t="str" cm="1">
        <f t="array" ref="H203">_xlfn.IFS(Grammys[[#This Row],[date]] &gt;= DATE(2022,2,1),"Grammys",TRUE,"Grammys TRA")</f>
        <v>Grammys TRA</v>
      </c>
      <c r="I203">
        <f>_xlfn.XLOOKUP(Grammys[[#This Row],[date]],mobile_visits[date],mobile_visits[mobile_visitors],0)</f>
        <v>0</v>
      </c>
      <c r="O203" s="1">
        <v>44794</v>
      </c>
      <c r="P203">
        <v>8996</v>
      </c>
    </row>
    <row r="204" spans="1:16">
      <c r="A204" s="1">
        <v>42938</v>
      </c>
      <c r="B204">
        <v>5125</v>
      </c>
      <c r="C204">
        <v>7853</v>
      </c>
      <c r="D204">
        <v>5370</v>
      </c>
      <c r="E204">
        <v>3080</v>
      </c>
      <c r="F204">
        <v>71</v>
      </c>
      <c r="G204" t="s">
        <v>9</v>
      </c>
      <c r="H204" t="str" cm="1">
        <f t="array" ref="H204">_xlfn.IFS(Grammys[[#This Row],[date]] &gt;= DATE(2022,2,1),"Grammys",TRUE,"Grammys TRA")</f>
        <v>Grammys TRA</v>
      </c>
      <c r="I204">
        <f>_xlfn.XLOOKUP(Grammys[[#This Row],[date]],mobile_visits[date],mobile_visits[mobile_visitors],0)</f>
        <v>0</v>
      </c>
      <c r="O204" s="1">
        <v>44795</v>
      </c>
      <c r="P204">
        <v>8941</v>
      </c>
    </row>
    <row r="205" spans="1:16">
      <c r="A205" s="1">
        <v>42939</v>
      </c>
      <c r="B205">
        <v>5381</v>
      </c>
      <c r="C205">
        <v>8514</v>
      </c>
      <c r="D205">
        <v>5647</v>
      </c>
      <c r="E205">
        <v>3084</v>
      </c>
      <c r="F205">
        <v>76</v>
      </c>
      <c r="G205" t="s">
        <v>9</v>
      </c>
      <c r="H205" t="str" cm="1">
        <f t="array" ref="H205">_xlfn.IFS(Grammys[[#This Row],[date]] &gt;= DATE(2022,2,1),"Grammys",TRUE,"Grammys TRA")</f>
        <v>Grammys TRA</v>
      </c>
      <c r="I205">
        <f>_xlfn.XLOOKUP(Grammys[[#This Row],[date]],mobile_visits[date],mobile_visits[mobile_visitors],0)</f>
        <v>0</v>
      </c>
      <c r="O205" s="1">
        <v>44796</v>
      </c>
      <c r="P205">
        <v>8600</v>
      </c>
    </row>
    <row r="206" spans="1:16">
      <c r="A206" s="1">
        <v>42940</v>
      </c>
      <c r="B206">
        <v>5381</v>
      </c>
      <c r="C206">
        <v>8742</v>
      </c>
      <c r="D206">
        <v>5699</v>
      </c>
      <c r="E206">
        <v>3200</v>
      </c>
      <c r="F206">
        <v>87</v>
      </c>
      <c r="G206" t="s">
        <v>9</v>
      </c>
      <c r="H206" t="str" cm="1">
        <f t="array" ref="H206">_xlfn.IFS(Grammys[[#This Row],[date]] &gt;= DATE(2022,2,1),"Grammys",TRUE,"Grammys TRA")</f>
        <v>Grammys TRA</v>
      </c>
      <c r="I206">
        <f>_xlfn.XLOOKUP(Grammys[[#This Row],[date]],mobile_visits[date],mobile_visits[mobile_visitors],0)</f>
        <v>0</v>
      </c>
      <c r="O206" s="1">
        <v>44797</v>
      </c>
      <c r="P206">
        <v>16935</v>
      </c>
    </row>
    <row r="207" spans="1:16">
      <c r="A207" s="1">
        <v>42941</v>
      </c>
      <c r="B207">
        <v>5481</v>
      </c>
      <c r="C207">
        <v>8973</v>
      </c>
      <c r="D207">
        <v>5845</v>
      </c>
      <c r="E207">
        <v>3572</v>
      </c>
      <c r="F207">
        <v>80</v>
      </c>
      <c r="G207" t="s">
        <v>9</v>
      </c>
      <c r="H207" t="str" cm="1">
        <f t="array" ref="H207">_xlfn.IFS(Grammys[[#This Row],[date]] &gt;= DATE(2022,2,1),"Grammys",TRUE,"Grammys TRA")</f>
        <v>Grammys TRA</v>
      </c>
      <c r="I207">
        <f>_xlfn.XLOOKUP(Grammys[[#This Row],[date]],mobile_visits[date],mobile_visits[mobile_visitors],0)</f>
        <v>0</v>
      </c>
      <c r="O207" s="1">
        <v>44798</v>
      </c>
      <c r="P207">
        <v>13291</v>
      </c>
    </row>
    <row r="208" spans="1:16">
      <c r="A208" s="1">
        <v>42942</v>
      </c>
      <c r="B208">
        <v>5468</v>
      </c>
      <c r="C208">
        <v>9092</v>
      </c>
      <c r="D208">
        <v>5851</v>
      </c>
      <c r="E208">
        <v>4079</v>
      </c>
      <c r="F208">
        <v>78</v>
      </c>
      <c r="G208" t="s">
        <v>9</v>
      </c>
      <c r="H208" t="str" cm="1">
        <f t="array" ref="H208">_xlfn.IFS(Grammys[[#This Row],[date]] &gt;= DATE(2022,2,1),"Grammys",TRUE,"Grammys TRA")</f>
        <v>Grammys TRA</v>
      </c>
      <c r="I208">
        <f>_xlfn.XLOOKUP(Grammys[[#This Row],[date]],mobile_visits[date],mobile_visits[mobile_visitors],0)</f>
        <v>0</v>
      </c>
      <c r="O208" s="1">
        <v>44799</v>
      </c>
      <c r="P208">
        <v>12975</v>
      </c>
    </row>
    <row r="209" spans="1:16">
      <c r="A209" s="1">
        <v>42943</v>
      </c>
      <c r="B209">
        <v>5519</v>
      </c>
      <c r="C209">
        <v>9154</v>
      </c>
      <c r="D209">
        <v>5810</v>
      </c>
      <c r="E209">
        <v>4087</v>
      </c>
      <c r="F209">
        <v>69</v>
      </c>
      <c r="G209" t="s">
        <v>9</v>
      </c>
      <c r="H209" t="str" cm="1">
        <f t="array" ref="H209">_xlfn.IFS(Grammys[[#This Row],[date]] &gt;= DATE(2022,2,1),"Grammys",TRUE,"Grammys TRA")</f>
        <v>Grammys TRA</v>
      </c>
      <c r="I209">
        <f>_xlfn.XLOOKUP(Grammys[[#This Row],[date]],mobile_visits[date],mobile_visits[mobile_visitors],0)</f>
        <v>0</v>
      </c>
      <c r="O209" s="1">
        <v>44800</v>
      </c>
      <c r="P209">
        <v>12040</v>
      </c>
    </row>
    <row r="210" spans="1:16">
      <c r="A210" s="1">
        <v>42944</v>
      </c>
      <c r="B210">
        <v>5274</v>
      </c>
      <c r="C210">
        <v>8907</v>
      </c>
      <c r="D210">
        <v>5552</v>
      </c>
      <c r="E210">
        <v>3806</v>
      </c>
      <c r="F210">
        <v>77</v>
      </c>
      <c r="G210" t="s">
        <v>9</v>
      </c>
      <c r="H210" t="str" cm="1">
        <f t="array" ref="H210">_xlfn.IFS(Grammys[[#This Row],[date]] &gt;= DATE(2022,2,1),"Grammys",TRUE,"Grammys TRA")</f>
        <v>Grammys TRA</v>
      </c>
      <c r="I210">
        <f>_xlfn.XLOOKUP(Grammys[[#This Row],[date]],mobile_visits[date],mobile_visits[mobile_visitors],0)</f>
        <v>0</v>
      </c>
      <c r="O210" s="1">
        <v>44801</v>
      </c>
      <c r="P210">
        <v>14455</v>
      </c>
    </row>
    <row r="211" spans="1:16">
      <c r="A211" s="1">
        <v>42945</v>
      </c>
      <c r="B211">
        <v>9232</v>
      </c>
      <c r="C211">
        <v>15138</v>
      </c>
      <c r="D211">
        <v>10018</v>
      </c>
      <c r="E211">
        <v>7018</v>
      </c>
      <c r="F211">
        <v>60</v>
      </c>
      <c r="G211" t="s">
        <v>9</v>
      </c>
      <c r="H211" t="str" cm="1">
        <f t="array" ref="H211">_xlfn.IFS(Grammys[[#This Row],[date]] &gt;= DATE(2022,2,1),"Grammys",TRUE,"Grammys TRA")</f>
        <v>Grammys TRA</v>
      </c>
      <c r="I211">
        <f>_xlfn.XLOOKUP(Grammys[[#This Row],[date]],mobile_visits[date],mobile_visits[mobile_visitors],0)</f>
        <v>0</v>
      </c>
      <c r="O211" s="1">
        <v>44802</v>
      </c>
      <c r="P211">
        <v>12556</v>
      </c>
    </row>
    <row r="212" spans="1:16">
      <c r="A212" s="1">
        <v>42946</v>
      </c>
      <c r="B212">
        <v>7637</v>
      </c>
      <c r="C212">
        <v>12684</v>
      </c>
      <c r="D212">
        <v>8190</v>
      </c>
      <c r="E212">
        <v>5829</v>
      </c>
      <c r="F212">
        <v>60</v>
      </c>
      <c r="G212" t="s">
        <v>9</v>
      </c>
      <c r="H212" t="str" cm="1">
        <f t="array" ref="H212">_xlfn.IFS(Grammys[[#This Row],[date]] &gt;= DATE(2022,2,1),"Grammys",TRUE,"Grammys TRA")</f>
        <v>Grammys TRA</v>
      </c>
      <c r="I212">
        <f>_xlfn.XLOOKUP(Grammys[[#This Row],[date]],mobile_visits[date],mobile_visits[mobile_visitors],0)</f>
        <v>0</v>
      </c>
      <c r="O212" s="1">
        <v>44803</v>
      </c>
      <c r="P212">
        <v>10963</v>
      </c>
    </row>
    <row r="213" spans="1:16">
      <c r="A213" s="1">
        <v>42947</v>
      </c>
      <c r="B213">
        <v>5929</v>
      </c>
      <c r="C213">
        <v>10088</v>
      </c>
      <c r="D213">
        <v>6300</v>
      </c>
      <c r="E213">
        <v>4380</v>
      </c>
      <c r="F213">
        <v>77</v>
      </c>
      <c r="G213" t="s">
        <v>9</v>
      </c>
      <c r="H213" t="str" cm="1">
        <f t="array" ref="H213">_xlfn.IFS(Grammys[[#This Row],[date]] &gt;= DATE(2022,2,1),"Grammys",TRUE,"Grammys TRA")</f>
        <v>Grammys TRA</v>
      </c>
      <c r="I213">
        <f>_xlfn.XLOOKUP(Grammys[[#This Row],[date]],mobile_visits[date],mobile_visits[mobile_visitors],0)</f>
        <v>0</v>
      </c>
      <c r="O213" s="1">
        <v>44804</v>
      </c>
      <c r="P213">
        <v>9804</v>
      </c>
    </row>
    <row r="214" spans="1:16">
      <c r="A214" s="1">
        <v>42948</v>
      </c>
      <c r="B214">
        <v>5822</v>
      </c>
      <c r="C214">
        <v>9805</v>
      </c>
      <c r="D214">
        <v>6188</v>
      </c>
      <c r="E214">
        <v>4351</v>
      </c>
      <c r="F214">
        <v>80</v>
      </c>
      <c r="G214" t="s">
        <v>9</v>
      </c>
      <c r="H214" t="str" cm="1">
        <f t="array" ref="H214">_xlfn.IFS(Grammys[[#This Row],[date]] &gt;= DATE(2022,2,1),"Grammys",TRUE,"Grammys TRA")</f>
        <v>Grammys TRA</v>
      </c>
      <c r="I214">
        <f>_xlfn.XLOOKUP(Grammys[[#This Row],[date]],mobile_visits[date],mobile_visits[mobile_visitors],0)</f>
        <v>0</v>
      </c>
      <c r="O214" s="1">
        <v>44805</v>
      </c>
      <c r="P214">
        <v>9398</v>
      </c>
    </row>
    <row r="215" spans="1:16">
      <c r="A215" s="1">
        <v>42949</v>
      </c>
      <c r="B215">
        <v>6357</v>
      </c>
      <c r="C215">
        <v>11135</v>
      </c>
      <c r="D215">
        <v>6832</v>
      </c>
      <c r="E215">
        <v>3701</v>
      </c>
      <c r="F215">
        <v>97</v>
      </c>
      <c r="G215" t="s">
        <v>9</v>
      </c>
      <c r="H215" t="str" cm="1">
        <f t="array" ref="H215">_xlfn.IFS(Grammys[[#This Row],[date]] &gt;= DATE(2022,2,1),"Grammys",TRUE,"Grammys TRA")</f>
        <v>Grammys TRA</v>
      </c>
      <c r="I215">
        <f>_xlfn.XLOOKUP(Grammys[[#This Row],[date]],mobile_visits[date],mobile_visits[mobile_visitors],0)</f>
        <v>0</v>
      </c>
      <c r="O215" s="1">
        <v>44806</v>
      </c>
      <c r="P215">
        <v>9469</v>
      </c>
    </row>
    <row r="216" spans="1:16">
      <c r="A216" s="1">
        <v>42950</v>
      </c>
      <c r="B216">
        <v>5559</v>
      </c>
      <c r="C216">
        <v>9464</v>
      </c>
      <c r="D216">
        <v>5962</v>
      </c>
      <c r="E216">
        <v>3287</v>
      </c>
      <c r="F216">
        <v>98</v>
      </c>
      <c r="G216" t="s">
        <v>9</v>
      </c>
      <c r="H216" t="str" cm="1">
        <f t="array" ref="H216">_xlfn.IFS(Grammys[[#This Row],[date]] &gt;= DATE(2022,2,1),"Grammys",TRUE,"Grammys TRA")</f>
        <v>Grammys TRA</v>
      </c>
      <c r="I216">
        <f>_xlfn.XLOOKUP(Grammys[[#This Row],[date]],mobile_visits[date],mobile_visits[mobile_visitors],0)</f>
        <v>0</v>
      </c>
      <c r="O216" s="1">
        <v>44807</v>
      </c>
      <c r="P216">
        <v>9615</v>
      </c>
    </row>
    <row r="217" spans="1:16">
      <c r="A217" s="1">
        <v>42951</v>
      </c>
      <c r="B217">
        <v>5429</v>
      </c>
      <c r="C217">
        <v>9176</v>
      </c>
      <c r="D217">
        <v>5776</v>
      </c>
      <c r="E217">
        <v>3177</v>
      </c>
      <c r="F217">
        <v>97</v>
      </c>
      <c r="G217" t="s">
        <v>9</v>
      </c>
      <c r="H217" t="str" cm="1">
        <f t="array" ref="H217">_xlfn.IFS(Grammys[[#This Row],[date]] &gt;= DATE(2022,2,1),"Grammys",TRUE,"Grammys TRA")</f>
        <v>Grammys TRA</v>
      </c>
      <c r="I217">
        <f>_xlfn.XLOOKUP(Grammys[[#This Row],[date]],mobile_visits[date],mobile_visits[mobile_visitors],0)</f>
        <v>0</v>
      </c>
      <c r="O217" s="1">
        <v>44808</v>
      </c>
      <c r="P217">
        <v>12314</v>
      </c>
    </row>
    <row r="218" spans="1:16">
      <c r="A218" s="1">
        <v>42952</v>
      </c>
      <c r="B218">
        <v>5053</v>
      </c>
      <c r="C218">
        <v>8344</v>
      </c>
      <c r="D218">
        <v>5320</v>
      </c>
      <c r="E218">
        <v>2849</v>
      </c>
      <c r="F218">
        <v>87</v>
      </c>
      <c r="G218" t="s">
        <v>9</v>
      </c>
      <c r="H218" t="str" cm="1">
        <f t="array" ref="H218">_xlfn.IFS(Grammys[[#This Row],[date]] &gt;= DATE(2022,2,1),"Grammys",TRUE,"Grammys TRA")</f>
        <v>Grammys TRA</v>
      </c>
      <c r="I218">
        <f>_xlfn.XLOOKUP(Grammys[[#This Row],[date]],mobile_visits[date],mobile_visits[mobile_visitors],0)</f>
        <v>0</v>
      </c>
      <c r="O218" s="1">
        <v>44809</v>
      </c>
      <c r="P218">
        <v>10552</v>
      </c>
    </row>
    <row r="219" spans="1:16">
      <c r="A219" s="1">
        <v>42953</v>
      </c>
      <c r="B219">
        <v>5281</v>
      </c>
      <c r="C219">
        <v>8486</v>
      </c>
      <c r="D219">
        <v>5611</v>
      </c>
      <c r="E219">
        <v>2955</v>
      </c>
      <c r="F219">
        <v>86</v>
      </c>
      <c r="G219" t="s">
        <v>9</v>
      </c>
      <c r="H219" t="str" cm="1">
        <f t="array" ref="H219">_xlfn.IFS(Grammys[[#This Row],[date]] &gt;= DATE(2022,2,1),"Grammys",TRUE,"Grammys TRA")</f>
        <v>Grammys TRA</v>
      </c>
      <c r="I219">
        <f>_xlfn.XLOOKUP(Grammys[[#This Row],[date]],mobile_visits[date],mobile_visits[mobile_visitors],0)</f>
        <v>0</v>
      </c>
      <c r="O219" s="1">
        <v>44810</v>
      </c>
      <c r="P219">
        <v>7878</v>
      </c>
    </row>
    <row r="220" spans="1:16">
      <c r="A220" s="1">
        <v>42954</v>
      </c>
      <c r="B220">
        <v>5671</v>
      </c>
      <c r="C220">
        <v>9509</v>
      </c>
      <c r="D220">
        <v>6047</v>
      </c>
      <c r="E220">
        <v>3366</v>
      </c>
      <c r="F220">
        <v>86</v>
      </c>
      <c r="G220" t="s">
        <v>9</v>
      </c>
      <c r="H220" t="str" cm="1">
        <f t="array" ref="H220">_xlfn.IFS(Grammys[[#This Row],[date]] &gt;= DATE(2022,2,1),"Grammys",TRUE,"Grammys TRA")</f>
        <v>Grammys TRA</v>
      </c>
      <c r="I220">
        <f>_xlfn.XLOOKUP(Grammys[[#This Row],[date]],mobile_visits[date],mobile_visits[mobile_visitors],0)</f>
        <v>0</v>
      </c>
      <c r="O220" s="1">
        <v>44811</v>
      </c>
      <c r="P220">
        <v>8822</v>
      </c>
    </row>
    <row r="221" spans="1:16">
      <c r="A221" s="1">
        <v>42955</v>
      </c>
      <c r="B221">
        <v>5832</v>
      </c>
      <c r="C221">
        <v>9782</v>
      </c>
      <c r="D221">
        <v>6230</v>
      </c>
      <c r="E221">
        <v>3380</v>
      </c>
      <c r="F221">
        <v>90</v>
      </c>
      <c r="G221" t="s">
        <v>9</v>
      </c>
      <c r="H221" t="str" cm="1">
        <f t="array" ref="H221">_xlfn.IFS(Grammys[[#This Row],[date]] &gt;= DATE(2022,2,1),"Grammys",TRUE,"Grammys TRA")</f>
        <v>Grammys TRA</v>
      </c>
      <c r="I221">
        <f>_xlfn.XLOOKUP(Grammys[[#This Row],[date]],mobile_visits[date],mobile_visits[mobile_visitors],0)</f>
        <v>0</v>
      </c>
      <c r="O221" s="1">
        <v>44812</v>
      </c>
      <c r="P221">
        <v>8182</v>
      </c>
    </row>
    <row r="222" spans="1:16">
      <c r="A222" s="1">
        <v>42956</v>
      </c>
      <c r="B222">
        <v>5987</v>
      </c>
      <c r="C222">
        <v>9949</v>
      </c>
      <c r="D222">
        <v>6384</v>
      </c>
      <c r="E222">
        <v>3464</v>
      </c>
      <c r="F222">
        <v>95</v>
      </c>
      <c r="G222" t="s">
        <v>9</v>
      </c>
      <c r="H222" t="str" cm="1">
        <f t="array" ref="H222">_xlfn.IFS(Grammys[[#This Row],[date]] &gt;= DATE(2022,2,1),"Grammys",TRUE,"Grammys TRA")</f>
        <v>Grammys TRA</v>
      </c>
      <c r="I222">
        <f>_xlfn.XLOOKUP(Grammys[[#This Row],[date]],mobile_visits[date],mobile_visits[mobile_visitors],0)</f>
        <v>0</v>
      </c>
      <c r="O222" s="1">
        <v>44813</v>
      </c>
      <c r="P222">
        <v>8529</v>
      </c>
    </row>
    <row r="223" spans="1:16">
      <c r="A223" s="1">
        <v>42957</v>
      </c>
      <c r="B223">
        <v>5720</v>
      </c>
      <c r="C223">
        <v>9061</v>
      </c>
      <c r="D223">
        <v>6109</v>
      </c>
      <c r="E223">
        <v>3566</v>
      </c>
      <c r="F223">
        <v>77</v>
      </c>
      <c r="G223" t="s">
        <v>9</v>
      </c>
      <c r="H223" t="str" cm="1">
        <f t="array" ref="H223">_xlfn.IFS(Grammys[[#This Row],[date]] &gt;= DATE(2022,2,1),"Grammys",TRUE,"Grammys TRA")</f>
        <v>Grammys TRA</v>
      </c>
      <c r="I223">
        <f>_xlfn.XLOOKUP(Grammys[[#This Row],[date]],mobile_visits[date],mobile_visits[mobile_visitors],0)</f>
        <v>0</v>
      </c>
      <c r="O223" s="1">
        <v>44814</v>
      </c>
      <c r="P223">
        <v>9648</v>
      </c>
    </row>
    <row r="224" spans="1:16">
      <c r="A224" s="1">
        <v>42958</v>
      </c>
      <c r="B224">
        <v>5245</v>
      </c>
      <c r="C224">
        <v>8404</v>
      </c>
      <c r="D224">
        <v>5533</v>
      </c>
      <c r="E224">
        <v>3107</v>
      </c>
      <c r="F224">
        <v>81</v>
      </c>
      <c r="G224" t="s">
        <v>9</v>
      </c>
      <c r="H224" t="str" cm="1">
        <f t="array" ref="H224">_xlfn.IFS(Grammys[[#This Row],[date]] &gt;= DATE(2022,2,1),"Grammys",TRUE,"Grammys TRA")</f>
        <v>Grammys TRA</v>
      </c>
      <c r="I224">
        <f>_xlfn.XLOOKUP(Grammys[[#This Row],[date]],mobile_visits[date],mobile_visits[mobile_visitors],0)</f>
        <v>0</v>
      </c>
      <c r="O224" s="1">
        <v>44815</v>
      </c>
      <c r="P224">
        <v>8152</v>
      </c>
    </row>
    <row r="225" spans="1:16">
      <c r="A225" s="1">
        <v>42959</v>
      </c>
      <c r="B225">
        <v>4619</v>
      </c>
      <c r="C225">
        <v>7360</v>
      </c>
      <c r="D225">
        <v>4860</v>
      </c>
      <c r="E225">
        <v>2761</v>
      </c>
      <c r="F225">
        <v>69</v>
      </c>
      <c r="G225" t="s">
        <v>9</v>
      </c>
      <c r="H225" t="str" cm="1">
        <f t="array" ref="H225">_xlfn.IFS(Grammys[[#This Row],[date]] &gt;= DATE(2022,2,1),"Grammys",TRUE,"Grammys TRA")</f>
        <v>Grammys TRA</v>
      </c>
      <c r="I225">
        <f>_xlfn.XLOOKUP(Grammys[[#This Row],[date]],mobile_visits[date],mobile_visits[mobile_visitors],0)</f>
        <v>0</v>
      </c>
      <c r="O225" s="1">
        <v>44816</v>
      </c>
      <c r="P225">
        <v>9604</v>
      </c>
    </row>
    <row r="226" spans="1:16">
      <c r="A226" s="1">
        <v>42960</v>
      </c>
      <c r="B226">
        <v>4727</v>
      </c>
      <c r="C226">
        <v>7524</v>
      </c>
      <c r="D226">
        <v>4972</v>
      </c>
      <c r="E226">
        <v>2825</v>
      </c>
      <c r="F226">
        <v>74</v>
      </c>
      <c r="G226" t="s">
        <v>9</v>
      </c>
      <c r="H226" t="str" cm="1">
        <f t="array" ref="H226">_xlfn.IFS(Grammys[[#This Row],[date]] &gt;= DATE(2022,2,1),"Grammys",TRUE,"Grammys TRA")</f>
        <v>Grammys TRA</v>
      </c>
      <c r="I226">
        <f>_xlfn.XLOOKUP(Grammys[[#This Row],[date]],mobile_visits[date],mobile_visits[mobile_visitors],0)</f>
        <v>0</v>
      </c>
      <c r="O226" s="1">
        <v>44817</v>
      </c>
      <c r="P226">
        <v>10922</v>
      </c>
    </row>
    <row r="227" spans="1:16">
      <c r="A227" s="1">
        <v>42961</v>
      </c>
      <c r="B227">
        <v>5412</v>
      </c>
      <c r="C227">
        <v>8659</v>
      </c>
      <c r="D227">
        <v>5704</v>
      </c>
      <c r="E227">
        <v>3145</v>
      </c>
      <c r="F227">
        <v>85</v>
      </c>
      <c r="G227" t="s">
        <v>9</v>
      </c>
      <c r="H227" t="str" cm="1">
        <f t="array" ref="H227">_xlfn.IFS(Grammys[[#This Row],[date]] &gt;= DATE(2022,2,1),"Grammys",TRUE,"Grammys TRA")</f>
        <v>Grammys TRA</v>
      </c>
      <c r="I227">
        <f>_xlfn.XLOOKUP(Grammys[[#This Row],[date]],mobile_visits[date],mobile_visits[mobile_visitors],0)</f>
        <v>0</v>
      </c>
      <c r="O227" s="1">
        <v>44818</v>
      </c>
      <c r="P227">
        <v>8701</v>
      </c>
    </row>
    <row r="228" spans="1:16">
      <c r="A228" s="1">
        <v>42962</v>
      </c>
      <c r="B228">
        <v>6186</v>
      </c>
      <c r="C228">
        <v>9708</v>
      </c>
      <c r="D228">
        <v>6495</v>
      </c>
      <c r="E228">
        <v>3927</v>
      </c>
      <c r="F228">
        <v>75</v>
      </c>
      <c r="G228" t="s">
        <v>9</v>
      </c>
      <c r="H228" t="str" cm="1">
        <f t="array" ref="H228">_xlfn.IFS(Grammys[[#This Row],[date]] &gt;= DATE(2022,2,1),"Grammys",TRUE,"Grammys TRA")</f>
        <v>Grammys TRA</v>
      </c>
      <c r="I228">
        <f>_xlfn.XLOOKUP(Grammys[[#This Row],[date]],mobile_visits[date],mobile_visits[mobile_visitors],0)</f>
        <v>0</v>
      </c>
      <c r="O228" s="1">
        <v>44819</v>
      </c>
      <c r="P228">
        <v>9365</v>
      </c>
    </row>
    <row r="229" spans="1:16">
      <c r="A229" s="1">
        <v>42963</v>
      </c>
      <c r="B229">
        <v>5455</v>
      </c>
      <c r="C229">
        <v>8786</v>
      </c>
      <c r="D229">
        <v>5764</v>
      </c>
      <c r="E229">
        <v>3250</v>
      </c>
      <c r="F229">
        <v>79</v>
      </c>
      <c r="G229" t="s">
        <v>9</v>
      </c>
      <c r="H229" t="str" cm="1">
        <f t="array" ref="H229">_xlfn.IFS(Grammys[[#This Row],[date]] &gt;= DATE(2022,2,1),"Grammys",TRUE,"Grammys TRA")</f>
        <v>Grammys TRA</v>
      </c>
      <c r="I229">
        <f>_xlfn.XLOOKUP(Grammys[[#This Row],[date]],mobile_visits[date],mobile_visits[mobile_visitors],0)</f>
        <v>0</v>
      </c>
      <c r="O229" s="1">
        <v>44820</v>
      </c>
      <c r="P229">
        <v>9416</v>
      </c>
    </row>
    <row r="230" spans="1:16">
      <c r="A230" s="1">
        <v>42964</v>
      </c>
      <c r="B230">
        <v>5718</v>
      </c>
      <c r="C230">
        <v>9480</v>
      </c>
      <c r="D230">
        <v>6084</v>
      </c>
      <c r="E230">
        <v>3487</v>
      </c>
      <c r="F230">
        <v>82</v>
      </c>
      <c r="G230" t="s">
        <v>9</v>
      </c>
      <c r="H230" t="str" cm="1">
        <f t="array" ref="H230">_xlfn.IFS(Grammys[[#This Row],[date]] &gt;= DATE(2022,2,1),"Grammys",TRUE,"Grammys TRA")</f>
        <v>Grammys TRA</v>
      </c>
      <c r="I230">
        <f>_xlfn.XLOOKUP(Grammys[[#This Row],[date]],mobile_visits[date],mobile_visits[mobile_visitors],0)</f>
        <v>0</v>
      </c>
      <c r="O230" s="1">
        <v>44821</v>
      </c>
      <c r="P230">
        <v>9792</v>
      </c>
    </row>
    <row r="231" spans="1:16">
      <c r="A231" s="1">
        <v>42965</v>
      </c>
      <c r="B231">
        <v>6087</v>
      </c>
      <c r="C231">
        <v>9980</v>
      </c>
      <c r="D231">
        <v>6405</v>
      </c>
      <c r="E231">
        <v>3551</v>
      </c>
      <c r="F231">
        <v>83</v>
      </c>
      <c r="G231" t="s">
        <v>9</v>
      </c>
      <c r="H231" t="str" cm="1">
        <f t="array" ref="H231">_xlfn.IFS(Grammys[[#This Row],[date]] &gt;= DATE(2022,2,1),"Grammys",TRUE,"Grammys TRA")</f>
        <v>Grammys TRA</v>
      </c>
      <c r="I231">
        <f>_xlfn.XLOOKUP(Grammys[[#This Row],[date]],mobile_visits[date],mobile_visits[mobile_visitors],0)</f>
        <v>0</v>
      </c>
      <c r="O231" s="1">
        <v>44822</v>
      </c>
      <c r="P231">
        <v>9434</v>
      </c>
    </row>
    <row r="232" spans="1:16">
      <c r="A232" s="1">
        <v>42966</v>
      </c>
      <c r="B232">
        <v>5568</v>
      </c>
      <c r="C232">
        <v>9131</v>
      </c>
      <c r="D232">
        <v>5898</v>
      </c>
      <c r="E232">
        <v>3159</v>
      </c>
      <c r="F232">
        <v>87</v>
      </c>
      <c r="G232" t="s">
        <v>9</v>
      </c>
      <c r="H232" t="str" cm="1">
        <f t="array" ref="H232">_xlfn.IFS(Grammys[[#This Row],[date]] &gt;= DATE(2022,2,1),"Grammys",TRUE,"Grammys TRA")</f>
        <v>Grammys TRA</v>
      </c>
      <c r="I232">
        <f>_xlfn.XLOOKUP(Grammys[[#This Row],[date]],mobile_visits[date],mobile_visits[mobile_visitors],0)</f>
        <v>0</v>
      </c>
      <c r="O232" s="1">
        <v>44823</v>
      </c>
      <c r="P232">
        <v>10224</v>
      </c>
    </row>
    <row r="233" spans="1:16">
      <c r="A233" s="1">
        <v>42967</v>
      </c>
      <c r="B233">
        <v>4899</v>
      </c>
      <c r="C233">
        <v>8030</v>
      </c>
      <c r="D233">
        <v>5152</v>
      </c>
      <c r="E233">
        <v>2872</v>
      </c>
      <c r="F233">
        <v>81</v>
      </c>
      <c r="G233" t="s">
        <v>9</v>
      </c>
      <c r="H233" t="str" cm="1">
        <f t="array" ref="H233">_xlfn.IFS(Grammys[[#This Row],[date]] &gt;= DATE(2022,2,1),"Grammys",TRUE,"Grammys TRA")</f>
        <v>Grammys TRA</v>
      </c>
      <c r="I233">
        <f>_xlfn.XLOOKUP(Grammys[[#This Row],[date]],mobile_visits[date],mobile_visits[mobile_visitors],0)</f>
        <v>0</v>
      </c>
      <c r="O233" s="1">
        <v>44824</v>
      </c>
      <c r="P233">
        <v>20136</v>
      </c>
    </row>
    <row r="234" spans="1:16">
      <c r="A234" s="1">
        <v>42968</v>
      </c>
      <c r="B234">
        <v>4888</v>
      </c>
      <c r="C234">
        <v>8049</v>
      </c>
      <c r="D234">
        <v>5141</v>
      </c>
      <c r="E234">
        <v>2874</v>
      </c>
      <c r="F234">
        <v>91</v>
      </c>
      <c r="G234" t="s">
        <v>9</v>
      </c>
      <c r="H234" t="str" cm="1">
        <f t="array" ref="H234">_xlfn.IFS(Grammys[[#This Row],[date]] &gt;= DATE(2022,2,1),"Grammys",TRUE,"Grammys TRA")</f>
        <v>Grammys TRA</v>
      </c>
      <c r="I234">
        <f>_xlfn.XLOOKUP(Grammys[[#This Row],[date]],mobile_visits[date],mobile_visits[mobile_visitors],0)</f>
        <v>0</v>
      </c>
      <c r="O234" s="1">
        <v>44825</v>
      </c>
      <c r="P234">
        <v>15984</v>
      </c>
    </row>
    <row r="235" spans="1:16">
      <c r="A235" s="1">
        <v>42969</v>
      </c>
      <c r="B235">
        <v>5395</v>
      </c>
      <c r="C235">
        <v>8969</v>
      </c>
      <c r="D235">
        <v>5719</v>
      </c>
      <c r="E235">
        <v>3253</v>
      </c>
      <c r="F235">
        <v>83</v>
      </c>
      <c r="G235" t="s">
        <v>9</v>
      </c>
      <c r="H235" t="str" cm="1">
        <f t="array" ref="H235">_xlfn.IFS(Grammys[[#This Row],[date]] &gt;= DATE(2022,2,1),"Grammys",TRUE,"Grammys TRA")</f>
        <v>Grammys TRA</v>
      </c>
      <c r="I235">
        <f>_xlfn.XLOOKUP(Grammys[[#This Row],[date]],mobile_visits[date],mobile_visits[mobile_visitors],0)</f>
        <v>0</v>
      </c>
      <c r="O235" s="1">
        <v>44826</v>
      </c>
      <c r="P235">
        <v>11225</v>
      </c>
    </row>
    <row r="236" spans="1:16">
      <c r="A236" s="1">
        <v>42970</v>
      </c>
      <c r="B236">
        <v>5723</v>
      </c>
      <c r="C236">
        <v>9378</v>
      </c>
      <c r="D236">
        <v>6079</v>
      </c>
      <c r="E236">
        <v>3397</v>
      </c>
      <c r="F236">
        <v>76</v>
      </c>
      <c r="G236" t="s">
        <v>9</v>
      </c>
      <c r="H236" t="str" cm="1">
        <f t="array" ref="H236">_xlfn.IFS(Grammys[[#This Row],[date]] &gt;= DATE(2022,2,1),"Grammys",TRUE,"Grammys TRA")</f>
        <v>Grammys TRA</v>
      </c>
      <c r="I236">
        <f>_xlfn.XLOOKUP(Grammys[[#This Row],[date]],mobile_visits[date],mobile_visits[mobile_visitors],0)</f>
        <v>0</v>
      </c>
      <c r="O236" s="1">
        <v>44827</v>
      </c>
      <c r="P236">
        <v>10328</v>
      </c>
    </row>
    <row r="237" spans="1:16">
      <c r="A237" s="1">
        <v>42971</v>
      </c>
      <c r="B237">
        <v>7602</v>
      </c>
      <c r="C237">
        <v>11502</v>
      </c>
      <c r="D237">
        <v>8051</v>
      </c>
      <c r="E237">
        <v>4367</v>
      </c>
      <c r="F237">
        <v>67</v>
      </c>
      <c r="G237" t="s">
        <v>9</v>
      </c>
      <c r="H237" t="str" cm="1">
        <f t="array" ref="H237">_xlfn.IFS(Grammys[[#This Row],[date]] &gt;= DATE(2022,2,1),"Grammys",TRUE,"Grammys TRA")</f>
        <v>Grammys TRA</v>
      </c>
      <c r="I237">
        <f>_xlfn.XLOOKUP(Grammys[[#This Row],[date]],mobile_visits[date],mobile_visits[mobile_visitors],0)</f>
        <v>0</v>
      </c>
      <c r="O237" s="1">
        <v>44828</v>
      </c>
      <c r="P237">
        <v>14799</v>
      </c>
    </row>
    <row r="238" spans="1:16">
      <c r="A238" s="1">
        <v>42972</v>
      </c>
      <c r="B238">
        <v>5282</v>
      </c>
      <c r="C238">
        <v>8318</v>
      </c>
      <c r="D238">
        <v>5537</v>
      </c>
      <c r="E238">
        <v>3250</v>
      </c>
      <c r="F238">
        <v>83</v>
      </c>
      <c r="G238" t="s">
        <v>9</v>
      </c>
      <c r="H238" t="str" cm="1">
        <f t="array" ref="H238">_xlfn.IFS(Grammys[[#This Row],[date]] &gt;= DATE(2022,2,1),"Grammys",TRUE,"Grammys TRA")</f>
        <v>Grammys TRA</v>
      </c>
      <c r="I238">
        <f>_xlfn.XLOOKUP(Grammys[[#This Row],[date]],mobile_visits[date],mobile_visits[mobile_visitors],0)</f>
        <v>0</v>
      </c>
      <c r="O238" s="1">
        <v>44829</v>
      </c>
      <c r="P238">
        <v>17766</v>
      </c>
    </row>
    <row r="239" spans="1:16">
      <c r="A239" s="1">
        <v>42973</v>
      </c>
      <c r="B239">
        <v>4382</v>
      </c>
      <c r="C239">
        <v>7030</v>
      </c>
      <c r="D239">
        <v>4586</v>
      </c>
      <c r="E239">
        <v>2666</v>
      </c>
      <c r="F239">
        <v>87</v>
      </c>
      <c r="G239" t="s">
        <v>9</v>
      </c>
      <c r="H239" t="str" cm="1">
        <f t="array" ref="H239">_xlfn.IFS(Grammys[[#This Row],[date]] &gt;= DATE(2022,2,1),"Grammys",TRUE,"Grammys TRA")</f>
        <v>Grammys TRA</v>
      </c>
      <c r="I239">
        <f>_xlfn.XLOOKUP(Grammys[[#This Row],[date]],mobile_visits[date],mobile_visits[mobile_visitors],0)</f>
        <v>0</v>
      </c>
      <c r="O239" s="1">
        <v>44830</v>
      </c>
      <c r="P239">
        <v>16404</v>
      </c>
    </row>
    <row r="240" spans="1:16">
      <c r="A240" s="1">
        <v>42974</v>
      </c>
      <c r="B240">
        <v>5706</v>
      </c>
      <c r="C240">
        <v>8975</v>
      </c>
      <c r="D240">
        <v>6006</v>
      </c>
      <c r="E240">
        <v>3355</v>
      </c>
      <c r="F240">
        <v>81</v>
      </c>
      <c r="G240" t="s">
        <v>9</v>
      </c>
      <c r="H240" t="str" cm="1">
        <f t="array" ref="H240">_xlfn.IFS(Grammys[[#This Row],[date]] &gt;= DATE(2022,2,1),"Grammys",TRUE,"Grammys TRA")</f>
        <v>Grammys TRA</v>
      </c>
      <c r="I240">
        <f>_xlfn.XLOOKUP(Grammys[[#This Row],[date]],mobile_visits[date],mobile_visits[mobile_visitors],0)</f>
        <v>0</v>
      </c>
      <c r="O240" s="1">
        <v>44831</v>
      </c>
      <c r="P240">
        <v>13765</v>
      </c>
    </row>
    <row r="241" spans="1:16">
      <c r="A241" s="1">
        <v>42975</v>
      </c>
      <c r="B241">
        <v>6778</v>
      </c>
      <c r="C241">
        <v>11016</v>
      </c>
      <c r="D241">
        <v>7183</v>
      </c>
      <c r="E241">
        <v>4012</v>
      </c>
      <c r="F241">
        <v>80</v>
      </c>
      <c r="G241" t="s">
        <v>9</v>
      </c>
      <c r="H241" t="str" cm="1">
        <f t="array" ref="H241">_xlfn.IFS(Grammys[[#This Row],[date]] &gt;= DATE(2022,2,1),"Grammys",TRUE,"Grammys TRA")</f>
        <v>Grammys TRA</v>
      </c>
      <c r="I241">
        <f>_xlfn.XLOOKUP(Grammys[[#This Row],[date]],mobile_visits[date],mobile_visits[mobile_visitors],0)</f>
        <v>0</v>
      </c>
      <c r="O241" s="1">
        <v>44832</v>
      </c>
      <c r="P241">
        <v>11078</v>
      </c>
    </row>
    <row r="242" spans="1:16">
      <c r="A242" s="1">
        <v>42976</v>
      </c>
      <c r="B242">
        <v>6446</v>
      </c>
      <c r="C242">
        <v>10640</v>
      </c>
      <c r="D242">
        <v>6870</v>
      </c>
      <c r="E242">
        <v>3787</v>
      </c>
      <c r="F242">
        <v>84</v>
      </c>
      <c r="G242" t="s">
        <v>9</v>
      </c>
      <c r="H242" t="str" cm="1">
        <f t="array" ref="H242">_xlfn.IFS(Grammys[[#This Row],[date]] &gt;= DATE(2022,2,1),"Grammys",TRUE,"Grammys TRA")</f>
        <v>Grammys TRA</v>
      </c>
      <c r="I242">
        <f>_xlfn.XLOOKUP(Grammys[[#This Row],[date]],mobile_visits[date],mobile_visits[mobile_visitors],0)</f>
        <v>0</v>
      </c>
      <c r="O242" s="1">
        <v>44833</v>
      </c>
      <c r="P242">
        <v>10707</v>
      </c>
    </row>
    <row r="243" spans="1:16">
      <c r="A243" s="1">
        <v>42977</v>
      </c>
      <c r="B243">
        <v>8170</v>
      </c>
      <c r="C243">
        <v>12859</v>
      </c>
      <c r="D243">
        <v>8490</v>
      </c>
      <c r="E243">
        <v>4752</v>
      </c>
      <c r="F243">
        <v>87</v>
      </c>
      <c r="G243" t="s">
        <v>9</v>
      </c>
      <c r="H243" t="str" cm="1">
        <f t="array" ref="H243">_xlfn.IFS(Grammys[[#This Row],[date]] &gt;= DATE(2022,2,1),"Grammys",TRUE,"Grammys TRA")</f>
        <v>Grammys TRA</v>
      </c>
      <c r="I243">
        <f>_xlfn.XLOOKUP(Grammys[[#This Row],[date]],mobile_visits[date],mobile_visits[mobile_visitors],0)</f>
        <v>0</v>
      </c>
      <c r="O243" s="1">
        <v>44834</v>
      </c>
      <c r="P243">
        <v>9724</v>
      </c>
    </row>
    <row r="244" spans="1:16">
      <c r="A244" s="1">
        <v>42978</v>
      </c>
      <c r="B244">
        <v>14405</v>
      </c>
      <c r="C244">
        <v>23969</v>
      </c>
      <c r="D244">
        <v>16607</v>
      </c>
      <c r="E244">
        <v>5056</v>
      </c>
      <c r="F244">
        <v>81</v>
      </c>
      <c r="G244" t="s">
        <v>9</v>
      </c>
      <c r="H244" t="str" cm="1">
        <f t="array" ref="H244">_xlfn.IFS(Grammys[[#This Row],[date]] &gt;= DATE(2022,2,1),"Grammys",TRUE,"Grammys TRA")</f>
        <v>Grammys TRA</v>
      </c>
      <c r="I244">
        <f>_xlfn.XLOOKUP(Grammys[[#This Row],[date]],mobile_visits[date],mobile_visits[mobile_visitors],0)</f>
        <v>0</v>
      </c>
      <c r="O244" s="1">
        <v>44835</v>
      </c>
      <c r="P244">
        <v>10555</v>
      </c>
    </row>
    <row r="245" spans="1:16">
      <c r="A245" s="1">
        <v>42979</v>
      </c>
      <c r="B245">
        <v>7778</v>
      </c>
      <c r="C245">
        <v>12236</v>
      </c>
      <c r="D245">
        <v>8290</v>
      </c>
      <c r="E245">
        <v>3807</v>
      </c>
      <c r="F245">
        <v>89</v>
      </c>
      <c r="G245" t="s">
        <v>9</v>
      </c>
      <c r="H245" t="str" cm="1">
        <f t="array" ref="H245">_xlfn.IFS(Grammys[[#This Row],[date]] &gt;= DATE(2022,2,1),"Grammys",TRUE,"Grammys TRA")</f>
        <v>Grammys TRA</v>
      </c>
      <c r="I245">
        <f>_xlfn.XLOOKUP(Grammys[[#This Row],[date]],mobile_visits[date],mobile_visits[mobile_visitors],0)</f>
        <v>0</v>
      </c>
      <c r="O245" s="1">
        <v>44836</v>
      </c>
      <c r="P245">
        <v>12155</v>
      </c>
    </row>
    <row r="246" spans="1:16">
      <c r="A246" s="1">
        <v>42980</v>
      </c>
      <c r="B246">
        <v>9566</v>
      </c>
      <c r="C246">
        <v>14989</v>
      </c>
      <c r="D246">
        <v>10327</v>
      </c>
      <c r="E246">
        <v>4489</v>
      </c>
      <c r="F246">
        <v>101</v>
      </c>
      <c r="G246" t="s">
        <v>9</v>
      </c>
      <c r="H246" t="str" cm="1">
        <f t="array" ref="H246">_xlfn.IFS(Grammys[[#This Row],[date]] &gt;= DATE(2022,2,1),"Grammys",TRUE,"Grammys TRA")</f>
        <v>Grammys TRA</v>
      </c>
      <c r="I246">
        <f>_xlfn.XLOOKUP(Grammys[[#This Row],[date]],mobile_visits[date],mobile_visits[mobile_visitors],0)</f>
        <v>0</v>
      </c>
      <c r="O246" s="1">
        <v>44837</v>
      </c>
      <c r="P246">
        <v>9310</v>
      </c>
    </row>
    <row r="247" spans="1:16">
      <c r="A247" s="1">
        <v>42981</v>
      </c>
      <c r="B247">
        <v>6866</v>
      </c>
      <c r="C247">
        <v>10915</v>
      </c>
      <c r="D247">
        <v>7273</v>
      </c>
      <c r="E247">
        <v>3964</v>
      </c>
      <c r="F247">
        <v>76</v>
      </c>
      <c r="G247" t="s">
        <v>9</v>
      </c>
      <c r="H247" t="str" cm="1">
        <f t="array" ref="H247">_xlfn.IFS(Grammys[[#This Row],[date]] &gt;= DATE(2022,2,1),"Grammys",TRUE,"Grammys TRA")</f>
        <v>Grammys TRA</v>
      </c>
      <c r="I247">
        <f>_xlfn.XLOOKUP(Grammys[[#This Row],[date]],mobile_visits[date],mobile_visits[mobile_visitors],0)</f>
        <v>0</v>
      </c>
      <c r="O247" s="1">
        <v>44838</v>
      </c>
      <c r="P247">
        <v>10402</v>
      </c>
    </row>
    <row r="248" spans="1:16">
      <c r="A248" s="1">
        <v>42982</v>
      </c>
      <c r="B248">
        <v>6103</v>
      </c>
      <c r="C248">
        <v>10127</v>
      </c>
      <c r="D248">
        <v>6529</v>
      </c>
      <c r="E248">
        <v>3482</v>
      </c>
      <c r="F248">
        <v>83</v>
      </c>
      <c r="G248" t="s">
        <v>9</v>
      </c>
      <c r="H248" t="str" cm="1">
        <f t="array" ref="H248">_xlfn.IFS(Grammys[[#This Row],[date]] &gt;= DATE(2022,2,1),"Grammys",TRUE,"Grammys TRA")</f>
        <v>Grammys TRA</v>
      </c>
      <c r="I248">
        <f>_xlfn.XLOOKUP(Grammys[[#This Row],[date]],mobile_visits[date],mobile_visits[mobile_visitors],0)</f>
        <v>0</v>
      </c>
      <c r="O248" s="1">
        <v>44839</v>
      </c>
      <c r="P248">
        <v>10434</v>
      </c>
    </row>
    <row r="249" spans="1:16">
      <c r="A249" s="1">
        <v>42983</v>
      </c>
      <c r="B249">
        <v>5872</v>
      </c>
      <c r="C249">
        <v>9460</v>
      </c>
      <c r="D249">
        <v>6193</v>
      </c>
      <c r="E249">
        <v>3506</v>
      </c>
      <c r="F249">
        <v>89</v>
      </c>
      <c r="G249" t="s">
        <v>9</v>
      </c>
      <c r="H249" t="str" cm="1">
        <f t="array" ref="H249">_xlfn.IFS(Grammys[[#This Row],[date]] &gt;= DATE(2022,2,1),"Grammys",TRUE,"Grammys TRA")</f>
        <v>Grammys TRA</v>
      </c>
      <c r="I249">
        <f>_xlfn.XLOOKUP(Grammys[[#This Row],[date]],mobile_visits[date],mobile_visits[mobile_visitors],0)</f>
        <v>0</v>
      </c>
      <c r="O249" s="1">
        <v>44840</v>
      </c>
      <c r="P249">
        <v>17845</v>
      </c>
    </row>
    <row r="250" spans="1:16">
      <c r="A250" s="1">
        <v>42984</v>
      </c>
      <c r="B250">
        <v>6691</v>
      </c>
      <c r="C250">
        <v>10706</v>
      </c>
      <c r="D250">
        <v>7050</v>
      </c>
      <c r="E250">
        <v>3772</v>
      </c>
      <c r="F250">
        <v>90</v>
      </c>
      <c r="G250" t="s">
        <v>9</v>
      </c>
      <c r="H250" t="str" cm="1">
        <f t="array" ref="H250">_xlfn.IFS(Grammys[[#This Row],[date]] &gt;= DATE(2022,2,1),"Grammys",TRUE,"Grammys TRA")</f>
        <v>Grammys TRA</v>
      </c>
      <c r="I250">
        <f>_xlfn.XLOOKUP(Grammys[[#This Row],[date]],mobile_visits[date],mobile_visits[mobile_visitors],0)</f>
        <v>0</v>
      </c>
      <c r="O250" s="1">
        <v>44841</v>
      </c>
      <c r="P250">
        <v>14651</v>
      </c>
    </row>
    <row r="251" spans="1:16">
      <c r="A251" s="1">
        <v>42985</v>
      </c>
      <c r="B251">
        <v>6152</v>
      </c>
      <c r="C251">
        <v>10516</v>
      </c>
      <c r="D251">
        <v>6529</v>
      </c>
      <c r="E251">
        <v>3719</v>
      </c>
      <c r="F251">
        <v>96</v>
      </c>
      <c r="G251" t="s">
        <v>9</v>
      </c>
      <c r="H251" t="str" cm="1">
        <f t="array" ref="H251">_xlfn.IFS(Grammys[[#This Row],[date]] &gt;= DATE(2022,2,1),"Grammys",TRUE,"Grammys TRA")</f>
        <v>Grammys TRA</v>
      </c>
      <c r="I251">
        <f>_xlfn.XLOOKUP(Grammys[[#This Row],[date]],mobile_visits[date],mobile_visits[mobile_visitors],0)</f>
        <v>0</v>
      </c>
      <c r="O251" s="1">
        <v>44842</v>
      </c>
      <c r="P251">
        <v>14275</v>
      </c>
    </row>
    <row r="252" spans="1:16">
      <c r="A252" s="1">
        <v>42986</v>
      </c>
      <c r="B252">
        <v>5709</v>
      </c>
      <c r="C252">
        <v>9391</v>
      </c>
      <c r="D252">
        <v>5984</v>
      </c>
      <c r="E252">
        <v>3453</v>
      </c>
      <c r="F252">
        <v>88</v>
      </c>
      <c r="G252" t="s">
        <v>9</v>
      </c>
      <c r="H252" t="str" cm="1">
        <f t="array" ref="H252">_xlfn.IFS(Grammys[[#This Row],[date]] &gt;= DATE(2022,2,1),"Grammys",TRUE,"Grammys TRA")</f>
        <v>Grammys TRA</v>
      </c>
      <c r="I252">
        <f>_xlfn.XLOOKUP(Grammys[[#This Row],[date]],mobile_visits[date],mobile_visits[mobile_visitors],0)</f>
        <v>0</v>
      </c>
      <c r="O252" s="1">
        <v>44843</v>
      </c>
      <c r="P252">
        <v>14935</v>
      </c>
    </row>
    <row r="253" spans="1:16">
      <c r="A253" s="1">
        <v>42987</v>
      </c>
      <c r="B253">
        <v>5336</v>
      </c>
      <c r="C253">
        <v>8745</v>
      </c>
      <c r="D253">
        <v>5682</v>
      </c>
      <c r="E253">
        <v>3173</v>
      </c>
      <c r="F253">
        <v>87</v>
      </c>
      <c r="G253" t="s">
        <v>9</v>
      </c>
      <c r="H253" t="str" cm="1">
        <f t="array" ref="H253">_xlfn.IFS(Grammys[[#This Row],[date]] &gt;= DATE(2022,2,1),"Grammys",TRUE,"Grammys TRA")</f>
        <v>Grammys TRA</v>
      </c>
      <c r="I253">
        <f>_xlfn.XLOOKUP(Grammys[[#This Row],[date]],mobile_visits[date],mobile_visits[mobile_visitors],0)</f>
        <v>0</v>
      </c>
      <c r="O253" s="1">
        <v>44844</v>
      </c>
      <c r="P253">
        <v>14169</v>
      </c>
    </row>
    <row r="254" spans="1:16">
      <c r="A254" s="1">
        <v>42988</v>
      </c>
      <c r="B254">
        <v>5072</v>
      </c>
      <c r="C254">
        <v>8731</v>
      </c>
      <c r="D254">
        <v>5363</v>
      </c>
      <c r="E254">
        <v>3004</v>
      </c>
      <c r="F254">
        <v>94</v>
      </c>
      <c r="G254" t="s">
        <v>9</v>
      </c>
      <c r="H254" t="str" cm="1">
        <f t="array" ref="H254">_xlfn.IFS(Grammys[[#This Row],[date]] &gt;= DATE(2022,2,1),"Grammys",TRUE,"Grammys TRA")</f>
        <v>Grammys TRA</v>
      </c>
      <c r="I254">
        <f>_xlfn.XLOOKUP(Grammys[[#This Row],[date]],mobile_visits[date],mobile_visits[mobile_visitors],0)</f>
        <v>0</v>
      </c>
      <c r="O254" s="1">
        <v>44845</v>
      </c>
      <c r="P254">
        <v>27234</v>
      </c>
    </row>
    <row r="255" spans="1:16">
      <c r="A255" s="1">
        <v>42989</v>
      </c>
      <c r="B255">
        <v>5659</v>
      </c>
      <c r="C255">
        <v>9635</v>
      </c>
      <c r="D255">
        <v>5974</v>
      </c>
      <c r="E255">
        <v>3425</v>
      </c>
      <c r="F255">
        <v>97</v>
      </c>
      <c r="G255" t="s">
        <v>9</v>
      </c>
      <c r="H255" t="str" cm="1">
        <f t="array" ref="H255">_xlfn.IFS(Grammys[[#This Row],[date]] &gt;= DATE(2022,2,1),"Grammys",TRUE,"Grammys TRA")</f>
        <v>Grammys TRA</v>
      </c>
      <c r="I255">
        <f>_xlfn.XLOOKUP(Grammys[[#This Row],[date]],mobile_visits[date],mobile_visits[mobile_visitors],0)</f>
        <v>0</v>
      </c>
      <c r="O255" s="1">
        <v>44846</v>
      </c>
      <c r="P255">
        <v>18076</v>
      </c>
    </row>
    <row r="256" spans="1:16">
      <c r="A256" s="1">
        <v>42990</v>
      </c>
      <c r="B256">
        <v>8168</v>
      </c>
      <c r="C256">
        <v>12415</v>
      </c>
      <c r="D256">
        <v>8574</v>
      </c>
      <c r="E256">
        <v>4649</v>
      </c>
      <c r="F256">
        <v>76</v>
      </c>
      <c r="G256" t="s">
        <v>9</v>
      </c>
      <c r="H256" t="str" cm="1">
        <f t="array" ref="H256">_xlfn.IFS(Grammys[[#This Row],[date]] &gt;= DATE(2022,2,1),"Grammys",TRUE,"Grammys TRA")</f>
        <v>Grammys TRA</v>
      </c>
      <c r="I256">
        <f>_xlfn.XLOOKUP(Grammys[[#This Row],[date]],mobile_visits[date],mobile_visits[mobile_visitors],0)</f>
        <v>0</v>
      </c>
      <c r="O256" s="1">
        <v>44847</v>
      </c>
      <c r="P256">
        <v>42179</v>
      </c>
    </row>
    <row r="257" spans="1:16">
      <c r="A257" s="1">
        <v>42991</v>
      </c>
      <c r="B257">
        <v>11927</v>
      </c>
      <c r="C257">
        <v>17765</v>
      </c>
      <c r="D257">
        <v>13596</v>
      </c>
      <c r="E257">
        <v>5696</v>
      </c>
      <c r="F257">
        <v>71</v>
      </c>
      <c r="G257" t="s">
        <v>9</v>
      </c>
      <c r="H257" t="str" cm="1">
        <f t="array" ref="H257">_xlfn.IFS(Grammys[[#This Row],[date]] &gt;= DATE(2022,2,1),"Grammys",TRUE,"Grammys TRA")</f>
        <v>Grammys TRA</v>
      </c>
      <c r="I257">
        <f>_xlfn.XLOOKUP(Grammys[[#This Row],[date]],mobile_visits[date],mobile_visits[mobile_visitors],0)</f>
        <v>0</v>
      </c>
      <c r="O257" s="1">
        <v>44848</v>
      </c>
      <c r="P257">
        <v>40045</v>
      </c>
    </row>
    <row r="258" spans="1:16">
      <c r="A258" s="1">
        <v>42992</v>
      </c>
      <c r="B258">
        <v>9411</v>
      </c>
      <c r="C258">
        <v>14138</v>
      </c>
      <c r="D258">
        <v>10376</v>
      </c>
      <c r="E258">
        <v>4925</v>
      </c>
      <c r="F258">
        <v>72</v>
      </c>
      <c r="G258" t="s">
        <v>9</v>
      </c>
      <c r="H258" t="str" cm="1">
        <f t="array" ref="H258">_xlfn.IFS(Grammys[[#This Row],[date]] &gt;= DATE(2022,2,1),"Grammys",TRUE,"Grammys TRA")</f>
        <v>Grammys TRA</v>
      </c>
      <c r="I258">
        <f>_xlfn.XLOOKUP(Grammys[[#This Row],[date]],mobile_visits[date],mobile_visits[mobile_visitors],0)</f>
        <v>0</v>
      </c>
      <c r="O258" s="1">
        <v>44849</v>
      </c>
      <c r="P258">
        <v>19155</v>
      </c>
    </row>
    <row r="259" spans="1:16">
      <c r="A259" s="1">
        <v>42993</v>
      </c>
      <c r="B259">
        <v>7285</v>
      </c>
      <c r="C259">
        <v>11905</v>
      </c>
      <c r="D259">
        <v>7861</v>
      </c>
      <c r="E259">
        <v>4238</v>
      </c>
      <c r="F259">
        <v>84</v>
      </c>
      <c r="G259" t="s">
        <v>9</v>
      </c>
      <c r="H259" t="str" cm="1">
        <f t="array" ref="H259">_xlfn.IFS(Grammys[[#This Row],[date]] &gt;= DATE(2022,2,1),"Grammys",TRUE,"Grammys TRA")</f>
        <v>Grammys TRA</v>
      </c>
      <c r="I259">
        <f>_xlfn.XLOOKUP(Grammys[[#This Row],[date]],mobile_visits[date],mobile_visits[mobile_visitors],0)</f>
        <v>0</v>
      </c>
      <c r="O259" s="1">
        <v>44850</v>
      </c>
      <c r="P259">
        <v>14896</v>
      </c>
    </row>
    <row r="260" spans="1:16">
      <c r="A260" s="1">
        <v>42994</v>
      </c>
      <c r="B260">
        <v>6909</v>
      </c>
      <c r="C260">
        <v>11067</v>
      </c>
      <c r="D260">
        <v>7454</v>
      </c>
      <c r="E260">
        <v>3800</v>
      </c>
      <c r="F260">
        <v>77</v>
      </c>
      <c r="G260" t="s">
        <v>9</v>
      </c>
      <c r="H260" t="str" cm="1">
        <f t="array" ref="H260">_xlfn.IFS(Grammys[[#This Row],[date]] &gt;= DATE(2022,2,1),"Grammys",TRUE,"Grammys TRA")</f>
        <v>Grammys TRA</v>
      </c>
      <c r="I260">
        <f>_xlfn.XLOOKUP(Grammys[[#This Row],[date]],mobile_visits[date],mobile_visits[mobile_visitors],0)</f>
        <v>0</v>
      </c>
      <c r="O260" s="1">
        <v>44851</v>
      </c>
      <c r="P260">
        <v>15400</v>
      </c>
    </row>
    <row r="261" spans="1:16">
      <c r="A261" s="1">
        <v>42995</v>
      </c>
      <c r="B261">
        <v>8802</v>
      </c>
      <c r="C261">
        <v>14027</v>
      </c>
      <c r="D261">
        <v>9378</v>
      </c>
      <c r="E261">
        <v>4935</v>
      </c>
      <c r="F261">
        <v>77</v>
      </c>
      <c r="G261" t="s">
        <v>9</v>
      </c>
      <c r="H261" t="str" cm="1">
        <f t="array" ref="H261">_xlfn.IFS(Grammys[[#This Row],[date]] &gt;= DATE(2022,2,1),"Grammys",TRUE,"Grammys TRA")</f>
        <v>Grammys TRA</v>
      </c>
      <c r="I261">
        <f>_xlfn.XLOOKUP(Grammys[[#This Row],[date]],mobile_visits[date],mobile_visits[mobile_visitors],0)</f>
        <v>0</v>
      </c>
      <c r="O261" s="1">
        <v>44852</v>
      </c>
      <c r="P261">
        <v>14205</v>
      </c>
    </row>
    <row r="262" spans="1:16">
      <c r="A262" s="1">
        <v>42996</v>
      </c>
      <c r="B262">
        <v>9052</v>
      </c>
      <c r="C262">
        <v>14818</v>
      </c>
      <c r="D262">
        <v>9587</v>
      </c>
      <c r="E262">
        <v>5133</v>
      </c>
      <c r="F262">
        <v>82</v>
      </c>
      <c r="G262" t="s">
        <v>9</v>
      </c>
      <c r="H262" t="str" cm="1">
        <f t="array" ref="H262">_xlfn.IFS(Grammys[[#This Row],[date]] &gt;= DATE(2022,2,1),"Grammys",TRUE,"Grammys TRA")</f>
        <v>Grammys TRA</v>
      </c>
      <c r="I262">
        <f>_xlfn.XLOOKUP(Grammys[[#This Row],[date]],mobile_visits[date],mobile_visits[mobile_visitors],0)</f>
        <v>0</v>
      </c>
      <c r="O262" s="1">
        <v>44853</v>
      </c>
      <c r="P262">
        <v>13357</v>
      </c>
    </row>
    <row r="263" spans="1:16">
      <c r="A263" s="1">
        <v>42997</v>
      </c>
      <c r="B263">
        <v>9180</v>
      </c>
      <c r="C263">
        <v>16371</v>
      </c>
      <c r="D263">
        <v>9803</v>
      </c>
      <c r="E263">
        <v>5451</v>
      </c>
      <c r="F263">
        <v>83</v>
      </c>
      <c r="G263" t="s">
        <v>9</v>
      </c>
      <c r="H263" t="str" cm="1">
        <f t="array" ref="H263">_xlfn.IFS(Grammys[[#This Row],[date]] &gt;= DATE(2022,2,1),"Grammys",TRUE,"Grammys TRA")</f>
        <v>Grammys TRA</v>
      </c>
      <c r="I263">
        <f>_xlfn.XLOOKUP(Grammys[[#This Row],[date]],mobile_visits[date],mobile_visits[mobile_visitors],0)</f>
        <v>0</v>
      </c>
      <c r="O263" s="1">
        <v>44854</v>
      </c>
      <c r="P263">
        <v>12704</v>
      </c>
    </row>
    <row r="264" spans="1:16">
      <c r="A264" s="1">
        <v>42998</v>
      </c>
      <c r="B264">
        <v>7399</v>
      </c>
      <c r="C264">
        <v>12125</v>
      </c>
      <c r="D264">
        <v>7840</v>
      </c>
      <c r="E264">
        <v>4342</v>
      </c>
      <c r="F264">
        <v>84</v>
      </c>
      <c r="G264" t="s">
        <v>9</v>
      </c>
      <c r="H264" t="str" cm="1">
        <f t="array" ref="H264">_xlfn.IFS(Grammys[[#This Row],[date]] &gt;= DATE(2022,2,1),"Grammys",TRUE,"Grammys TRA")</f>
        <v>Grammys TRA</v>
      </c>
      <c r="I264">
        <f>_xlfn.XLOOKUP(Grammys[[#This Row],[date]],mobile_visits[date],mobile_visits[mobile_visitors],0)</f>
        <v>0</v>
      </c>
      <c r="O264" s="1">
        <v>44855</v>
      </c>
      <c r="P264">
        <v>13614</v>
      </c>
    </row>
    <row r="265" spans="1:16">
      <c r="A265" s="1">
        <v>42999</v>
      </c>
      <c r="B265">
        <v>11407</v>
      </c>
      <c r="C265">
        <v>18665</v>
      </c>
      <c r="D265">
        <v>13165</v>
      </c>
      <c r="E265">
        <v>6009</v>
      </c>
      <c r="F265">
        <v>98</v>
      </c>
      <c r="G265" t="s">
        <v>9</v>
      </c>
      <c r="H265" t="str" cm="1">
        <f t="array" ref="H265">_xlfn.IFS(Grammys[[#This Row],[date]] &gt;= DATE(2022,2,1),"Grammys",TRUE,"Grammys TRA")</f>
        <v>Grammys TRA</v>
      </c>
      <c r="I265">
        <f>_xlfn.XLOOKUP(Grammys[[#This Row],[date]],mobile_visits[date],mobile_visits[mobile_visitors],0)</f>
        <v>0</v>
      </c>
      <c r="O265" s="1">
        <v>44856</v>
      </c>
      <c r="P265">
        <v>14062</v>
      </c>
    </row>
    <row r="266" spans="1:16">
      <c r="A266" s="1">
        <v>43000</v>
      </c>
      <c r="B266">
        <v>6924</v>
      </c>
      <c r="C266">
        <v>15042</v>
      </c>
      <c r="D266">
        <v>7387</v>
      </c>
      <c r="E266">
        <v>2739</v>
      </c>
      <c r="F266">
        <v>79</v>
      </c>
      <c r="G266" t="s">
        <v>9</v>
      </c>
      <c r="H266" t="str" cm="1">
        <f t="array" ref="H266">_xlfn.IFS(Grammys[[#This Row],[date]] &gt;= DATE(2022,2,1),"Grammys",TRUE,"Grammys TRA")</f>
        <v>Grammys TRA</v>
      </c>
      <c r="I266">
        <f>_xlfn.XLOOKUP(Grammys[[#This Row],[date]],mobile_visits[date],mobile_visits[mobile_visitors],0)</f>
        <v>0</v>
      </c>
      <c r="O266" s="1">
        <v>44857</v>
      </c>
      <c r="P266">
        <v>15449</v>
      </c>
    </row>
    <row r="267" spans="1:16">
      <c r="A267" s="1">
        <v>43001</v>
      </c>
      <c r="B267">
        <v>5928</v>
      </c>
      <c r="C267">
        <v>12882</v>
      </c>
      <c r="D267">
        <v>6266</v>
      </c>
      <c r="E267">
        <v>2328</v>
      </c>
      <c r="F267">
        <v>84</v>
      </c>
      <c r="G267" t="s">
        <v>9</v>
      </c>
      <c r="H267" t="str" cm="1">
        <f t="array" ref="H267">_xlfn.IFS(Grammys[[#This Row],[date]] &gt;= DATE(2022,2,1),"Grammys",TRUE,"Grammys TRA")</f>
        <v>Grammys TRA</v>
      </c>
      <c r="I267">
        <f>_xlfn.XLOOKUP(Grammys[[#This Row],[date]],mobile_visits[date],mobile_visits[mobile_visitors],0)</f>
        <v>0</v>
      </c>
      <c r="O267" s="1">
        <v>44858</v>
      </c>
      <c r="P267">
        <v>12948</v>
      </c>
    </row>
    <row r="268" spans="1:16">
      <c r="A268" s="1">
        <v>43002</v>
      </c>
      <c r="B268">
        <v>6314</v>
      </c>
      <c r="C268">
        <v>14187</v>
      </c>
      <c r="D268">
        <v>6671</v>
      </c>
      <c r="E268">
        <v>2139</v>
      </c>
      <c r="F268">
        <v>82</v>
      </c>
      <c r="G268" t="s">
        <v>9</v>
      </c>
      <c r="H268" t="str" cm="1">
        <f t="array" ref="H268">_xlfn.IFS(Grammys[[#This Row],[date]] &gt;= DATE(2022,2,1),"Grammys",TRUE,"Grammys TRA")</f>
        <v>Grammys TRA</v>
      </c>
      <c r="I268">
        <f>_xlfn.XLOOKUP(Grammys[[#This Row],[date]],mobile_visits[date],mobile_visits[mobile_visitors],0)</f>
        <v>0</v>
      </c>
      <c r="O268" s="1">
        <v>44859</v>
      </c>
      <c r="P268">
        <v>13150</v>
      </c>
    </row>
    <row r="269" spans="1:16">
      <c r="A269" s="1">
        <v>43003</v>
      </c>
      <c r="B269">
        <v>8801</v>
      </c>
      <c r="C269">
        <v>19678</v>
      </c>
      <c r="D269">
        <v>9717</v>
      </c>
      <c r="E269">
        <v>2513</v>
      </c>
      <c r="F269">
        <v>84</v>
      </c>
      <c r="G269" t="s">
        <v>9</v>
      </c>
      <c r="H269" t="str" cm="1">
        <f t="array" ref="H269">_xlfn.IFS(Grammys[[#This Row],[date]] &gt;= DATE(2022,2,1),"Grammys",TRUE,"Grammys TRA")</f>
        <v>Grammys TRA</v>
      </c>
      <c r="I269">
        <f>_xlfn.XLOOKUP(Grammys[[#This Row],[date]],mobile_visits[date],mobile_visits[mobile_visitors],0)</f>
        <v>0</v>
      </c>
      <c r="O269" s="1">
        <v>44860</v>
      </c>
      <c r="P269">
        <v>12604</v>
      </c>
    </row>
    <row r="270" spans="1:16">
      <c r="A270" s="1">
        <v>43004</v>
      </c>
      <c r="B270">
        <v>10965</v>
      </c>
      <c r="C270">
        <v>25433</v>
      </c>
      <c r="D270">
        <v>11990</v>
      </c>
      <c r="E270">
        <v>3303</v>
      </c>
      <c r="F270">
        <v>91</v>
      </c>
      <c r="G270" t="s">
        <v>9</v>
      </c>
      <c r="H270" t="str" cm="1">
        <f t="array" ref="H270">_xlfn.IFS(Grammys[[#This Row],[date]] &gt;= DATE(2022,2,1),"Grammys",TRUE,"Grammys TRA")</f>
        <v>Grammys TRA</v>
      </c>
      <c r="I270">
        <f>_xlfn.XLOOKUP(Grammys[[#This Row],[date]],mobile_visits[date],mobile_visits[mobile_visitors],0)</f>
        <v>0</v>
      </c>
      <c r="O270" s="1">
        <v>44861</v>
      </c>
      <c r="P270">
        <v>13231</v>
      </c>
    </row>
    <row r="271" spans="1:16">
      <c r="A271" s="1">
        <v>43005</v>
      </c>
      <c r="B271">
        <v>9788</v>
      </c>
      <c r="C271">
        <v>22289</v>
      </c>
      <c r="D271">
        <v>10700</v>
      </c>
      <c r="E271">
        <v>2883</v>
      </c>
      <c r="F271">
        <v>81</v>
      </c>
      <c r="G271" t="s">
        <v>9</v>
      </c>
      <c r="H271" t="str" cm="1">
        <f t="array" ref="H271">_xlfn.IFS(Grammys[[#This Row],[date]] &gt;= DATE(2022,2,1),"Grammys",TRUE,"Grammys TRA")</f>
        <v>Grammys TRA</v>
      </c>
      <c r="I271">
        <f>_xlfn.XLOOKUP(Grammys[[#This Row],[date]],mobile_visits[date],mobile_visits[mobile_visitors],0)</f>
        <v>0</v>
      </c>
      <c r="O271" s="1">
        <v>44862</v>
      </c>
      <c r="P271">
        <v>11091</v>
      </c>
    </row>
    <row r="272" spans="1:16">
      <c r="A272" s="1">
        <v>43006</v>
      </c>
      <c r="B272">
        <v>9407</v>
      </c>
      <c r="C272">
        <v>21335</v>
      </c>
      <c r="D272">
        <v>10009</v>
      </c>
      <c r="E272">
        <v>2708</v>
      </c>
      <c r="F272">
        <v>82</v>
      </c>
      <c r="G272" t="s">
        <v>9</v>
      </c>
      <c r="H272" t="str" cm="1">
        <f t="array" ref="H272">_xlfn.IFS(Grammys[[#This Row],[date]] &gt;= DATE(2022,2,1),"Grammys",TRUE,"Grammys TRA")</f>
        <v>Grammys TRA</v>
      </c>
      <c r="I272">
        <f>_xlfn.XLOOKUP(Grammys[[#This Row],[date]],mobile_visits[date],mobile_visits[mobile_visitors],0)</f>
        <v>0</v>
      </c>
      <c r="O272" s="1">
        <v>44863</v>
      </c>
      <c r="P272">
        <v>10246</v>
      </c>
    </row>
    <row r="273" spans="1:16">
      <c r="A273" s="1">
        <v>43007</v>
      </c>
      <c r="B273">
        <v>7889</v>
      </c>
      <c r="C273">
        <v>17578</v>
      </c>
      <c r="D273">
        <v>8401</v>
      </c>
      <c r="E273">
        <v>2584</v>
      </c>
      <c r="F273">
        <v>89</v>
      </c>
      <c r="G273" t="s">
        <v>9</v>
      </c>
      <c r="H273" t="str" cm="1">
        <f t="array" ref="H273">_xlfn.IFS(Grammys[[#This Row],[date]] &gt;= DATE(2022,2,1),"Grammys",TRUE,"Grammys TRA")</f>
        <v>Grammys TRA</v>
      </c>
      <c r="I273">
        <f>_xlfn.XLOOKUP(Grammys[[#This Row],[date]],mobile_visits[date],mobile_visits[mobile_visitors],0)</f>
        <v>0</v>
      </c>
      <c r="O273" s="1">
        <v>44864</v>
      </c>
      <c r="P273">
        <v>9248</v>
      </c>
    </row>
    <row r="274" spans="1:16">
      <c r="A274" s="1">
        <v>43008</v>
      </c>
      <c r="B274">
        <v>8455</v>
      </c>
      <c r="C274">
        <v>19058</v>
      </c>
      <c r="D274">
        <v>8988</v>
      </c>
      <c r="E274">
        <v>2439</v>
      </c>
      <c r="F274">
        <v>86</v>
      </c>
      <c r="G274" t="s">
        <v>9</v>
      </c>
      <c r="H274" t="str" cm="1">
        <f t="array" ref="H274">_xlfn.IFS(Grammys[[#This Row],[date]] &gt;= DATE(2022,2,1),"Grammys",TRUE,"Grammys TRA")</f>
        <v>Grammys TRA</v>
      </c>
      <c r="I274">
        <f>_xlfn.XLOOKUP(Grammys[[#This Row],[date]],mobile_visits[date],mobile_visits[mobile_visitors],0)</f>
        <v>0</v>
      </c>
      <c r="O274" s="1">
        <v>44865</v>
      </c>
      <c r="P274">
        <v>8802</v>
      </c>
    </row>
    <row r="275" spans="1:16">
      <c r="A275" s="1">
        <v>43009</v>
      </c>
      <c r="B275">
        <v>7768</v>
      </c>
      <c r="C275">
        <v>16586</v>
      </c>
      <c r="D275">
        <v>8196</v>
      </c>
      <c r="E275">
        <v>3270</v>
      </c>
      <c r="F275">
        <v>82</v>
      </c>
      <c r="G275" t="s">
        <v>9</v>
      </c>
      <c r="H275" t="str" cm="1">
        <f t="array" ref="H275">_xlfn.IFS(Grammys[[#This Row],[date]] &gt;= DATE(2022,2,1),"Grammys",TRUE,"Grammys TRA")</f>
        <v>Grammys TRA</v>
      </c>
      <c r="I275">
        <f>_xlfn.XLOOKUP(Grammys[[#This Row],[date]],mobile_visits[date],mobile_visits[mobile_visitors],0)</f>
        <v>0</v>
      </c>
      <c r="O275" s="1">
        <v>44866</v>
      </c>
      <c r="P275">
        <v>11610</v>
      </c>
    </row>
    <row r="276" spans="1:16">
      <c r="A276" s="1">
        <v>43010</v>
      </c>
      <c r="B276">
        <v>8447</v>
      </c>
      <c r="C276">
        <v>18685</v>
      </c>
      <c r="D276">
        <v>8908</v>
      </c>
      <c r="E276">
        <v>3067</v>
      </c>
      <c r="F276">
        <v>81</v>
      </c>
      <c r="G276" t="s">
        <v>9</v>
      </c>
      <c r="H276" t="str" cm="1">
        <f t="array" ref="H276">_xlfn.IFS(Grammys[[#This Row],[date]] &gt;= DATE(2022,2,1),"Grammys",TRUE,"Grammys TRA")</f>
        <v>Grammys TRA</v>
      </c>
      <c r="I276">
        <f>_xlfn.XLOOKUP(Grammys[[#This Row],[date]],mobile_visits[date],mobile_visits[mobile_visitors],0)</f>
        <v>0</v>
      </c>
      <c r="O276" s="1">
        <v>44867</v>
      </c>
      <c r="P276">
        <v>12274</v>
      </c>
    </row>
    <row r="277" spans="1:16">
      <c r="A277" s="1">
        <v>43011</v>
      </c>
      <c r="B277">
        <v>24449</v>
      </c>
      <c r="C277">
        <v>60005</v>
      </c>
      <c r="D277">
        <v>26587</v>
      </c>
      <c r="E277">
        <v>3558</v>
      </c>
      <c r="F277">
        <v>77</v>
      </c>
      <c r="G277" t="s">
        <v>9</v>
      </c>
      <c r="H277" t="str" cm="1">
        <f t="array" ref="H277">_xlfn.IFS(Grammys[[#This Row],[date]] &gt;= DATE(2022,2,1),"Grammys",TRUE,"Grammys TRA")</f>
        <v>Grammys TRA</v>
      </c>
      <c r="I277">
        <f>_xlfn.XLOOKUP(Grammys[[#This Row],[date]],mobile_visits[date],mobile_visits[mobile_visitors],0)</f>
        <v>0</v>
      </c>
      <c r="O277" s="1">
        <v>44868</v>
      </c>
      <c r="P277">
        <v>10907</v>
      </c>
    </row>
    <row r="278" spans="1:16">
      <c r="A278" s="1">
        <v>43012</v>
      </c>
      <c r="B278">
        <v>66639</v>
      </c>
      <c r="C278">
        <v>159403</v>
      </c>
      <c r="D278">
        <v>71386</v>
      </c>
      <c r="E278">
        <v>6175</v>
      </c>
      <c r="F278">
        <v>70</v>
      </c>
      <c r="G278" t="s">
        <v>9</v>
      </c>
      <c r="H278" t="str" cm="1">
        <f t="array" ref="H278">_xlfn.IFS(Grammys[[#This Row],[date]] &gt;= DATE(2022,2,1),"Grammys",TRUE,"Grammys TRA")</f>
        <v>Grammys TRA</v>
      </c>
      <c r="I278">
        <f>_xlfn.XLOOKUP(Grammys[[#This Row],[date]],mobile_visits[date],mobile_visits[mobile_visitors],0)</f>
        <v>0</v>
      </c>
      <c r="O278" s="1">
        <v>44869</v>
      </c>
      <c r="P278">
        <v>15681</v>
      </c>
    </row>
    <row r="279" spans="1:16">
      <c r="A279" s="1">
        <v>43013</v>
      </c>
      <c r="B279">
        <v>18708</v>
      </c>
      <c r="C279">
        <v>28073</v>
      </c>
      <c r="D279">
        <v>19550</v>
      </c>
      <c r="E279">
        <v>9734</v>
      </c>
      <c r="F279">
        <v>72</v>
      </c>
      <c r="G279" t="s">
        <v>9</v>
      </c>
      <c r="H279" t="str" cm="1">
        <f t="array" ref="H279">_xlfn.IFS(Grammys[[#This Row],[date]] &gt;= DATE(2022,2,1),"Grammys",TRUE,"Grammys TRA")</f>
        <v>Grammys TRA</v>
      </c>
      <c r="I279">
        <f>_xlfn.XLOOKUP(Grammys[[#This Row],[date]],mobile_visits[date],mobile_visits[mobile_visitors],0)</f>
        <v>0</v>
      </c>
      <c r="O279" s="1">
        <v>44870</v>
      </c>
      <c r="P279">
        <v>16239</v>
      </c>
    </row>
    <row r="280" spans="1:16">
      <c r="A280" s="1">
        <v>43014</v>
      </c>
      <c r="B280">
        <v>11225</v>
      </c>
      <c r="C280">
        <v>17398</v>
      </c>
      <c r="D280">
        <v>11956</v>
      </c>
      <c r="E280">
        <v>6328</v>
      </c>
      <c r="F280">
        <v>75</v>
      </c>
      <c r="G280" t="s">
        <v>9</v>
      </c>
      <c r="H280" t="str" cm="1">
        <f t="array" ref="H280">_xlfn.IFS(Grammys[[#This Row],[date]] &gt;= DATE(2022,2,1),"Grammys",TRUE,"Grammys TRA")</f>
        <v>Grammys TRA</v>
      </c>
      <c r="I280">
        <f>_xlfn.XLOOKUP(Grammys[[#This Row],[date]],mobile_visits[date],mobile_visits[mobile_visitors],0)</f>
        <v>0</v>
      </c>
      <c r="O280" s="1">
        <v>44871</v>
      </c>
      <c r="P280">
        <v>11938</v>
      </c>
    </row>
    <row r="281" spans="1:16">
      <c r="A281" s="1">
        <v>43015</v>
      </c>
      <c r="B281">
        <v>11678</v>
      </c>
      <c r="C281">
        <v>19278</v>
      </c>
      <c r="D281">
        <v>12488</v>
      </c>
      <c r="E281">
        <v>6241</v>
      </c>
      <c r="F281">
        <v>80</v>
      </c>
      <c r="G281" t="s">
        <v>9</v>
      </c>
      <c r="H281" t="str" cm="1">
        <f t="array" ref="H281">_xlfn.IFS(Grammys[[#This Row],[date]] &gt;= DATE(2022,2,1),"Grammys",TRUE,"Grammys TRA")</f>
        <v>Grammys TRA</v>
      </c>
      <c r="I281">
        <f>_xlfn.XLOOKUP(Grammys[[#This Row],[date]],mobile_visits[date],mobile_visits[mobile_visitors],0)</f>
        <v>0</v>
      </c>
      <c r="O281" s="1">
        <v>44872</v>
      </c>
      <c r="P281">
        <v>9322</v>
      </c>
    </row>
    <row r="282" spans="1:16">
      <c r="A282" s="1">
        <v>43016</v>
      </c>
      <c r="B282">
        <v>11632</v>
      </c>
      <c r="C282">
        <v>18643</v>
      </c>
      <c r="D282">
        <v>12397</v>
      </c>
      <c r="E282">
        <v>6411</v>
      </c>
      <c r="F282">
        <v>79</v>
      </c>
      <c r="G282" t="s">
        <v>9</v>
      </c>
      <c r="H282" t="str" cm="1">
        <f t="array" ref="H282">_xlfn.IFS(Grammys[[#This Row],[date]] &gt;= DATE(2022,2,1),"Grammys",TRUE,"Grammys TRA")</f>
        <v>Grammys TRA</v>
      </c>
      <c r="I282">
        <f>_xlfn.XLOOKUP(Grammys[[#This Row],[date]],mobile_visits[date],mobile_visits[mobile_visitors],0)</f>
        <v>0</v>
      </c>
      <c r="O282" s="1">
        <v>44873</v>
      </c>
      <c r="P282">
        <v>11597</v>
      </c>
    </row>
    <row r="283" spans="1:16">
      <c r="A283" s="1">
        <v>43017</v>
      </c>
      <c r="B283">
        <v>11285</v>
      </c>
      <c r="C283">
        <v>17693</v>
      </c>
      <c r="D283">
        <v>11810</v>
      </c>
      <c r="E283">
        <v>6396</v>
      </c>
      <c r="F283">
        <v>84</v>
      </c>
      <c r="G283" t="s">
        <v>9</v>
      </c>
      <c r="H283" t="str" cm="1">
        <f t="array" ref="H283">_xlfn.IFS(Grammys[[#This Row],[date]] &gt;= DATE(2022,2,1),"Grammys",TRUE,"Grammys TRA")</f>
        <v>Grammys TRA</v>
      </c>
      <c r="I283">
        <f>_xlfn.XLOOKUP(Grammys[[#This Row],[date]],mobile_visits[date],mobile_visits[mobile_visitors],0)</f>
        <v>0</v>
      </c>
      <c r="O283" s="1">
        <v>44874</v>
      </c>
      <c r="P283">
        <v>12722</v>
      </c>
    </row>
    <row r="284" spans="1:16">
      <c r="A284" s="1">
        <v>43018</v>
      </c>
      <c r="B284">
        <v>18833</v>
      </c>
      <c r="C284">
        <v>31075</v>
      </c>
      <c r="D284">
        <v>21732</v>
      </c>
      <c r="E284">
        <v>10210</v>
      </c>
      <c r="F284">
        <v>93</v>
      </c>
      <c r="G284" t="s">
        <v>9</v>
      </c>
      <c r="H284" t="str" cm="1">
        <f t="array" ref="H284">_xlfn.IFS(Grammys[[#This Row],[date]] &gt;= DATE(2022,2,1),"Grammys",TRUE,"Grammys TRA")</f>
        <v>Grammys TRA</v>
      </c>
      <c r="I284">
        <f>_xlfn.XLOOKUP(Grammys[[#This Row],[date]],mobile_visits[date],mobile_visits[mobile_visitors],0)</f>
        <v>0</v>
      </c>
      <c r="O284" s="1">
        <v>44875</v>
      </c>
      <c r="P284">
        <v>15013</v>
      </c>
    </row>
    <row r="285" spans="1:16">
      <c r="A285" s="1">
        <v>43019</v>
      </c>
      <c r="B285">
        <v>19938</v>
      </c>
      <c r="C285">
        <v>28488</v>
      </c>
      <c r="D285">
        <v>21118</v>
      </c>
      <c r="E285">
        <v>10648</v>
      </c>
      <c r="F285">
        <v>79</v>
      </c>
      <c r="G285" t="s">
        <v>9</v>
      </c>
      <c r="H285" t="str" cm="1">
        <f t="array" ref="H285">_xlfn.IFS(Grammys[[#This Row],[date]] &gt;= DATE(2022,2,1),"Grammys",TRUE,"Grammys TRA")</f>
        <v>Grammys TRA</v>
      </c>
      <c r="I285">
        <f>_xlfn.XLOOKUP(Grammys[[#This Row],[date]],mobile_visits[date],mobile_visits[mobile_visitors],0)</f>
        <v>0</v>
      </c>
      <c r="O285" s="1">
        <v>44876</v>
      </c>
      <c r="P285">
        <v>13750</v>
      </c>
    </row>
    <row r="286" spans="1:16">
      <c r="A286" s="1">
        <v>43020</v>
      </c>
      <c r="B286">
        <v>13867</v>
      </c>
      <c r="C286">
        <v>20706</v>
      </c>
      <c r="D286">
        <v>14557</v>
      </c>
      <c r="E286">
        <v>7889</v>
      </c>
      <c r="F286">
        <v>84</v>
      </c>
      <c r="G286" t="s">
        <v>9</v>
      </c>
      <c r="H286" t="str" cm="1">
        <f t="array" ref="H286">_xlfn.IFS(Grammys[[#This Row],[date]] &gt;= DATE(2022,2,1),"Grammys",TRUE,"Grammys TRA")</f>
        <v>Grammys TRA</v>
      </c>
      <c r="I286">
        <f>_xlfn.XLOOKUP(Grammys[[#This Row],[date]],mobile_visits[date],mobile_visits[mobile_visitors],0)</f>
        <v>0</v>
      </c>
      <c r="O286" s="1">
        <v>44877</v>
      </c>
      <c r="P286">
        <v>13294</v>
      </c>
    </row>
    <row r="287" spans="1:16">
      <c r="A287" s="1">
        <v>43021</v>
      </c>
      <c r="B287">
        <v>10560</v>
      </c>
      <c r="C287">
        <v>17176</v>
      </c>
      <c r="D287">
        <v>11429</v>
      </c>
      <c r="E287">
        <v>6120</v>
      </c>
      <c r="F287">
        <v>89</v>
      </c>
      <c r="G287" t="s">
        <v>9</v>
      </c>
      <c r="H287" t="str" cm="1">
        <f t="array" ref="H287">_xlfn.IFS(Grammys[[#This Row],[date]] &gt;= DATE(2022,2,1),"Grammys",TRUE,"Grammys TRA")</f>
        <v>Grammys TRA</v>
      </c>
      <c r="I287">
        <f>_xlfn.XLOOKUP(Grammys[[#This Row],[date]],mobile_visits[date],mobile_visits[mobile_visitors],0)</f>
        <v>0</v>
      </c>
      <c r="O287" s="1">
        <v>44878</v>
      </c>
      <c r="P287">
        <v>12952</v>
      </c>
    </row>
    <row r="288" spans="1:16">
      <c r="A288" s="1">
        <v>43022</v>
      </c>
      <c r="B288">
        <v>7963</v>
      </c>
      <c r="C288">
        <v>12832</v>
      </c>
      <c r="D288">
        <v>8544</v>
      </c>
      <c r="E288">
        <v>4772</v>
      </c>
      <c r="F288">
        <v>81</v>
      </c>
      <c r="G288" t="s">
        <v>9</v>
      </c>
      <c r="H288" t="str" cm="1">
        <f t="array" ref="H288">_xlfn.IFS(Grammys[[#This Row],[date]] &gt;= DATE(2022,2,1),"Grammys",TRUE,"Grammys TRA")</f>
        <v>Grammys TRA</v>
      </c>
      <c r="I288">
        <f>_xlfn.XLOOKUP(Grammys[[#This Row],[date]],mobile_visits[date],mobile_visits[mobile_visitors],0)</f>
        <v>0</v>
      </c>
      <c r="O288" s="1">
        <v>44879</v>
      </c>
      <c r="P288">
        <v>21007</v>
      </c>
    </row>
    <row r="289" spans="1:16">
      <c r="A289" s="1">
        <v>43023</v>
      </c>
      <c r="B289">
        <v>7745</v>
      </c>
      <c r="C289">
        <v>12935</v>
      </c>
      <c r="D289">
        <v>8294</v>
      </c>
      <c r="E289">
        <v>4681</v>
      </c>
      <c r="F289">
        <v>92</v>
      </c>
      <c r="G289" t="s">
        <v>9</v>
      </c>
      <c r="H289" t="str" cm="1">
        <f t="array" ref="H289">_xlfn.IFS(Grammys[[#This Row],[date]] &gt;= DATE(2022,2,1),"Grammys",TRUE,"Grammys TRA")</f>
        <v>Grammys TRA</v>
      </c>
      <c r="I289">
        <f>_xlfn.XLOOKUP(Grammys[[#This Row],[date]],mobile_visits[date],mobile_visits[mobile_visitors],0)</f>
        <v>0</v>
      </c>
      <c r="O289" s="1">
        <v>44880</v>
      </c>
      <c r="P289">
        <v>550739</v>
      </c>
    </row>
    <row r="290" spans="1:16">
      <c r="A290" s="1">
        <v>43024</v>
      </c>
      <c r="B290">
        <v>9728</v>
      </c>
      <c r="C290">
        <v>17110</v>
      </c>
      <c r="D290">
        <v>10348</v>
      </c>
      <c r="E290">
        <v>5606</v>
      </c>
      <c r="F290">
        <v>94</v>
      </c>
      <c r="G290" t="s">
        <v>9</v>
      </c>
      <c r="H290" t="str" cm="1">
        <f t="array" ref="H290">_xlfn.IFS(Grammys[[#This Row],[date]] &gt;= DATE(2022,2,1),"Grammys",TRUE,"Grammys TRA")</f>
        <v>Grammys TRA</v>
      </c>
      <c r="I290">
        <f>_xlfn.XLOOKUP(Grammys[[#This Row],[date]],mobile_visits[date],mobile_visits[mobile_visitors],0)</f>
        <v>0</v>
      </c>
      <c r="O290" s="1">
        <v>44881</v>
      </c>
      <c r="P290">
        <v>228369</v>
      </c>
    </row>
    <row r="291" spans="1:16">
      <c r="A291" s="1">
        <v>43025</v>
      </c>
      <c r="B291">
        <v>14227</v>
      </c>
      <c r="C291">
        <v>23347</v>
      </c>
      <c r="D291">
        <v>15085</v>
      </c>
      <c r="E291">
        <v>7012</v>
      </c>
      <c r="F291">
        <v>96</v>
      </c>
      <c r="G291" t="s">
        <v>9</v>
      </c>
      <c r="H291" t="str" cm="1">
        <f t="array" ref="H291">_xlfn.IFS(Grammys[[#This Row],[date]] &gt;= DATE(2022,2,1),"Grammys",TRUE,"Grammys TRA")</f>
        <v>Grammys TRA</v>
      </c>
      <c r="I291">
        <f>_xlfn.XLOOKUP(Grammys[[#This Row],[date]],mobile_visits[date],mobile_visits[mobile_visitors],0)</f>
        <v>0</v>
      </c>
      <c r="O291" s="1">
        <v>44882</v>
      </c>
      <c r="P291">
        <v>147980</v>
      </c>
    </row>
    <row r="292" spans="1:16">
      <c r="A292" s="1">
        <v>43026</v>
      </c>
      <c r="B292">
        <v>11958</v>
      </c>
      <c r="C292">
        <v>19512</v>
      </c>
      <c r="D292">
        <v>12498</v>
      </c>
      <c r="E292">
        <v>6267</v>
      </c>
      <c r="F292">
        <v>89</v>
      </c>
      <c r="G292" t="s">
        <v>9</v>
      </c>
      <c r="H292" t="str" cm="1">
        <f t="array" ref="H292">_xlfn.IFS(Grammys[[#This Row],[date]] &gt;= DATE(2022,2,1),"Grammys",TRUE,"Grammys TRA")</f>
        <v>Grammys TRA</v>
      </c>
      <c r="I292">
        <f>_xlfn.XLOOKUP(Grammys[[#This Row],[date]],mobile_visits[date],mobile_visits[mobile_visitors],0)</f>
        <v>0</v>
      </c>
      <c r="O292" s="1">
        <v>44883</v>
      </c>
      <c r="P292">
        <v>119867</v>
      </c>
    </row>
    <row r="293" spans="1:16">
      <c r="A293" s="1">
        <v>43027</v>
      </c>
      <c r="B293">
        <v>10365</v>
      </c>
      <c r="C293">
        <v>17425</v>
      </c>
      <c r="D293">
        <v>11061</v>
      </c>
      <c r="E293">
        <v>6002</v>
      </c>
      <c r="F293">
        <v>80</v>
      </c>
      <c r="G293" t="s">
        <v>9</v>
      </c>
      <c r="H293" t="str" cm="1">
        <f t="array" ref="H293">_xlfn.IFS(Grammys[[#This Row],[date]] &gt;= DATE(2022,2,1),"Grammys",TRUE,"Grammys TRA")</f>
        <v>Grammys TRA</v>
      </c>
      <c r="I293">
        <f>_xlfn.XLOOKUP(Grammys[[#This Row],[date]],mobile_visits[date],mobile_visits[mobile_visitors],0)</f>
        <v>0</v>
      </c>
      <c r="O293" s="1">
        <v>44884</v>
      </c>
      <c r="P293">
        <v>69168</v>
      </c>
    </row>
    <row r="294" spans="1:16">
      <c r="A294" s="1">
        <v>43028</v>
      </c>
      <c r="B294">
        <v>21571</v>
      </c>
      <c r="C294">
        <v>30482</v>
      </c>
      <c r="D294">
        <v>22605</v>
      </c>
      <c r="E294">
        <v>7494</v>
      </c>
      <c r="F294">
        <v>70</v>
      </c>
      <c r="G294" t="s">
        <v>9</v>
      </c>
      <c r="H294" t="str" cm="1">
        <f t="array" ref="H294">_xlfn.IFS(Grammys[[#This Row],[date]] &gt;= DATE(2022,2,1),"Grammys",TRUE,"Grammys TRA")</f>
        <v>Grammys TRA</v>
      </c>
      <c r="I294">
        <f>_xlfn.XLOOKUP(Grammys[[#This Row],[date]],mobile_visits[date],mobile_visits[mobile_visitors],0)</f>
        <v>0</v>
      </c>
      <c r="O294" s="1">
        <v>44885</v>
      </c>
      <c r="P294">
        <v>55455</v>
      </c>
    </row>
    <row r="295" spans="1:16">
      <c r="A295" s="1">
        <v>43029</v>
      </c>
      <c r="B295">
        <v>15468</v>
      </c>
      <c r="C295">
        <v>25629</v>
      </c>
      <c r="D295">
        <v>16531</v>
      </c>
      <c r="E295">
        <v>3938</v>
      </c>
      <c r="F295">
        <v>78</v>
      </c>
      <c r="G295" t="s">
        <v>9</v>
      </c>
      <c r="H295" t="str" cm="1">
        <f t="array" ref="H295">_xlfn.IFS(Grammys[[#This Row],[date]] &gt;= DATE(2022,2,1),"Grammys",TRUE,"Grammys TRA")</f>
        <v>Grammys TRA</v>
      </c>
      <c r="I295">
        <f>_xlfn.XLOOKUP(Grammys[[#This Row],[date]],mobile_visits[date],mobile_visits[mobile_visitors],0)</f>
        <v>0</v>
      </c>
      <c r="O295" s="1">
        <v>44886</v>
      </c>
      <c r="P295">
        <v>40944</v>
      </c>
    </row>
    <row r="296" spans="1:16">
      <c r="A296" s="1">
        <v>43030</v>
      </c>
      <c r="B296">
        <v>12146</v>
      </c>
      <c r="C296">
        <v>20556</v>
      </c>
      <c r="D296">
        <v>12851</v>
      </c>
      <c r="E296">
        <v>3808</v>
      </c>
      <c r="F296">
        <v>81</v>
      </c>
      <c r="G296" t="s">
        <v>9</v>
      </c>
      <c r="H296" t="str" cm="1">
        <f t="array" ref="H296">_xlfn.IFS(Grammys[[#This Row],[date]] &gt;= DATE(2022,2,1),"Grammys",TRUE,"Grammys TRA")</f>
        <v>Grammys TRA</v>
      </c>
      <c r="I296">
        <f>_xlfn.XLOOKUP(Grammys[[#This Row],[date]],mobile_visits[date],mobile_visits[mobile_visitors],0)</f>
        <v>0</v>
      </c>
      <c r="O296" s="1">
        <v>44887</v>
      </c>
      <c r="P296">
        <v>28165</v>
      </c>
    </row>
    <row r="297" spans="1:16">
      <c r="A297" s="1">
        <v>43031</v>
      </c>
      <c r="B297">
        <v>11156</v>
      </c>
      <c r="C297">
        <v>19346</v>
      </c>
      <c r="D297">
        <v>11927</v>
      </c>
      <c r="E297">
        <v>3914</v>
      </c>
      <c r="F297">
        <v>85</v>
      </c>
      <c r="G297" t="s">
        <v>9</v>
      </c>
      <c r="H297" t="str" cm="1">
        <f t="array" ref="H297">_xlfn.IFS(Grammys[[#This Row],[date]] &gt;= DATE(2022,2,1),"Grammys",TRUE,"Grammys TRA")</f>
        <v>Grammys TRA</v>
      </c>
      <c r="I297">
        <f>_xlfn.XLOOKUP(Grammys[[#This Row],[date]],mobile_visits[date],mobile_visits[mobile_visitors],0)</f>
        <v>0</v>
      </c>
      <c r="O297" s="1">
        <v>44888</v>
      </c>
      <c r="P297">
        <v>23489</v>
      </c>
    </row>
    <row r="298" spans="1:16">
      <c r="A298" s="1">
        <v>43032</v>
      </c>
      <c r="B298">
        <v>10320</v>
      </c>
      <c r="C298">
        <v>17702</v>
      </c>
      <c r="D298">
        <v>10962</v>
      </c>
      <c r="E298">
        <v>3838</v>
      </c>
      <c r="F298">
        <v>87</v>
      </c>
      <c r="G298" t="s">
        <v>9</v>
      </c>
      <c r="H298" t="str" cm="1">
        <f t="array" ref="H298">_xlfn.IFS(Grammys[[#This Row],[date]] &gt;= DATE(2022,2,1),"Grammys",TRUE,"Grammys TRA")</f>
        <v>Grammys TRA</v>
      </c>
      <c r="I298">
        <f>_xlfn.XLOOKUP(Grammys[[#This Row],[date]],mobile_visits[date],mobile_visits[mobile_visitors],0)</f>
        <v>0</v>
      </c>
      <c r="O298" s="1">
        <v>44889</v>
      </c>
      <c r="P298">
        <v>22061</v>
      </c>
    </row>
    <row r="299" spans="1:16">
      <c r="A299" s="1">
        <v>43033</v>
      </c>
      <c r="B299">
        <v>11122</v>
      </c>
      <c r="C299">
        <v>19449</v>
      </c>
      <c r="D299">
        <v>11764</v>
      </c>
      <c r="E299">
        <v>3834</v>
      </c>
      <c r="F299">
        <v>83</v>
      </c>
      <c r="G299" t="s">
        <v>9</v>
      </c>
      <c r="H299" t="str" cm="1">
        <f t="array" ref="H299">_xlfn.IFS(Grammys[[#This Row],[date]] &gt;= DATE(2022,2,1),"Grammys",TRUE,"Grammys TRA")</f>
        <v>Grammys TRA</v>
      </c>
      <c r="I299">
        <f>_xlfn.XLOOKUP(Grammys[[#This Row],[date]],mobile_visits[date],mobile_visits[mobile_visitors],0)</f>
        <v>0</v>
      </c>
      <c r="O299" s="1">
        <v>44890</v>
      </c>
      <c r="P299">
        <v>18639</v>
      </c>
    </row>
    <row r="300" spans="1:16">
      <c r="A300" s="1">
        <v>43034</v>
      </c>
      <c r="B300">
        <v>10887</v>
      </c>
      <c r="C300">
        <v>18188</v>
      </c>
      <c r="D300">
        <v>11510</v>
      </c>
      <c r="E300">
        <v>3494</v>
      </c>
      <c r="F300">
        <v>85</v>
      </c>
      <c r="G300" t="s">
        <v>9</v>
      </c>
      <c r="H300" t="str" cm="1">
        <f t="array" ref="H300">_xlfn.IFS(Grammys[[#This Row],[date]] &gt;= DATE(2022,2,1),"Grammys",TRUE,"Grammys TRA")</f>
        <v>Grammys TRA</v>
      </c>
      <c r="I300">
        <f>_xlfn.XLOOKUP(Grammys[[#This Row],[date]],mobile_visits[date],mobile_visits[mobile_visitors],0)</f>
        <v>0</v>
      </c>
      <c r="O300" s="1">
        <v>44891</v>
      </c>
      <c r="P300">
        <v>17591</v>
      </c>
    </row>
    <row r="301" spans="1:16">
      <c r="A301" s="1">
        <v>43035</v>
      </c>
      <c r="B301">
        <v>9273</v>
      </c>
      <c r="C301">
        <v>15493</v>
      </c>
      <c r="D301">
        <v>9850</v>
      </c>
      <c r="E301">
        <v>3356</v>
      </c>
      <c r="F301">
        <v>84</v>
      </c>
      <c r="G301" t="s">
        <v>9</v>
      </c>
      <c r="H301" t="str" cm="1">
        <f t="array" ref="H301">_xlfn.IFS(Grammys[[#This Row],[date]] &gt;= DATE(2022,2,1),"Grammys",TRUE,"Grammys TRA")</f>
        <v>Grammys TRA</v>
      </c>
      <c r="I301">
        <f>_xlfn.XLOOKUP(Grammys[[#This Row],[date]],mobile_visits[date],mobile_visits[mobile_visitors],0)</f>
        <v>0</v>
      </c>
      <c r="O301" s="1">
        <v>44892</v>
      </c>
      <c r="P301">
        <v>16694</v>
      </c>
    </row>
    <row r="302" spans="1:16">
      <c r="A302" s="1">
        <v>43036</v>
      </c>
      <c r="B302">
        <v>7669</v>
      </c>
      <c r="C302">
        <v>13627</v>
      </c>
      <c r="D302">
        <v>8149</v>
      </c>
      <c r="E302">
        <v>4522</v>
      </c>
      <c r="F302">
        <v>87</v>
      </c>
      <c r="G302" t="s">
        <v>9</v>
      </c>
      <c r="H302" t="str" cm="1">
        <f t="array" ref="H302">_xlfn.IFS(Grammys[[#This Row],[date]] &gt;= DATE(2022,2,1),"Grammys",TRUE,"Grammys TRA")</f>
        <v>Grammys TRA</v>
      </c>
      <c r="I302">
        <f>_xlfn.XLOOKUP(Grammys[[#This Row],[date]],mobile_visits[date],mobile_visits[mobile_visitors],0)</f>
        <v>0</v>
      </c>
      <c r="O302" s="1">
        <v>44893</v>
      </c>
      <c r="P302">
        <v>13610</v>
      </c>
    </row>
    <row r="303" spans="1:16">
      <c r="A303" s="1">
        <v>43037</v>
      </c>
      <c r="B303">
        <v>8507</v>
      </c>
      <c r="C303">
        <v>15074</v>
      </c>
      <c r="D303">
        <v>9065</v>
      </c>
      <c r="E303">
        <v>5012</v>
      </c>
      <c r="F303">
        <v>91</v>
      </c>
      <c r="G303" t="s">
        <v>9</v>
      </c>
      <c r="H303" t="str" cm="1">
        <f t="array" ref="H303">_xlfn.IFS(Grammys[[#This Row],[date]] &gt;= DATE(2022,2,1),"Grammys",TRUE,"Grammys TRA")</f>
        <v>Grammys TRA</v>
      </c>
      <c r="I303">
        <f>_xlfn.XLOOKUP(Grammys[[#This Row],[date]],mobile_visits[date],mobile_visits[mobile_visitors],0)</f>
        <v>0</v>
      </c>
      <c r="O303" s="1">
        <v>44894</v>
      </c>
      <c r="P303">
        <v>12966</v>
      </c>
    </row>
    <row r="304" spans="1:16">
      <c r="A304" s="1">
        <v>43038</v>
      </c>
      <c r="B304">
        <v>9801</v>
      </c>
      <c r="C304">
        <v>16841</v>
      </c>
      <c r="D304">
        <v>10331</v>
      </c>
      <c r="E304">
        <v>5687</v>
      </c>
      <c r="F304">
        <v>83</v>
      </c>
      <c r="G304" t="s">
        <v>9</v>
      </c>
      <c r="H304" t="str" cm="1">
        <f t="array" ref="H304">_xlfn.IFS(Grammys[[#This Row],[date]] &gt;= DATE(2022,2,1),"Grammys",TRUE,"Grammys TRA")</f>
        <v>Grammys TRA</v>
      </c>
      <c r="I304">
        <f>_xlfn.XLOOKUP(Grammys[[#This Row],[date]],mobile_visits[date],mobile_visits[mobile_visitors],0)</f>
        <v>0</v>
      </c>
      <c r="O304" s="1">
        <v>44895</v>
      </c>
      <c r="P304">
        <v>15082</v>
      </c>
    </row>
    <row r="305" spans="1:16">
      <c r="A305" s="1">
        <v>43039</v>
      </c>
      <c r="B305">
        <v>13702</v>
      </c>
      <c r="C305">
        <v>20442</v>
      </c>
      <c r="D305">
        <v>14434</v>
      </c>
      <c r="E305">
        <v>8629</v>
      </c>
      <c r="F305">
        <v>66</v>
      </c>
      <c r="G305" t="s">
        <v>9</v>
      </c>
      <c r="H305" t="str" cm="1">
        <f t="array" ref="H305">_xlfn.IFS(Grammys[[#This Row],[date]] &gt;= DATE(2022,2,1),"Grammys",TRUE,"Grammys TRA")</f>
        <v>Grammys TRA</v>
      </c>
      <c r="I305">
        <f>_xlfn.XLOOKUP(Grammys[[#This Row],[date]],mobile_visits[date],mobile_visits[mobile_visitors],0)</f>
        <v>0</v>
      </c>
      <c r="O305" s="1">
        <v>44896</v>
      </c>
      <c r="P305">
        <v>14070</v>
      </c>
    </row>
    <row r="306" spans="1:16">
      <c r="A306" s="1">
        <v>43040</v>
      </c>
      <c r="B306">
        <v>9577</v>
      </c>
      <c r="C306">
        <v>16012</v>
      </c>
      <c r="D306">
        <v>10136</v>
      </c>
      <c r="E306">
        <v>5959</v>
      </c>
      <c r="F306">
        <v>81</v>
      </c>
      <c r="G306" t="s">
        <v>9</v>
      </c>
      <c r="H306" t="str" cm="1">
        <f t="array" ref="H306">_xlfn.IFS(Grammys[[#This Row],[date]] &gt;= DATE(2022,2,1),"Grammys",TRUE,"Grammys TRA")</f>
        <v>Grammys TRA</v>
      </c>
      <c r="I306">
        <f>_xlfn.XLOOKUP(Grammys[[#This Row],[date]],mobile_visits[date],mobile_visits[mobile_visitors],0)</f>
        <v>0</v>
      </c>
      <c r="O306" s="1">
        <v>44897</v>
      </c>
      <c r="P306">
        <v>16404</v>
      </c>
    </row>
    <row r="307" spans="1:16">
      <c r="A307" s="1">
        <v>43041</v>
      </c>
      <c r="B307">
        <v>9264</v>
      </c>
      <c r="C307">
        <v>15316</v>
      </c>
      <c r="D307">
        <v>9775</v>
      </c>
      <c r="E307">
        <v>5620</v>
      </c>
      <c r="F307">
        <v>86</v>
      </c>
      <c r="G307" t="s">
        <v>9</v>
      </c>
      <c r="H307" t="str" cm="1">
        <f t="array" ref="H307">_xlfn.IFS(Grammys[[#This Row],[date]] &gt;= DATE(2022,2,1),"Grammys",TRUE,"Grammys TRA")</f>
        <v>Grammys TRA</v>
      </c>
      <c r="I307">
        <f>_xlfn.XLOOKUP(Grammys[[#This Row],[date]],mobile_visits[date],mobile_visits[mobile_visitors],0)</f>
        <v>0</v>
      </c>
      <c r="O307" s="1">
        <v>44898</v>
      </c>
      <c r="P307">
        <v>15255</v>
      </c>
    </row>
    <row r="308" spans="1:16">
      <c r="A308" s="1">
        <v>43042</v>
      </c>
      <c r="B308">
        <v>14951</v>
      </c>
      <c r="C308">
        <v>21692</v>
      </c>
      <c r="D308">
        <v>15654</v>
      </c>
      <c r="E308">
        <v>8720</v>
      </c>
      <c r="F308">
        <v>76</v>
      </c>
      <c r="G308" t="s">
        <v>9</v>
      </c>
      <c r="H308" t="str" cm="1">
        <f t="array" ref="H308">_xlfn.IFS(Grammys[[#This Row],[date]] &gt;= DATE(2022,2,1),"Grammys",TRUE,"Grammys TRA")</f>
        <v>Grammys TRA</v>
      </c>
      <c r="I308">
        <f>_xlfn.XLOOKUP(Grammys[[#This Row],[date]],mobile_visits[date],mobile_visits[mobile_visitors],0)</f>
        <v>0</v>
      </c>
      <c r="O308" s="1">
        <v>44899</v>
      </c>
      <c r="P308">
        <v>14872</v>
      </c>
    </row>
    <row r="309" spans="1:16">
      <c r="A309" s="1">
        <v>43043</v>
      </c>
      <c r="B309">
        <v>8603</v>
      </c>
      <c r="C309">
        <v>13874</v>
      </c>
      <c r="D309">
        <v>9067</v>
      </c>
      <c r="E309">
        <v>5077</v>
      </c>
      <c r="F309">
        <v>79</v>
      </c>
      <c r="G309" t="s">
        <v>9</v>
      </c>
      <c r="H309" t="str" cm="1">
        <f t="array" ref="H309">_xlfn.IFS(Grammys[[#This Row],[date]] &gt;= DATE(2022,2,1),"Grammys",TRUE,"Grammys TRA")</f>
        <v>Grammys TRA</v>
      </c>
      <c r="I309">
        <f>_xlfn.XLOOKUP(Grammys[[#This Row],[date]],mobile_visits[date],mobile_visits[mobile_visitors],0)</f>
        <v>0</v>
      </c>
      <c r="O309" s="1">
        <v>44900</v>
      </c>
      <c r="P309">
        <v>15098</v>
      </c>
    </row>
    <row r="310" spans="1:16">
      <c r="A310" s="1">
        <v>43044</v>
      </c>
      <c r="B310">
        <v>10050</v>
      </c>
      <c r="C310">
        <v>16605</v>
      </c>
      <c r="D310">
        <v>10761</v>
      </c>
      <c r="E310">
        <v>5763</v>
      </c>
      <c r="F310">
        <v>89</v>
      </c>
      <c r="G310" t="s">
        <v>9</v>
      </c>
      <c r="H310" t="str" cm="1">
        <f t="array" ref="H310">_xlfn.IFS(Grammys[[#This Row],[date]] &gt;= DATE(2022,2,1),"Grammys",TRUE,"Grammys TRA")</f>
        <v>Grammys TRA</v>
      </c>
      <c r="I310">
        <f>_xlfn.XLOOKUP(Grammys[[#This Row],[date]],mobile_visits[date],mobile_visits[mobile_visitors],0)</f>
        <v>0</v>
      </c>
      <c r="O310" s="1">
        <v>44901</v>
      </c>
      <c r="P310">
        <v>14280</v>
      </c>
    </row>
    <row r="311" spans="1:16">
      <c r="A311" s="1">
        <v>43045</v>
      </c>
      <c r="B311">
        <v>9826</v>
      </c>
      <c r="C311">
        <v>16315</v>
      </c>
      <c r="D311">
        <v>10258</v>
      </c>
      <c r="E311">
        <v>5856</v>
      </c>
      <c r="F311">
        <v>83</v>
      </c>
      <c r="G311" t="s">
        <v>9</v>
      </c>
      <c r="H311" t="str" cm="1">
        <f t="array" ref="H311">_xlfn.IFS(Grammys[[#This Row],[date]] &gt;= DATE(2022,2,1),"Grammys",TRUE,"Grammys TRA")</f>
        <v>Grammys TRA</v>
      </c>
      <c r="I311">
        <f>_xlfn.XLOOKUP(Grammys[[#This Row],[date]],mobile_visits[date],mobile_visits[mobile_visitors],0)</f>
        <v>0</v>
      </c>
      <c r="O311" s="1">
        <v>44902</v>
      </c>
      <c r="P311">
        <v>12162</v>
      </c>
    </row>
    <row r="312" spans="1:16">
      <c r="A312" s="1">
        <v>43046</v>
      </c>
      <c r="B312">
        <v>9852</v>
      </c>
      <c r="C312">
        <v>17199</v>
      </c>
      <c r="D312">
        <v>10464</v>
      </c>
      <c r="E312">
        <v>5877</v>
      </c>
      <c r="F312">
        <v>99</v>
      </c>
      <c r="G312" t="s">
        <v>9</v>
      </c>
      <c r="H312" t="str" cm="1">
        <f t="array" ref="H312">_xlfn.IFS(Grammys[[#This Row],[date]] &gt;= DATE(2022,2,1),"Grammys",TRUE,"Grammys TRA")</f>
        <v>Grammys TRA</v>
      </c>
      <c r="I312">
        <f>_xlfn.XLOOKUP(Grammys[[#This Row],[date]],mobile_visits[date],mobile_visits[mobile_visitors],0)</f>
        <v>0</v>
      </c>
      <c r="O312" s="1">
        <v>44903</v>
      </c>
      <c r="P312">
        <v>13295</v>
      </c>
    </row>
    <row r="313" spans="1:16">
      <c r="A313" s="1">
        <v>43047</v>
      </c>
      <c r="B313">
        <v>11223</v>
      </c>
      <c r="C313">
        <v>18215</v>
      </c>
      <c r="D313">
        <v>11982</v>
      </c>
      <c r="E313">
        <v>6788</v>
      </c>
      <c r="F313">
        <v>78</v>
      </c>
      <c r="G313" t="s">
        <v>9</v>
      </c>
      <c r="H313" t="str" cm="1">
        <f t="array" ref="H313">_xlfn.IFS(Grammys[[#This Row],[date]] &gt;= DATE(2022,2,1),"Grammys",TRUE,"Grammys TRA")</f>
        <v>Grammys TRA</v>
      </c>
      <c r="I313">
        <f>_xlfn.XLOOKUP(Grammys[[#This Row],[date]],mobile_visits[date],mobile_visits[mobile_visitors],0)</f>
        <v>0</v>
      </c>
      <c r="O313" s="1">
        <v>44904</v>
      </c>
      <c r="P313">
        <v>13171</v>
      </c>
    </row>
    <row r="314" spans="1:16">
      <c r="A314" s="1">
        <v>43048</v>
      </c>
      <c r="B314">
        <v>10185</v>
      </c>
      <c r="C314">
        <v>16576</v>
      </c>
      <c r="D314">
        <v>10741</v>
      </c>
      <c r="E314">
        <v>6183</v>
      </c>
      <c r="F314">
        <v>81</v>
      </c>
      <c r="G314" t="s">
        <v>9</v>
      </c>
      <c r="H314" t="str" cm="1">
        <f t="array" ref="H314">_xlfn.IFS(Grammys[[#This Row],[date]] &gt;= DATE(2022,2,1),"Grammys",TRUE,"Grammys TRA")</f>
        <v>Grammys TRA</v>
      </c>
      <c r="I314">
        <f>_xlfn.XLOOKUP(Grammys[[#This Row],[date]],mobile_visits[date],mobile_visits[mobile_visitors],0)</f>
        <v>0</v>
      </c>
      <c r="O314" s="1">
        <v>44905</v>
      </c>
      <c r="P314">
        <v>13681</v>
      </c>
    </row>
    <row r="315" spans="1:16">
      <c r="A315" s="1">
        <v>43049</v>
      </c>
      <c r="B315">
        <v>20194</v>
      </c>
      <c r="C315">
        <v>53728</v>
      </c>
      <c r="D315">
        <v>25540</v>
      </c>
      <c r="E315">
        <v>13039</v>
      </c>
      <c r="F315">
        <v>125</v>
      </c>
      <c r="G315" t="s">
        <v>9</v>
      </c>
      <c r="H315" t="str" cm="1">
        <f t="array" ref="H315">_xlfn.IFS(Grammys[[#This Row],[date]] &gt;= DATE(2022,2,1),"Grammys",TRUE,"Grammys TRA")</f>
        <v>Grammys TRA</v>
      </c>
      <c r="I315">
        <f>_xlfn.XLOOKUP(Grammys[[#This Row],[date]],mobile_visits[date],mobile_visits[mobile_visitors],0)</f>
        <v>0</v>
      </c>
      <c r="O315" s="1">
        <v>44906</v>
      </c>
      <c r="P315">
        <v>12380</v>
      </c>
    </row>
    <row r="316" spans="1:16">
      <c r="A316" s="1">
        <v>43050</v>
      </c>
      <c r="B316">
        <v>15318</v>
      </c>
      <c r="C316">
        <v>30605</v>
      </c>
      <c r="D316">
        <v>17480</v>
      </c>
      <c r="E316">
        <v>9772</v>
      </c>
      <c r="F316">
        <v>86</v>
      </c>
      <c r="G316" t="s">
        <v>9</v>
      </c>
      <c r="H316" t="str" cm="1">
        <f t="array" ref="H316">_xlfn.IFS(Grammys[[#This Row],[date]] &gt;= DATE(2022,2,1),"Grammys",TRUE,"Grammys TRA")</f>
        <v>Grammys TRA</v>
      </c>
      <c r="I316">
        <f>_xlfn.XLOOKUP(Grammys[[#This Row],[date]],mobile_visits[date],mobile_visits[mobile_visitors],0)</f>
        <v>0</v>
      </c>
      <c r="O316" s="1">
        <v>44907</v>
      </c>
      <c r="P316">
        <v>12124</v>
      </c>
    </row>
    <row r="317" spans="1:16">
      <c r="A317" s="1">
        <v>43051</v>
      </c>
      <c r="B317">
        <v>11899</v>
      </c>
      <c r="C317">
        <v>21547</v>
      </c>
      <c r="D317">
        <v>12730</v>
      </c>
      <c r="E317">
        <v>6927</v>
      </c>
      <c r="F317">
        <v>89</v>
      </c>
      <c r="G317" t="s">
        <v>9</v>
      </c>
      <c r="H317" t="str" cm="1">
        <f t="array" ref="H317">_xlfn.IFS(Grammys[[#This Row],[date]] &gt;= DATE(2022,2,1),"Grammys",TRUE,"Grammys TRA")</f>
        <v>Grammys TRA</v>
      </c>
      <c r="I317">
        <f>_xlfn.XLOOKUP(Grammys[[#This Row],[date]],mobile_visits[date],mobile_visits[mobile_visitors],0)</f>
        <v>0</v>
      </c>
      <c r="O317" s="1">
        <v>44908</v>
      </c>
      <c r="P317">
        <v>11919</v>
      </c>
    </row>
    <row r="318" spans="1:16">
      <c r="A318" s="1">
        <v>43052</v>
      </c>
      <c r="B318">
        <v>12323</v>
      </c>
      <c r="C318">
        <v>20598</v>
      </c>
      <c r="D318">
        <v>12971</v>
      </c>
      <c r="E318">
        <v>7145</v>
      </c>
      <c r="F318">
        <v>86</v>
      </c>
      <c r="G318" t="s">
        <v>9</v>
      </c>
      <c r="H318" t="str" cm="1">
        <f t="array" ref="H318">_xlfn.IFS(Grammys[[#This Row],[date]] &gt;= DATE(2022,2,1),"Grammys",TRUE,"Grammys TRA")</f>
        <v>Grammys TRA</v>
      </c>
      <c r="I318">
        <f>_xlfn.XLOOKUP(Grammys[[#This Row],[date]],mobile_visits[date],mobile_visits[mobile_visitors],0)</f>
        <v>0</v>
      </c>
      <c r="O318" s="1">
        <v>44909</v>
      </c>
      <c r="P318">
        <v>13610</v>
      </c>
    </row>
    <row r="319" spans="1:16">
      <c r="A319" s="1">
        <v>43053</v>
      </c>
      <c r="B319">
        <v>14072</v>
      </c>
      <c r="C319">
        <v>22197</v>
      </c>
      <c r="D319">
        <v>14916</v>
      </c>
      <c r="E319">
        <v>8339</v>
      </c>
      <c r="F319">
        <v>74</v>
      </c>
      <c r="G319" t="s">
        <v>9</v>
      </c>
      <c r="H319" t="str" cm="1">
        <f t="array" ref="H319">_xlfn.IFS(Grammys[[#This Row],[date]] &gt;= DATE(2022,2,1),"Grammys",TRUE,"Grammys TRA")</f>
        <v>Grammys TRA</v>
      </c>
      <c r="I319">
        <f>_xlfn.XLOOKUP(Grammys[[#This Row],[date]],mobile_visits[date],mobile_visits[mobile_visitors],0)</f>
        <v>0</v>
      </c>
      <c r="O319" s="1">
        <v>44910</v>
      </c>
      <c r="P319">
        <v>12841</v>
      </c>
    </row>
    <row r="320" spans="1:16">
      <c r="A320" s="1">
        <v>43054</v>
      </c>
      <c r="B320">
        <v>23359</v>
      </c>
      <c r="C320">
        <v>33055</v>
      </c>
      <c r="D320">
        <v>24581</v>
      </c>
      <c r="E320">
        <v>13237</v>
      </c>
      <c r="F320">
        <v>64</v>
      </c>
      <c r="G320" t="s">
        <v>9</v>
      </c>
      <c r="H320" t="str" cm="1">
        <f t="array" ref="H320">_xlfn.IFS(Grammys[[#This Row],[date]] &gt;= DATE(2022,2,1),"Grammys",TRUE,"Grammys TRA")</f>
        <v>Grammys TRA</v>
      </c>
      <c r="I320">
        <f>_xlfn.XLOOKUP(Grammys[[#This Row],[date]],mobile_visits[date],mobile_visits[mobile_visitors],0)</f>
        <v>0</v>
      </c>
      <c r="O320" s="1">
        <v>44911</v>
      </c>
      <c r="P320">
        <v>12311</v>
      </c>
    </row>
    <row r="321" spans="1:16">
      <c r="A321" s="1">
        <v>43055</v>
      </c>
      <c r="B321">
        <v>28059</v>
      </c>
      <c r="C321">
        <v>41746</v>
      </c>
      <c r="D321">
        <v>29447</v>
      </c>
      <c r="E321">
        <v>15145</v>
      </c>
      <c r="F321">
        <v>78</v>
      </c>
      <c r="G321" t="s">
        <v>9</v>
      </c>
      <c r="H321" t="str" cm="1">
        <f t="array" ref="H321">_xlfn.IFS(Grammys[[#This Row],[date]] &gt;= DATE(2022,2,1),"Grammys",TRUE,"Grammys TRA")</f>
        <v>Grammys TRA</v>
      </c>
      <c r="I321">
        <f>_xlfn.XLOOKUP(Grammys[[#This Row],[date]],mobile_visits[date],mobile_visits[mobile_visitors],0)</f>
        <v>0</v>
      </c>
      <c r="O321" s="1">
        <v>44912</v>
      </c>
      <c r="P321">
        <v>12843</v>
      </c>
    </row>
    <row r="322" spans="1:16">
      <c r="A322" s="1">
        <v>43056</v>
      </c>
      <c r="B322">
        <v>19892</v>
      </c>
      <c r="C322">
        <v>31248</v>
      </c>
      <c r="D322">
        <v>21184</v>
      </c>
      <c r="E322">
        <v>11190</v>
      </c>
      <c r="F322">
        <v>80</v>
      </c>
      <c r="G322" t="s">
        <v>9</v>
      </c>
      <c r="H322" t="str" cm="1">
        <f t="array" ref="H322">_xlfn.IFS(Grammys[[#This Row],[date]] &gt;= DATE(2022,2,1),"Grammys",TRUE,"Grammys TRA")</f>
        <v>Grammys TRA</v>
      </c>
      <c r="I322">
        <f>_xlfn.XLOOKUP(Grammys[[#This Row],[date]],mobile_visits[date],mobile_visits[mobile_visitors],0)</f>
        <v>0</v>
      </c>
      <c r="O322" s="1">
        <v>44913</v>
      </c>
      <c r="P322">
        <v>12762</v>
      </c>
    </row>
    <row r="323" spans="1:16">
      <c r="A323" s="1">
        <v>43057</v>
      </c>
      <c r="B323">
        <v>12230</v>
      </c>
      <c r="C323">
        <v>19518</v>
      </c>
      <c r="D323">
        <v>12918</v>
      </c>
      <c r="E323">
        <v>7134</v>
      </c>
      <c r="F323">
        <v>78</v>
      </c>
      <c r="G323" t="s">
        <v>9</v>
      </c>
      <c r="H323" t="str" cm="1">
        <f t="array" ref="H323">_xlfn.IFS(Grammys[[#This Row],[date]] &gt;= DATE(2022,2,1),"Grammys",TRUE,"Grammys TRA")</f>
        <v>Grammys TRA</v>
      </c>
      <c r="I323">
        <f>_xlfn.XLOOKUP(Grammys[[#This Row],[date]],mobile_visits[date],mobile_visits[mobile_visitors],0)</f>
        <v>0</v>
      </c>
      <c r="O323" s="1">
        <v>44914</v>
      </c>
      <c r="P323">
        <v>11460</v>
      </c>
    </row>
    <row r="324" spans="1:16">
      <c r="A324" s="1">
        <v>43058</v>
      </c>
      <c r="B324">
        <v>14662</v>
      </c>
      <c r="C324">
        <v>24267</v>
      </c>
      <c r="D324">
        <v>15558</v>
      </c>
      <c r="E324">
        <v>8783</v>
      </c>
      <c r="F324">
        <v>80</v>
      </c>
      <c r="G324" t="s">
        <v>9</v>
      </c>
      <c r="H324" t="str" cm="1">
        <f t="array" ref="H324">_xlfn.IFS(Grammys[[#This Row],[date]] &gt;= DATE(2022,2,1),"Grammys",TRUE,"Grammys TRA")</f>
        <v>Grammys TRA</v>
      </c>
      <c r="I324">
        <f>_xlfn.XLOOKUP(Grammys[[#This Row],[date]],mobile_visits[date],mobile_visits[mobile_visitors],0)</f>
        <v>0</v>
      </c>
      <c r="O324" s="1">
        <v>44915</v>
      </c>
      <c r="P324">
        <v>12291</v>
      </c>
    </row>
    <row r="325" spans="1:16">
      <c r="A325" s="1">
        <v>43059</v>
      </c>
      <c r="B325">
        <v>14931</v>
      </c>
      <c r="C325">
        <v>25053</v>
      </c>
      <c r="D325">
        <v>15967</v>
      </c>
      <c r="E325">
        <v>9094</v>
      </c>
      <c r="F325">
        <v>79</v>
      </c>
      <c r="G325" t="s">
        <v>9</v>
      </c>
      <c r="H325" t="str" cm="1">
        <f t="array" ref="H325">_xlfn.IFS(Grammys[[#This Row],[date]] &gt;= DATE(2022,2,1),"Grammys",TRUE,"Grammys TRA")</f>
        <v>Grammys TRA</v>
      </c>
      <c r="I325">
        <f>_xlfn.XLOOKUP(Grammys[[#This Row],[date]],mobile_visits[date],mobile_visits[mobile_visitors],0)</f>
        <v>0</v>
      </c>
      <c r="O325" s="1">
        <v>44916</v>
      </c>
      <c r="P325">
        <v>25316</v>
      </c>
    </row>
    <row r="326" spans="1:16">
      <c r="A326" s="1">
        <v>43060</v>
      </c>
      <c r="B326">
        <v>12791</v>
      </c>
      <c r="C326">
        <v>21783</v>
      </c>
      <c r="D326">
        <v>13754</v>
      </c>
      <c r="E326">
        <v>7734</v>
      </c>
      <c r="F326">
        <v>82</v>
      </c>
      <c r="G326" t="s">
        <v>9</v>
      </c>
      <c r="H326" t="str" cm="1">
        <f t="array" ref="H326">_xlfn.IFS(Grammys[[#This Row],[date]] &gt;= DATE(2022,2,1),"Grammys",TRUE,"Grammys TRA")</f>
        <v>Grammys TRA</v>
      </c>
      <c r="I326">
        <f>_xlfn.XLOOKUP(Grammys[[#This Row],[date]],mobile_visits[date],mobile_visits[mobile_visitors],0)</f>
        <v>0</v>
      </c>
      <c r="O326" s="1">
        <v>44917</v>
      </c>
      <c r="P326">
        <v>19208</v>
      </c>
    </row>
    <row r="327" spans="1:16">
      <c r="A327" s="1">
        <v>43061</v>
      </c>
      <c r="B327">
        <v>12236</v>
      </c>
      <c r="C327">
        <v>20360</v>
      </c>
      <c r="D327">
        <v>13002</v>
      </c>
      <c r="E327">
        <v>7301</v>
      </c>
      <c r="F327">
        <v>79</v>
      </c>
      <c r="G327" t="s">
        <v>9</v>
      </c>
      <c r="H327" t="str" cm="1">
        <f t="array" ref="H327">_xlfn.IFS(Grammys[[#This Row],[date]] &gt;= DATE(2022,2,1),"Grammys",TRUE,"Grammys TRA")</f>
        <v>Grammys TRA</v>
      </c>
      <c r="I327">
        <f>_xlfn.XLOOKUP(Grammys[[#This Row],[date]],mobile_visits[date],mobile_visits[mobile_visitors],0)</f>
        <v>0</v>
      </c>
      <c r="O327" s="1">
        <v>44918</v>
      </c>
      <c r="P327">
        <v>15919</v>
      </c>
    </row>
    <row r="328" spans="1:16">
      <c r="A328" s="1">
        <v>43062</v>
      </c>
      <c r="B328">
        <v>10864</v>
      </c>
      <c r="C328">
        <v>18114</v>
      </c>
      <c r="D328">
        <v>11592</v>
      </c>
      <c r="E328">
        <v>6672</v>
      </c>
      <c r="F328">
        <v>77</v>
      </c>
      <c r="G328" t="s">
        <v>9</v>
      </c>
      <c r="H328" t="str" cm="1">
        <f t="array" ref="H328">_xlfn.IFS(Grammys[[#This Row],[date]] &gt;= DATE(2022,2,1),"Grammys",TRUE,"Grammys TRA")</f>
        <v>Grammys TRA</v>
      </c>
      <c r="I328">
        <f>_xlfn.XLOOKUP(Grammys[[#This Row],[date]],mobile_visits[date],mobile_visits[mobile_visitors],0)</f>
        <v>0</v>
      </c>
      <c r="O328" s="1">
        <v>44919</v>
      </c>
      <c r="P328">
        <v>13140</v>
      </c>
    </row>
    <row r="329" spans="1:16">
      <c r="A329" s="1">
        <v>43063</v>
      </c>
      <c r="B329">
        <v>23292</v>
      </c>
      <c r="C329">
        <v>40067</v>
      </c>
      <c r="D329">
        <v>24849</v>
      </c>
      <c r="E329">
        <v>13981</v>
      </c>
      <c r="F329">
        <v>87</v>
      </c>
      <c r="G329" t="s">
        <v>9</v>
      </c>
      <c r="H329" t="str" cm="1">
        <f t="array" ref="H329">_xlfn.IFS(Grammys[[#This Row],[date]] &gt;= DATE(2022,2,1),"Grammys",TRUE,"Grammys TRA")</f>
        <v>Grammys TRA</v>
      </c>
      <c r="I329">
        <f>_xlfn.XLOOKUP(Grammys[[#This Row],[date]],mobile_visits[date],mobile_visits[mobile_visitors],0)</f>
        <v>0</v>
      </c>
      <c r="O329" s="1">
        <v>44920</v>
      </c>
      <c r="P329">
        <v>12408</v>
      </c>
    </row>
    <row r="330" spans="1:16">
      <c r="A330" s="1">
        <v>43064</v>
      </c>
      <c r="B330">
        <v>18064</v>
      </c>
      <c r="C330">
        <v>31300</v>
      </c>
      <c r="D330">
        <v>19562</v>
      </c>
      <c r="E330">
        <v>11352</v>
      </c>
      <c r="F330">
        <v>81</v>
      </c>
      <c r="G330" t="s">
        <v>9</v>
      </c>
      <c r="H330" t="str" cm="1">
        <f t="array" ref="H330">_xlfn.IFS(Grammys[[#This Row],[date]] &gt;= DATE(2022,2,1),"Grammys",TRUE,"Grammys TRA")</f>
        <v>Grammys TRA</v>
      </c>
      <c r="I330">
        <f>_xlfn.XLOOKUP(Grammys[[#This Row],[date]],mobile_visits[date],mobile_visits[mobile_visitors],0)</f>
        <v>0</v>
      </c>
      <c r="O330" s="1">
        <v>44921</v>
      </c>
      <c r="P330">
        <v>12416</v>
      </c>
    </row>
    <row r="331" spans="1:16">
      <c r="A331" s="1">
        <v>43065</v>
      </c>
      <c r="B331">
        <v>18299</v>
      </c>
      <c r="C331">
        <v>31854</v>
      </c>
      <c r="D331">
        <v>19972</v>
      </c>
      <c r="E331">
        <v>11526</v>
      </c>
      <c r="F331">
        <v>80</v>
      </c>
      <c r="G331" t="s">
        <v>9</v>
      </c>
      <c r="H331" t="str" cm="1">
        <f t="array" ref="H331">_xlfn.IFS(Grammys[[#This Row],[date]] &gt;= DATE(2022,2,1),"Grammys",TRUE,"Grammys TRA")</f>
        <v>Grammys TRA</v>
      </c>
      <c r="I331">
        <f>_xlfn.XLOOKUP(Grammys[[#This Row],[date]],mobile_visits[date],mobile_visits[mobile_visitors],0)</f>
        <v>0</v>
      </c>
      <c r="O331" s="1">
        <v>44922</v>
      </c>
      <c r="P331">
        <v>12283</v>
      </c>
    </row>
    <row r="332" spans="1:16">
      <c r="A332" s="1">
        <v>43066</v>
      </c>
      <c r="B332">
        <v>33554</v>
      </c>
      <c r="C332">
        <v>59979</v>
      </c>
      <c r="D332">
        <v>37230</v>
      </c>
      <c r="E332">
        <v>21251</v>
      </c>
      <c r="F332">
        <v>82</v>
      </c>
      <c r="G332" t="s">
        <v>9</v>
      </c>
      <c r="H332" t="str" cm="1">
        <f t="array" ref="H332">_xlfn.IFS(Grammys[[#This Row],[date]] &gt;= DATE(2022,2,1),"Grammys",TRUE,"Grammys TRA")</f>
        <v>Grammys TRA</v>
      </c>
      <c r="I332">
        <f>_xlfn.XLOOKUP(Grammys[[#This Row],[date]],mobile_visits[date],mobile_visits[mobile_visitors],0)</f>
        <v>0</v>
      </c>
      <c r="O332" s="1">
        <v>44923</v>
      </c>
      <c r="P332">
        <v>15716</v>
      </c>
    </row>
    <row r="333" spans="1:16">
      <c r="A333" s="1">
        <v>43067</v>
      </c>
      <c r="B333">
        <v>651685</v>
      </c>
      <c r="C333">
        <v>1356165</v>
      </c>
      <c r="D333">
        <v>736434</v>
      </c>
      <c r="E333">
        <v>393993</v>
      </c>
      <c r="F333">
        <v>103</v>
      </c>
      <c r="G333" t="s">
        <v>10</v>
      </c>
      <c r="H333" t="str" cm="1">
        <f t="array" ref="H333">_xlfn.IFS(Grammys[[#This Row],[date]] &gt;= DATE(2022,2,1),"Grammys",TRUE,"Grammys TRA")</f>
        <v>Grammys TRA</v>
      </c>
      <c r="I333">
        <f>_xlfn.XLOOKUP(Grammys[[#This Row],[date]],mobile_visits[date],mobile_visits[mobile_visitors],0)</f>
        <v>0</v>
      </c>
      <c r="O333" s="1">
        <v>44924</v>
      </c>
      <c r="P333">
        <v>15168</v>
      </c>
    </row>
    <row r="334" spans="1:16">
      <c r="A334" s="1">
        <v>43068</v>
      </c>
      <c r="B334">
        <v>151892</v>
      </c>
      <c r="C334">
        <v>291230</v>
      </c>
      <c r="D334">
        <v>166307</v>
      </c>
      <c r="E334">
        <v>77766</v>
      </c>
      <c r="F334">
        <v>94</v>
      </c>
      <c r="G334" t="s">
        <v>9</v>
      </c>
      <c r="H334" t="str" cm="1">
        <f t="array" ref="H334">_xlfn.IFS(Grammys[[#This Row],[date]] &gt;= DATE(2022,2,1),"Grammys",TRUE,"Grammys TRA")</f>
        <v>Grammys TRA</v>
      </c>
      <c r="I334">
        <f>_xlfn.XLOOKUP(Grammys[[#This Row],[date]],mobile_visits[date],mobile_visits[mobile_visitors],0)</f>
        <v>0</v>
      </c>
      <c r="O334" s="1">
        <v>44925</v>
      </c>
      <c r="P334">
        <v>14673</v>
      </c>
    </row>
    <row r="335" spans="1:16">
      <c r="A335" s="1">
        <v>43069</v>
      </c>
      <c r="B335">
        <v>69378</v>
      </c>
      <c r="C335">
        <v>130091</v>
      </c>
      <c r="D335">
        <v>75856</v>
      </c>
      <c r="E335">
        <v>35152</v>
      </c>
      <c r="F335">
        <v>95</v>
      </c>
      <c r="G335" t="s">
        <v>9</v>
      </c>
      <c r="H335" t="str" cm="1">
        <f t="array" ref="H335">_xlfn.IFS(Grammys[[#This Row],[date]] &gt;= DATE(2022,2,1),"Grammys",TRUE,"Grammys TRA")</f>
        <v>Grammys TRA</v>
      </c>
      <c r="I335">
        <f>_xlfn.XLOOKUP(Grammys[[#This Row],[date]],mobile_visits[date],mobile_visits[mobile_visitors],0)</f>
        <v>0</v>
      </c>
      <c r="O335" s="1">
        <v>44926</v>
      </c>
      <c r="P335">
        <v>22344</v>
      </c>
    </row>
    <row r="336" spans="1:16">
      <c r="A336" s="1">
        <v>43070</v>
      </c>
      <c r="B336">
        <v>43886</v>
      </c>
      <c r="C336">
        <v>81894</v>
      </c>
      <c r="D336">
        <v>47014</v>
      </c>
      <c r="E336">
        <v>23037</v>
      </c>
      <c r="F336">
        <v>92</v>
      </c>
      <c r="G336" t="s">
        <v>9</v>
      </c>
      <c r="H336" t="str" cm="1">
        <f t="array" ref="H336">_xlfn.IFS(Grammys[[#This Row],[date]] &gt;= DATE(2022,2,1),"Grammys",TRUE,"Grammys TRA")</f>
        <v>Grammys TRA</v>
      </c>
      <c r="I336">
        <f>_xlfn.XLOOKUP(Grammys[[#This Row],[date]],mobile_visits[date],mobile_visits[mobile_visitors],0)</f>
        <v>0</v>
      </c>
      <c r="O336" s="1">
        <v>44927</v>
      </c>
      <c r="P336">
        <v>18542</v>
      </c>
    </row>
    <row r="337" spans="1:16">
      <c r="A337" s="1">
        <v>43071</v>
      </c>
      <c r="B337">
        <v>33267</v>
      </c>
      <c r="C337">
        <v>64605</v>
      </c>
      <c r="D337">
        <v>36312</v>
      </c>
      <c r="E337">
        <v>17419</v>
      </c>
      <c r="F337">
        <v>94</v>
      </c>
      <c r="G337" t="s">
        <v>9</v>
      </c>
      <c r="H337" t="str" cm="1">
        <f t="array" ref="H337">_xlfn.IFS(Grammys[[#This Row],[date]] &gt;= DATE(2022,2,1),"Grammys",TRUE,"Grammys TRA")</f>
        <v>Grammys TRA</v>
      </c>
      <c r="I337">
        <f>_xlfn.XLOOKUP(Grammys[[#This Row],[date]],mobile_visits[date],mobile_visits[mobile_visitors],0)</f>
        <v>0</v>
      </c>
      <c r="O337" s="1">
        <v>44928</v>
      </c>
      <c r="P337">
        <v>16567</v>
      </c>
    </row>
    <row r="338" spans="1:16">
      <c r="A338" s="1">
        <v>43072</v>
      </c>
      <c r="B338">
        <v>30193</v>
      </c>
      <c r="C338">
        <v>57946</v>
      </c>
      <c r="D338">
        <v>32674</v>
      </c>
      <c r="E338">
        <v>15599</v>
      </c>
      <c r="F338">
        <v>97</v>
      </c>
      <c r="G338" t="s">
        <v>9</v>
      </c>
      <c r="H338" t="str" cm="1">
        <f t="array" ref="H338">_xlfn.IFS(Grammys[[#This Row],[date]] &gt;= DATE(2022,2,1),"Grammys",TRUE,"Grammys TRA")</f>
        <v>Grammys TRA</v>
      </c>
      <c r="I338">
        <f>_xlfn.XLOOKUP(Grammys[[#This Row],[date]],mobile_visits[date],mobile_visits[mobile_visitors],0)</f>
        <v>0</v>
      </c>
      <c r="O338" s="1">
        <v>44929</v>
      </c>
      <c r="P338">
        <v>16684</v>
      </c>
    </row>
    <row r="339" spans="1:16">
      <c r="A339" s="1">
        <v>43073</v>
      </c>
      <c r="B339">
        <v>32442</v>
      </c>
      <c r="C339">
        <v>57595</v>
      </c>
      <c r="D339">
        <v>34667</v>
      </c>
      <c r="E339">
        <v>16284</v>
      </c>
      <c r="F339">
        <v>95</v>
      </c>
      <c r="G339" t="s">
        <v>9</v>
      </c>
      <c r="H339" t="str" cm="1">
        <f t="array" ref="H339">_xlfn.IFS(Grammys[[#This Row],[date]] &gt;= DATE(2022,2,1),"Grammys",TRUE,"Grammys TRA")</f>
        <v>Grammys TRA</v>
      </c>
      <c r="I339">
        <f>_xlfn.XLOOKUP(Grammys[[#This Row],[date]],mobile_visits[date],mobile_visits[mobile_visitors],0)</f>
        <v>0</v>
      </c>
      <c r="O339" s="1">
        <v>44930</v>
      </c>
      <c r="P339">
        <v>19448</v>
      </c>
    </row>
    <row r="340" spans="1:16">
      <c r="A340" s="1">
        <v>43074</v>
      </c>
      <c r="B340">
        <v>28658</v>
      </c>
      <c r="C340">
        <v>54728</v>
      </c>
      <c r="D340">
        <v>30829</v>
      </c>
      <c r="E340">
        <v>14484</v>
      </c>
      <c r="F340">
        <v>104</v>
      </c>
      <c r="G340" t="s">
        <v>9</v>
      </c>
      <c r="H340" t="str" cm="1">
        <f t="array" ref="H340">_xlfn.IFS(Grammys[[#This Row],[date]] &gt;= DATE(2022,2,1),"Grammys",TRUE,"Grammys TRA")</f>
        <v>Grammys TRA</v>
      </c>
      <c r="I340">
        <f>_xlfn.XLOOKUP(Grammys[[#This Row],[date]],mobile_visits[date],mobile_visits[mobile_visitors],0)</f>
        <v>0</v>
      </c>
      <c r="O340" s="1">
        <v>44931</v>
      </c>
      <c r="P340">
        <v>27265</v>
      </c>
    </row>
    <row r="341" spans="1:16">
      <c r="A341" s="1">
        <v>43075</v>
      </c>
      <c r="B341">
        <v>23004</v>
      </c>
      <c r="C341">
        <v>44176</v>
      </c>
      <c r="D341">
        <v>24668</v>
      </c>
      <c r="E341">
        <v>12312</v>
      </c>
      <c r="F341">
        <v>99</v>
      </c>
      <c r="G341" t="s">
        <v>9</v>
      </c>
      <c r="H341" t="str" cm="1">
        <f t="array" ref="H341">_xlfn.IFS(Grammys[[#This Row],[date]] &gt;= DATE(2022,2,1),"Grammys",TRUE,"Grammys TRA")</f>
        <v>Grammys TRA</v>
      </c>
      <c r="I341">
        <f>_xlfn.XLOOKUP(Grammys[[#This Row],[date]],mobile_visits[date],mobile_visits[mobile_visitors],0)</f>
        <v>0</v>
      </c>
      <c r="O341" s="1">
        <v>44932</v>
      </c>
      <c r="P341">
        <v>19012</v>
      </c>
    </row>
    <row r="342" spans="1:16">
      <c r="A342" s="1">
        <v>43076</v>
      </c>
      <c r="B342">
        <v>19854</v>
      </c>
      <c r="C342">
        <v>38197</v>
      </c>
      <c r="D342">
        <v>21405</v>
      </c>
      <c r="E342">
        <v>10720</v>
      </c>
      <c r="F342">
        <v>101</v>
      </c>
      <c r="G342" t="s">
        <v>9</v>
      </c>
      <c r="H342" t="str" cm="1">
        <f t="array" ref="H342">_xlfn.IFS(Grammys[[#This Row],[date]] &gt;= DATE(2022,2,1),"Grammys",TRUE,"Grammys TRA")</f>
        <v>Grammys TRA</v>
      </c>
      <c r="I342">
        <f>_xlfn.XLOOKUP(Grammys[[#This Row],[date]],mobile_visits[date],mobile_visits[mobile_visitors],0)</f>
        <v>0</v>
      </c>
      <c r="O342" s="1">
        <v>44933</v>
      </c>
      <c r="P342">
        <v>18131</v>
      </c>
    </row>
    <row r="343" spans="1:16">
      <c r="A343" s="1">
        <v>43077</v>
      </c>
      <c r="B343">
        <v>18452</v>
      </c>
      <c r="C343">
        <v>35631</v>
      </c>
      <c r="D343">
        <v>19933</v>
      </c>
      <c r="E343">
        <v>9977</v>
      </c>
      <c r="F343">
        <v>94</v>
      </c>
      <c r="G343" t="s">
        <v>9</v>
      </c>
      <c r="H343" t="str" cm="1">
        <f t="array" ref="H343">_xlfn.IFS(Grammys[[#This Row],[date]] &gt;= DATE(2022,2,1),"Grammys",TRUE,"Grammys TRA")</f>
        <v>Grammys TRA</v>
      </c>
      <c r="I343">
        <f>_xlfn.XLOOKUP(Grammys[[#This Row],[date]],mobile_visits[date],mobile_visits[mobile_visitors],0)</f>
        <v>0</v>
      </c>
      <c r="O343" s="1">
        <v>44934</v>
      </c>
      <c r="P343">
        <v>18695</v>
      </c>
    </row>
    <row r="344" spans="1:16">
      <c r="A344" s="1">
        <v>43078</v>
      </c>
      <c r="B344">
        <v>17505</v>
      </c>
      <c r="C344">
        <v>32535</v>
      </c>
      <c r="D344">
        <v>18859</v>
      </c>
      <c r="E344">
        <v>9285</v>
      </c>
      <c r="F344">
        <v>91</v>
      </c>
      <c r="G344" t="s">
        <v>9</v>
      </c>
      <c r="H344" t="str" cm="1">
        <f t="array" ref="H344">_xlfn.IFS(Grammys[[#This Row],[date]] &gt;= DATE(2022,2,1),"Grammys",TRUE,"Grammys TRA")</f>
        <v>Grammys TRA</v>
      </c>
      <c r="I344">
        <f>_xlfn.XLOOKUP(Grammys[[#This Row],[date]],mobile_visits[date],mobile_visits[mobile_visitors],0)</f>
        <v>0</v>
      </c>
      <c r="O344" s="1">
        <v>44935</v>
      </c>
      <c r="P344">
        <v>15812</v>
      </c>
    </row>
    <row r="345" spans="1:16">
      <c r="A345" s="1">
        <v>43079</v>
      </c>
      <c r="B345">
        <v>17192</v>
      </c>
      <c r="C345">
        <v>31925</v>
      </c>
      <c r="D345">
        <v>18287</v>
      </c>
      <c r="E345">
        <v>9170</v>
      </c>
      <c r="F345">
        <v>95</v>
      </c>
      <c r="G345" t="s">
        <v>9</v>
      </c>
      <c r="H345" t="str" cm="1">
        <f t="array" ref="H345">_xlfn.IFS(Grammys[[#This Row],[date]] &gt;= DATE(2022,2,1),"Grammys",TRUE,"Grammys TRA")</f>
        <v>Grammys TRA</v>
      </c>
      <c r="I345">
        <f>_xlfn.XLOOKUP(Grammys[[#This Row],[date]],mobile_visits[date],mobile_visits[mobile_visitors],0)</f>
        <v>0</v>
      </c>
      <c r="O345" s="1">
        <v>44936</v>
      </c>
      <c r="P345">
        <v>19870</v>
      </c>
    </row>
    <row r="346" spans="1:16">
      <c r="A346" s="1">
        <v>43080</v>
      </c>
      <c r="B346">
        <v>20143</v>
      </c>
      <c r="C346">
        <v>38096</v>
      </c>
      <c r="D346">
        <v>21751</v>
      </c>
      <c r="E346">
        <v>10650</v>
      </c>
      <c r="F346">
        <v>90</v>
      </c>
      <c r="G346" t="s">
        <v>9</v>
      </c>
      <c r="H346" t="str" cm="1">
        <f t="array" ref="H346">_xlfn.IFS(Grammys[[#This Row],[date]] &gt;= DATE(2022,2,1),"Grammys",TRUE,"Grammys TRA")</f>
        <v>Grammys TRA</v>
      </c>
      <c r="I346">
        <f>_xlfn.XLOOKUP(Grammys[[#This Row],[date]],mobile_visits[date],mobile_visits[mobile_visitors],0)</f>
        <v>0</v>
      </c>
      <c r="O346" s="1">
        <v>44937</v>
      </c>
      <c r="P346">
        <v>22150</v>
      </c>
    </row>
    <row r="347" spans="1:16">
      <c r="A347" s="1">
        <v>43081</v>
      </c>
      <c r="B347">
        <v>19649</v>
      </c>
      <c r="C347">
        <v>35942</v>
      </c>
      <c r="D347">
        <v>21042</v>
      </c>
      <c r="E347">
        <v>10166</v>
      </c>
      <c r="F347">
        <v>94</v>
      </c>
      <c r="G347" t="s">
        <v>9</v>
      </c>
      <c r="H347" t="str" cm="1">
        <f t="array" ref="H347">_xlfn.IFS(Grammys[[#This Row],[date]] &gt;= DATE(2022,2,1),"Grammys",TRUE,"Grammys TRA")</f>
        <v>Grammys TRA</v>
      </c>
      <c r="I347">
        <f>_xlfn.XLOOKUP(Grammys[[#This Row],[date]],mobile_visits[date],mobile_visits[mobile_visitors],0)</f>
        <v>0</v>
      </c>
      <c r="O347" s="1">
        <v>44938</v>
      </c>
      <c r="P347">
        <v>19935</v>
      </c>
    </row>
    <row r="348" spans="1:16">
      <c r="A348" s="1">
        <v>43082</v>
      </c>
      <c r="B348">
        <v>20747</v>
      </c>
      <c r="C348">
        <v>38030</v>
      </c>
      <c r="D348">
        <v>22322</v>
      </c>
      <c r="E348">
        <v>10599</v>
      </c>
      <c r="F348">
        <v>104</v>
      </c>
      <c r="G348" t="s">
        <v>9</v>
      </c>
      <c r="H348" t="str" cm="1">
        <f t="array" ref="H348">_xlfn.IFS(Grammys[[#This Row],[date]] &gt;= DATE(2022,2,1),"Grammys",TRUE,"Grammys TRA")</f>
        <v>Grammys TRA</v>
      </c>
      <c r="I348">
        <f>_xlfn.XLOOKUP(Grammys[[#This Row],[date]],mobile_visits[date],mobile_visits[mobile_visitors],0)</f>
        <v>0</v>
      </c>
      <c r="O348" s="1">
        <v>44939</v>
      </c>
      <c r="P348">
        <v>18744</v>
      </c>
    </row>
    <row r="349" spans="1:16">
      <c r="A349" s="1">
        <v>43083</v>
      </c>
      <c r="B349">
        <v>17891</v>
      </c>
      <c r="C349">
        <v>31010</v>
      </c>
      <c r="D349">
        <v>19140</v>
      </c>
      <c r="E349">
        <v>9475</v>
      </c>
      <c r="F349">
        <v>90</v>
      </c>
      <c r="G349" t="s">
        <v>9</v>
      </c>
      <c r="H349" t="str" cm="1">
        <f t="array" ref="H349">_xlfn.IFS(Grammys[[#This Row],[date]] &gt;= DATE(2022,2,1),"Grammys",TRUE,"Grammys TRA")</f>
        <v>Grammys TRA</v>
      </c>
      <c r="I349">
        <f>_xlfn.XLOOKUP(Grammys[[#This Row],[date]],mobile_visits[date],mobile_visits[mobile_visitors],0)</f>
        <v>0</v>
      </c>
      <c r="O349" s="1">
        <v>44940</v>
      </c>
      <c r="P349">
        <v>19072</v>
      </c>
    </row>
    <row r="350" spans="1:16">
      <c r="A350" s="1">
        <v>43084</v>
      </c>
      <c r="B350">
        <v>18934</v>
      </c>
      <c r="C350">
        <v>31789</v>
      </c>
      <c r="D350">
        <v>20364</v>
      </c>
      <c r="E350">
        <v>9981</v>
      </c>
      <c r="F350">
        <v>87</v>
      </c>
      <c r="G350" t="s">
        <v>9</v>
      </c>
      <c r="H350" t="str" cm="1">
        <f t="array" ref="H350">_xlfn.IFS(Grammys[[#This Row],[date]] &gt;= DATE(2022,2,1),"Grammys",TRUE,"Grammys TRA")</f>
        <v>Grammys TRA</v>
      </c>
      <c r="I350">
        <f>_xlfn.XLOOKUP(Grammys[[#This Row],[date]],mobile_visits[date],mobile_visits[mobile_visitors],0)</f>
        <v>0</v>
      </c>
      <c r="O350" s="1">
        <v>44941</v>
      </c>
      <c r="P350">
        <v>20586</v>
      </c>
    </row>
    <row r="351" spans="1:16">
      <c r="A351" s="1">
        <v>43085</v>
      </c>
      <c r="B351">
        <v>17759</v>
      </c>
      <c r="C351">
        <v>29059</v>
      </c>
      <c r="D351">
        <v>19142</v>
      </c>
      <c r="E351">
        <v>9675</v>
      </c>
      <c r="F351">
        <v>86</v>
      </c>
      <c r="G351" t="s">
        <v>9</v>
      </c>
      <c r="H351" t="str" cm="1">
        <f t="array" ref="H351">_xlfn.IFS(Grammys[[#This Row],[date]] &gt;= DATE(2022,2,1),"Grammys",TRUE,"Grammys TRA")</f>
        <v>Grammys TRA</v>
      </c>
      <c r="I351">
        <f>_xlfn.XLOOKUP(Grammys[[#This Row],[date]],mobile_visits[date],mobile_visits[mobile_visitors],0)</f>
        <v>0</v>
      </c>
      <c r="O351" s="1">
        <v>44942</v>
      </c>
      <c r="P351">
        <v>18068</v>
      </c>
    </row>
    <row r="352" spans="1:16">
      <c r="A352" s="1">
        <v>43086</v>
      </c>
      <c r="B352">
        <v>19076</v>
      </c>
      <c r="C352">
        <v>31423</v>
      </c>
      <c r="D352">
        <v>20321</v>
      </c>
      <c r="E352">
        <v>11657</v>
      </c>
      <c r="F352">
        <v>77</v>
      </c>
      <c r="G352" t="s">
        <v>9</v>
      </c>
      <c r="H352" t="str" cm="1">
        <f t="array" ref="H352">_xlfn.IFS(Grammys[[#This Row],[date]] &gt;= DATE(2022,2,1),"Grammys",TRUE,"Grammys TRA")</f>
        <v>Grammys TRA</v>
      </c>
      <c r="I352">
        <f>_xlfn.XLOOKUP(Grammys[[#This Row],[date]],mobile_visits[date],mobile_visits[mobile_visitors],0)</f>
        <v>0</v>
      </c>
      <c r="O352" s="1">
        <v>44943</v>
      </c>
      <c r="P352">
        <v>13904</v>
      </c>
    </row>
    <row r="353" spans="1:16">
      <c r="A353" s="1">
        <v>43087</v>
      </c>
      <c r="B353">
        <v>15658</v>
      </c>
      <c r="C353">
        <v>27831</v>
      </c>
      <c r="D353">
        <v>16734</v>
      </c>
      <c r="E353">
        <v>8719</v>
      </c>
      <c r="F353">
        <v>91</v>
      </c>
      <c r="G353" t="s">
        <v>9</v>
      </c>
      <c r="H353" t="str" cm="1">
        <f t="array" ref="H353">_xlfn.IFS(Grammys[[#This Row],[date]] &gt;= DATE(2022,2,1),"Grammys",TRUE,"Grammys TRA")</f>
        <v>Grammys TRA</v>
      </c>
      <c r="I353">
        <f>_xlfn.XLOOKUP(Grammys[[#This Row],[date]],mobile_visits[date],mobile_visits[mobile_visitors],0)</f>
        <v>0</v>
      </c>
      <c r="O353" s="1">
        <v>44944</v>
      </c>
      <c r="P353">
        <v>16311</v>
      </c>
    </row>
    <row r="354" spans="1:16">
      <c r="A354" s="1">
        <v>43088</v>
      </c>
      <c r="B354">
        <v>16432</v>
      </c>
      <c r="C354">
        <v>40908</v>
      </c>
      <c r="D354">
        <v>17607</v>
      </c>
      <c r="E354">
        <v>7464</v>
      </c>
      <c r="F354">
        <v>102</v>
      </c>
      <c r="G354" t="s">
        <v>9</v>
      </c>
      <c r="H354" t="str" cm="1">
        <f t="array" ref="H354">_xlfn.IFS(Grammys[[#This Row],[date]] &gt;= DATE(2022,2,1),"Grammys",TRUE,"Grammys TRA")</f>
        <v>Grammys TRA</v>
      </c>
      <c r="I354">
        <f>_xlfn.XLOOKUP(Grammys[[#This Row],[date]],mobile_visits[date],mobile_visits[mobile_visitors],0)</f>
        <v>0</v>
      </c>
      <c r="O354" s="1">
        <v>44945</v>
      </c>
      <c r="P354">
        <v>18633</v>
      </c>
    </row>
    <row r="355" spans="1:16">
      <c r="A355" s="1">
        <v>43089</v>
      </c>
      <c r="B355">
        <v>14018</v>
      </c>
      <c r="C355">
        <v>35375</v>
      </c>
      <c r="D355">
        <v>15251</v>
      </c>
      <c r="E355">
        <v>6441</v>
      </c>
      <c r="F355">
        <v>109</v>
      </c>
      <c r="G355" t="s">
        <v>9</v>
      </c>
      <c r="H355" t="str" cm="1">
        <f t="array" ref="H355">_xlfn.IFS(Grammys[[#This Row],[date]] &gt;= DATE(2022,2,1),"Grammys",TRUE,"Grammys TRA")</f>
        <v>Grammys TRA</v>
      </c>
      <c r="I355">
        <f>_xlfn.XLOOKUP(Grammys[[#This Row],[date]],mobile_visits[date],mobile_visits[mobile_visitors],0)</f>
        <v>0</v>
      </c>
      <c r="O355" s="1">
        <v>44946</v>
      </c>
      <c r="P355">
        <v>17152</v>
      </c>
    </row>
    <row r="356" spans="1:16">
      <c r="A356" s="1">
        <v>43090</v>
      </c>
      <c r="B356">
        <v>14476</v>
      </c>
      <c r="C356">
        <v>37403</v>
      </c>
      <c r="D356">
        <v>15696</v>
      </c>
      <c r="E356">
        <v>6467</v>
      </c>
      <c r="F356">
        <v>112</v>
      </c>
      <c r="G356" t="s">
        <v>9</v>
      </c>
      <c r="H356" t="str" cm="1">
        <f t="array" ref="H356">_xlfn.IFS(Grammys[[#This Row],[date]] &gt;= DATE(2022,2,1),"Grammys",TRUE,"Grammys TRA")</f>
        <v>Grammys TRA</v>
      </c>
      <c r="I356">
        <f>_xlfn.XLOOKUP(Grammys[[#This Row],[date]],mobile_visits[date],mobile_visits[mobile_visitors],0)</f>
        <v>0</v>
      </c>
      <c r="O356" s="1">
        <v>44947</v>
      </c>
      <c r="P356">
        <v>19191</v>
      </c>
    </row>
    <row r="357" spans="1:16">
      <c r="A357" s="1">
        <v>43091</v>
      </c>
      <c r="B357">
        <v>12812</v>
      </c>
      <c r="C357">
        <v>33500</v>
      </c>
      <c r="D357">
        <v>13999</v>
      </c>
      <c r="E357">
        <v>5897</v>
      </c>
      <c r="F357">
        <v>101</v>
      </c>
      <c r="G357" t="s">
        <v>9</v>
      </c>
      <c r="H357" t="str" cm="1">
        <f t="array" ref="H357">_xlfn.IFS(Grammys[[#This Row],[date]] &gt;= DATE(2022,2,1),"Grammys",TRUE,"Grammys TRA")</f>
        <v>Grammys TRA</v>
      </c>
      <c r="I357">
        <f>_xlfn.XLOOKUP(Grammys[[#This Row],[date]],mobile_visits[date],mobile_visits[mobile_visitors],0)</f>
        <v>0</v>
      </c>
      <c r="O357" s="1">
        <v>44948</v>
      </c>
      <c r="P357">
        <v>32862</v>
      </c>
    </row>
    <row r="358" spans="1:16">
      <c r="A358" s="1">
        <v>43092</v>
      </c>
      <c r="B358">
        <v>13783</v>
      </c>
      <c r="C358">
        <v>34410</v>
      </c>
      <c r="D358">
        <v>14517</v>
      </c>
      <c r="E358">
        <v>5794</v>
      </c>
      <c r="F358">
        <v>98</v>
      </c>
      <c r="G358" t="s">
        <v>9</v>
      </c>
      <c r="H358" t="str" cm="1">
        <f t="array" ref="H358">_xlfn.IFS(Grammys[[#This Row],[date]] &gt;= DATE(2022,2,1),"Grammys",TRUE,"Grammys TRA")</f>
        <v>Grammys TRA</v>
      </c>
      <c r="I358">
        <f>_xlfn.XLOOKUP(Grammys[[#This Row],[date]],mobile_visits[date],mobile_visits[mobile_visitors],0)</f>
        <v>0</v>
      </c>
      <c r="O358" s="1">
        <v>44949</v>
      </c>
      <c r="P358">
        <v>22211</v>
      </c>
    </row>
    <row r="359" spans="1:16">
      <c r="A359" s="1">
        <v>43093</v>
      </c>
      <c r="B359">
        <v>13571</v>
      </c>
      <c r="C359">
        <v>33229</v>
      </c>
      <c r="D359">
        <v>14474</v>
      </c>
      <c r="E359">
        <v>5964</v>
      </c>
      <c r="F359">
        <v>92</v>
      </c>
      <c r="G359" t="s">
        <v>9</v>
      </c>
      <c r="H359" t="str" cm="1">
        <f t="array" ref="H359">_xlfn.IFS(Grammys[[#This Row],[date]] &gt;= DATE(2022,2,1),"Grammys",TRUE,"Grammys TRA")</f>
        <v>Grammys TRA</v>
      </c>
      <c r="I359">
        <f>_xlfn.XLOOKUP(Grammys[[#This Row],[date]],mobile_visits[date],mobile_visits[mobile_visitors],0)</f>
        <v>0</v>
      </c>
      <c r="O359" s="1">
        <v>44950</v>
      </c>
      <c r="P359">
        <v>29287</v>
      </c>
    </row>
    <row r="360" spans="1:16">
      <c r="A360" s="1">
        <v>43094</v>
      </c>
      <c r="B360">
        <v>10744</v>
      </c>
      <c r="C360">
        <v>27092</v>
      </c>
      <c r="D360">
        <v>11641</v>
      </c>
      <c r="E360">
        <v>5055</v>
      </c>
      <c r="F360">
        <v>97</v>
      </c>
      <c r="G360" t="s">
        <v>9</v>
      </c>
      <c r="H360" t="str" cm="1">
        <f t="array" ref="H360">_xlfn.IFS(Grammys[[#This Row],[date]] &gt;= DATE(2022,2,1),"Grammys",TRUE,"Grammys TRA")</f>
        <v>Grammys TRA</v>
      </c>
      <c r="I360">
        <f>_xlfn.XLOOKUP(Grammys[[#This Row],[date]],mobile_visits[date],mobile_visits[mobile_visitors],0)</f>
        <v>0</v>
      </c>
      <c r="O360" s="1">
        <v>44951</v>
      </c>
      <c r="P360">
        <v>37577</v>
      </c>
    </row>
    <row r="361" spans="1:16">
      <c r="A361" s="1">
        <v>43095</v>
      </c>
      <c r="B361">
        <v>13080</v>
      </c>
      <c r="C361">
        <v>33811</v>
      </c>
      <c r="D361">
        <v>14136</v>
      </c>
      <c r="E361">
        <v>6014</v>
      </c>
      <c r="F361">
        <v>106</v>
      </c>
      <c r="G361" t="s">
        <v>9</v>
      </c>
      <c r="H361" t="str" cm="1">
        <f t="array" ref="H361">_xlfn.IFS(Grammys[[#This Row],[date]] &gt;= DATE(2022,2,1),"Grammys",TRUE,"Grammys TRA")</f>
        <v>Grammys TRA</v>
      </c>
      <c r="I361">
        <f>_xlfn.XLOOKUP(Grammys[[#This Row],[date]],mobile_visits[date],mobile_visits[mobile_visitors],0)</f>
        <v>0</v>
      </c>
      <c r="O361" s="1">
        <v>44952</v>
      </c>
      <c r="P361">
        <v>34174</v>
      </c>
    </row>
    <row r="362" spans="1:16">
      <c r="A362" s="1">
        <v>43096</v>
      </c>
      <c r="B362">
        <v>17118</v>
      </c>
      <c r="C362">
        <v>42281</v>
      </c>
      <c r="D362">
        <v>18299</v>
      </c>
      <c r="E362">
        <v>6566</v>
      </c>
      <c r="F362">
        <v>105</v>
      </c>
      <c r="G362" t="s">
        <v>9</v>
      </c>
      <c r="H362" t="str" cm="1">
        <f t="array" ref="H362">_xlfn.IFS(Grammys[[#This Row],[date]] &gt;= DATE(2022,2,1),"Grammys",TRUE,"Grammys TRA")</f>
        <v>Grammys TRA</v>
      </c>
      <c r="I362">
        <f>_xlfn.XLOOKUP(Grammys[[#This Row],[date]],mobile_visits[date],mobile_visits[mobile_visitors],0)</f>
        <v>0</v>
      </c>
      <c r="O362" s="1">
        <v>44953</v>
      </c>
      <c r="P362">
        <v>33917</v>
      </c>
    </row>
    <row r="363" spans="1:16">
      <c r="A363" s="1">
        <v>43097</v>
      </c>
      <c r="B363">
        <v>19826</v>
      </c>
      <c r="C363">
        <v>47039</v>
      </c>
      <c r="D363">
        <v>21136</v>
      </c>
      <c r="E363">
        <v>7609</v>
      </c>
      <c r="F363">
        <v>110</v>
      </c>
      <c r="G363" t="s">
        <v>9</v>
      </c>
      <c r="H363" t="str" cm="1">
        <f t="array" ref="H363">_xlfn.IFS(Grammys[[#This Row],[date]] &gt;= DATE(2022,2,1),"Grammys",TRUE,"Grammys TRA")</f>
        <v>Grammys TRA</v>
      </c>
      <c r="I363">
        <f>_xlfn.XLOOKUP(Grammys[[#This Row],[date]],mobile_visits[date],mobile_visits[mobile_visitors],0)</f>
        <v>0</v>
      </c>
      <c r="O363" s="1">
        <v>44954</v>
      </c>
      <c r="P363">
        <v>34419</v>
      </c>
    </row>
    <row r="364" spans="1:16">
      <c r="A364" s="1">
        <v>43098</v>
      </c>
      <c r="B364">
        <v>15955</v>
      </c>
      <c r="C364">
        <v>41543</v>
      </c>
      <c r="D364">
        <v>17258</v>
      </c>
      <c r="E364">
        <v>6741</v>
      </c>
      <c r="F364">
        <v>106</v>
      </c>
      <c r="G364" t="s">
        <v>9</v>
      </c>
      <c r="H364" t="str" cm="1">
        <f t="array" ref="H364">_xlfn.IFS(Grammys[[#This Row],[date]] &gt;= DATE(2022,2,1),"Grammys",TRUE,"Grammys TRA")</f>
        <v>Grammys TRA</v>
      </c>
      <c r="I364">
        <f>_xlfn.XLOOKUP(Grammys[[#This Row],[date]],mobile_visits[date],mobile_visits[mobile_visitors],0)</f>
        <v>0</v>
      </c>
      <c r="O364" s="1">
        <v>44955</v>
      </c>
      <c r="P364">
        <v>62861</v>
      </c>
    </row>
    <row r="365" spans="1:16">
      <c r="A365" s="1">
        <v>43099</v>
      </c>
      <c r="B365">
        <v>18568</v>
      </c>
      <c r="C365">
        <v>50253</v>
      </c>
      <c r="D365">
        <v>20021</v>
      </c>
      <c r="E365">
        <v>7026</v>
      </c>
      <c r="F365">
        <v>102</v>
      </c>
      <c r="G365" t="s">
        <v>9</v>
      </c>
      <c r="H365" t="str" cm="1">
        <f t="array" ref="H365">_xlfn.IFS(Grammys[[#This Row],[date]] &gt;= DATE(2022,2,1),"Grammys",TRUE,"Grammys TRA")</f>
        <v>Grammys TRA</v>
      </c>
      <c r="I365">
        <f>_xlfn.XLOOKUP(Grammys[[#This Row],[date]],mobile_visits[date],mobile_visits[mobile_visitors],0)</f>
        <v>0</v>
      </c>
      <c r="O365" s="1">
        <v>44956</v>
      </c>
      <c r="P365">
        <v>47158</v>
      </c>
    </row>
    <row r="366" spans="1:16">
      <c r="A366" s="1">
        <v>43100</v>
      </c>
      <c r="B366">
        <v>45897</v>
      </c>
      <c r="C366">
        <v>121293</v>
      </c>
      <c r="D366">
        <v>48383</v>
      </c>
      <c r="E366">
        <v>14322</v>
      </c>
      <c r="F366">
        <v>69</v>
      </c>
      <c r="G366" t="s">
        <v>9</v>
      </c>
      <c r="H366" t="str" cm="1">
        <f t="array" ref="H366">_xlfn.IFS(Grammys[[#This Row],[date]] &gt;= DATE(2022,2,1),"Grammys",TRUE,"Grammys TRA")</f>
        <v>Grammys TRA</v>
      </c>
      <c r="I366">
        <f>_xlfn.XLOOKUP(Grammys[[#This Row],[date]],mobile_visits[date],mobile_visits[mobile_visitors],0)</f>
        <v>0</v>
      </c>
      <c r="O366" s="1">
        <v>44957</v>
      </c>
      <c r="P366">
        <v>45623</v>
      </c>
    </row>
    <row r="367" spans="1:16">
      <c r="A367" s="1">
        <v>43101</v>
      </c>
      <c r="B367">
        <v>17539</v>
      </c>
      <c r="C367">
        <v>46598</v>
      </c>
      <c r="D367">
        <v>19083</v>
      </c>
      <c r="E367">
        <v>7430</v>
      </c>
      <c r="F367">
        <v>100</v>
      </c>
      <c r="G367" t="s">
        <v>9</v>
      </c>
      <c r="H367" t="str" cm="1">
        <f t="array" ref="H367">_xlfn.IFS(Grammys[[#This Row],[date]] &gt;= DATE(2022,2,1),"Grammys",TRUE,"Grammys TRA")</f>
        <v>Grammys TRA</v>
      </c>
      <c r="I367">
        <f>_xlfn.XLOOKUP(Grammys[[#This Row],[date]],mobile_visits[date],mobile_visits[mobile_visitors],0)</f>
        <v>0</v>
      </c>
      <c r="O367" s="1">
        <v>44958</v>
      </c>
      <c r="P367">
        <v>57546</v>
      </c>
    </row>
    <row r="368" spans="1:16">
      <c r="A368" s="1">
        <v>43102</v>
      </c>
      <c r="B368">
        <v>19345</v>
      </c>
      <c r="C368">
        <v>50586</v>
      </c>
      <c r="D368">
        <v>20690</v>
      </c>
      <c r="E368">
        <v>8452</v>
      </c>
      <c r="F368">
        <v>106</v>
      </c>
      <c r="G368" t="s">
        <v>9</v>
      </c>
      <c r="H368" t="str" cm="1">
        <f t="array" ref="H368">_xlfn.IFS(Grammys[[#This Row],[date]] &gt;= DATE(2022,2,1),"Grammys",TRUE,"Grammys TRA")</f>
        <v>Grammys TRA</v>
      </c>
      <c r="I368">
        <f>_xlfn.XLOOKUP(Grammys[[#This Row],[date]],mobile_visits[date],mobile_visits[mobile_visitors],0)</f>
        <v>0</v>
      </c>
      <c r="O368" s="1">
        <v>44959</v>
      </c>
      <c r="P368">
        <v>66488</v>
      </c>
    </row>
    <row r="369" spans="1:16">
      <c r="A369" s="1">
        <v>43103</v>
      </c>
      <c r="B369">
        <v>17934</v>
      </c>
      <c r="C369">
        <v>49068</v>
      </c>
      <c r="D369">
        <v>19334</v>
      </c>
      <c r="E369">
        <v>7278</v>
      </c>
      <c r="F369">
        <v>117</v>
      </c>
      <c r="G369" t="s">
        <v>9</v>
      </c>
      <c r="H369" t="str" cm="1">
        <f t="array" ref="H369">_xlfn.IFS(Grammys[[#This Row],[date]] &gt;= DATE(2022,2,1),"Grammys",TRUE,"Grammys TRA")</f>
        <v>Grammys TRA</v>
      </c>
      <c r="I369">
        <f>_xlfn.XLOOKUP(Grammys[[#This Row],[date]],mobile_visits[date],mobile_visits[mobile_visitors],0)</f>
        <v>0</v>
      </c>
      <c r="O369" s="1">
        <v>44960</v>
      </c>
      <c r="P369">
        <v>93170</v>
      </c>
    </row>
    <row r="370" spans="1:16">
      <c r="A370" s="1">
        <v>43104</v>
      </c>
      <c r="B370">
        <v>25557</v>
      </c>
      <c r="C370">
        <v>66914</v>
      </c>
      <c r="D370">
        <v>27702</v>
      </c>
      <c r="E370">
        <v>10090</v>
      </c>
      <c r="F370">
        <v>109</v>
      </c>
      <c r="G370" t="s">
        <v>9</v>
      </c>
      <c r="H370" t="str" cm="1">
        <f t="array" ref="H370">_xlfn.IFS(Grammys[[#This Row],[date]] &gt;= DATE(2022,2,1),"Grammys",TRUE,"Grammys TRA")</f>
        <v>Grammys TRA</v>
      </c>
      <c r="I370">
        <f>_xlfn.XLOOKUP(Grammys[[#This Row],[date]],mobile_visits[date],mobile_visits[mobile_visitors],0)</f>
        <v>0</v>
      </c>
      <c r="O370" s="1">
        <v>44961</v>
      </c>
      <c r="P370">
        <v>164559</v>
      </c>
    </row>
    <row r="371" spans="1:16">
      <c r="A371" s="1">
        <v>43105</v>
      </c>
      <c r="B371">
        <v>22959</v>
      </c>
      <c r="C371">
        <v>58317</v>
      </c>
      <c r="D371">
        <v>24544</v>
      </c>
      <c r="E371">
        <v>9548</v>
      </c>
      <c r="F371">
        <v>112</v>
      </c>
      <c r="G371" t="s">
        <v>9</v>
      </c>
      <c r="H371" t="str" cm="1">
        <f t="array" ref="H371">_xlfn.IFS(Grammys[[#This Row],[date]] &gt;= DATE(2022,2,1),"Grammys",TRUE,"Grammys TRA")</f>
        <v>Grammys TRA</v>
      </c>
      <c r="I371">
        <f>_xlfn.XLOOKUP(Grammys[[#This Row],[date]],mobile_visits[date],mobile_visits[mobile_visitors],0)</f>
        <v>0</v>
      </c>
      <c r="O371" s="1">
        <v>44962</v>
      </c>
      <c r="P371">
        <v>2278580</v>
      </c>
    </row>
    <row r="372" spans="1:16">
      <c r="A372" s="1">
        <v>43106</v>
      </c>
      <c r="B372">
        <v>19641</v>
      </c>
      <c r="C372">
        <v>49765</v>
      </c>
      <c r="D372">
        <v>21145</v>
      </c>
      <c r="E372">
        <v>8634</v>
      </c>
      <c r="F372">
        <v>106</v>
      </c>
      <c r="G372" t="s">
        <v>9</v>
      </c>
      <c r="H372" t="str" cm="1">
        <f t="array" ref="H372">_xlfn.IFS(Grammys[[#This Row],[date]] &gt;= DATE(2022,2,1),"Grammys",TRUE,"Grammys TRA")</f>
        <v>Grammys TRA</v>
      </c>
      <c r="I372">
        <f>_xlfn.XLOOKUP(Grammys[[#This Row],[date]],mobile_visits[date],mobile_visits[mobile_visitors],0)</f>
        <v>0</v>
      </c>
      <c r="O372" s="1">
        <v>44963</v>
      </c>
      <c r="P372">
        <v>1093047</v>
      </c>
    </row>
    <row r="373" spans="1:16">
      <c r="A373" s="1">
        <v>43107</v>
      </c>
      <c r="B373">
        <v>30527</v>
      </c>
      <c r="C373">
        <v>76914</v>
      </c>
      <c r="D373">
        <v>32303</v>
      </c>
      <c r="E373">
        <v>12127</v>
      </c>
      <c r="F373">
        <v>106</v>
      </c>
      <c r="G373" t="s">
        <v>9</v>
      </c>
      <c r="H373" t="str" cm="1">
        <f t="array" ref="H373">_xlfn.IFS(Grammys[[#This Row],[date]] &gt;= DATE(2022,2,1),"Grammys",TRUE,"Grammys TRA")</f>
        <v>Grammys TRA</v>
      </c>
      <c r="I373">
        <f>_xlfn.XLOOKUP(Grammys[[#This Row],[date]],mobile_visits[date],mobile_visits[mobile_visitors],0)</f>
        <v>0</v>
      </c>
      <c r="O373" s="1">
        <v>44964</v>
      </c>
      <c r="P373">
        <v>276837</v>
      </c>
    </row>
    <row r="374" spans="1:16">
      <c r="A374" s="1">
        <v>43108</v>
      </c>
      <c r="B374">
        <v>28132</v>
      </c>
      <c r="C374">
        <v>75583</v>
      </c>
      <c r="D374">
        <v>30176</v>
      </c>
      <c r="E374">
        <v>11359</v>
      </c>
      <c r="F374">
        <v>113</v>
      </c>
      <c r="G374" t="s">
        <v>9</v>
      </c>
      <c r="H374" t="str" cm="1">
        <f t="array" ref="H374">_xlfn.IFS(Grammys[[#This Row],[date]] &gt;= DATE(2022,2,1),"Grammys",TRUE,"Grammys TRA")</f>
        <v>Grammys TRA</v>
      </c>
      <c r="I374">
        <f>_xlfn.XLOOKUP(Grammys[[#This Row],[date]],mobile_visits[date],mobile_visits[mobile_visitors],0)</f>
        <v>0</v>
      </c>
      <c r="O374" s="1">
        <v>44965</v>
      </c>
      <c r="P374">
        <v>158349</v>
      </c>
    </row>
    <row r="375" spans="1:16">
      <c r="A375" s="1">
        <v>43109</v>
      </c>
      <c r="B375">
        <v>24612</v>
      </c>
      <c r="C375">
        <v>67847</v>
      </c>
      <c r="D375">
        <v>26838</v>
      </c>
      <c r="E375">
        <v>10204</v>
      </c>
      <c r="F375">
        <v>115</v>
      </c>
      <c r="G375" t="s">
        <v>9</v>
      </c>
      <c r="H375" t="str" cm="1">
        <f t="array" ref="H375">_xlfn.IFS(Grammys[[#This Row],[date]] &gt;= DATE(2022,2,1),"Grammys",TRUE,"Grammys TRA")</f>
        <v>Grammys TRA</v>
      </c>
      <c r="I375">
        <f>_xlfn.XLOOKUP(Grammys[[#This Row],[date]],mobile_visits[date],mobile_visits[mobile_visitors],0)</f>
        <v>0</v>
      </c>
      <c r="O375" s="1">
        <v>44966</v>
      </c>
      <c r="P375">
        <v>112519</v>
      </c>
    </row>
    <row r="376" spans="1:16">
      <c r="A376" s="1">
        <v>43110</v>
      </c>
      <c r="B376">
        <v>29739</v>
      </c>
      <c r="C376">
        <v>74447</v>
      </c>
      <c r="D376">
        <v>32079</v>
      </c>
      <c r="E376">
        <v>12479</v>
      </c>
      <c r="F376">
        <v>113</v>
      </c>
      <c r="G376" t="s">
        <v>9</v>
      </c>
      <c r="H376" t="str" cm="1">
        <f t="array" ref="H376">_xlfn.IFS(Grammys[[#This Row],[date]] &gt;= DATE(2022,2,1),"Grammys",TRUE,"Grammys TRA")</f>
        <v>Grammys TRA</v>
      </c>
      <c r="I376">
        <f>_xlfn.XLOOKUP(Grammys[[#This Row],[date]],mobile_visits[date],mobile_visits[mobile_visitors],0)</f>
        <v>0</v>
      </c>
      <c r="O376" s="1">
        <v>44967</v>
      </c>
      <c r="P376">
        <v>94314</v>
      </c>
    </row>
    <row r="377" spans="1:16">
      <c r="A377" s="1">
        <v>43111</v>
      </c>
      <c r="B377">
        <v>30146</v>
      </c>
      <c r="C377">
        <v>72655</v>
      </c>
      <c r="D377">
        <v>32374</v>
      </c>
      <c r="E377">
        <v>12681</v>
      </c>
      <c r="F377">
        <v>108</v>
      </c>
      <c r="G377" t="s">
        <v>9</v>
      </c>
      <c r="H377" t="str" cm="1">
        <f t="array" ref="H377">_xlfn.IFS(Grammys[[#This Row],[date]] &gt;= DATE(2022,2,1),"Grammys",TRUE,"Grammys TRA")</f>
        <v>Grammys TRA</v>
      </c>
      <c r="I377">
        <f>_xlfn.XLOOKUP(Grammys[[#This Row],[date]],mobile_visits[date],mobile_visits[mobile_visitors],0)</f>
        <v>0</v>
      </c>
      <c r="O377" s="1">
        <v>44968</v>
      </c>
      <c r="P377">
        <v>99963</v>
      </c>
    </row>
    <row r="378" spans="1:16">
      <c r="A378" s="1">
        <v>43112</v>
      </c>
      <c r="B378">
        <v>23929</v>
      </c>
      <c r="C378">
        <v>59126</v>
      </c>
      <c r="D378">
        <v>25910</v>
      </c>
      <c r="E378">
        <v>10561</v>
      </c>
      <c r="F378">
        <v>112</v>
      </c>
      <c r="G378" t="s">
        <v>9</v>
      </c>
      <c r="H378" t="str" cm="1">
        <f t="array" ref="H378">_xlfn.IFS(Grammys[[#This Row],[date]] &gt;= DATE(2022,2,1),"Grammys",TRUE,"Grammys TRA")</f>
        <v>Grammys TRA</v>
      </c>
      <c r="I378">
        <f>_xlfn.XLOOKUP(Grammys[[#This Row],[date]],mobile_visits[date],mobile_visits[mobile_visitors],0)</f>
        <v>0</v>
      </c>
      <c r="O378" s="1">
        <v>44969</v>
      </c>
      <c r="P378">
        <v>105474</v>
      </c>
    </row>
    <row r="379" spans="1:16">
      <c r="A379" s="1">
        <v>43113</v>
      </c>
      <c r="B379">
        <v>22836</v>
      </c>
      <c r="C379">
        <v>56649</v>
      </c>
      <c r="D379">
        <v>24808</v>
      </c>
      <c r="E379">
        <v>9559</v>
      </c>
      <c r="F379">
        <v>107</v>
      </c>
      <c r="G379" t="s">
        <v>9</v>
      </c>
      <c r="H379" t="str" cm="1">
        <f t="array" ref="H379">_xlfn.IFS(Grammys[[#This Row],[date]] &gt;= DATE(2022,2,1),"Grammys",TRUE,"Grammys TRA")</f>
        <v>Grammys TRA</v>
      </c>
      <c r="I379">
        <f>_xlfn.XLOOKUP(Grammys[[#This Row],[date]],mobile_visits[date],mobile_visits[mobile_visitors],0)</f>
        <v>0</v>
      </c>
      <c r="O379" s="1">
        <v>44970</v>
      </c>
      <c r="P379">
        <v>58637</v>
      </c>
    </row>
    <row r="380" spans="1:16">
      <c r="A380" s="1">
        <v>43114</v>
      </c>
      <c r="B380">
        <v>25011</v>
      </c>
      <c r="C380">
        <v>60700</v>
      </c>
      <c r="D380">
        <v>27087</v>
      </c>
      <c r="E380">
        <v>10776</v>
      </c>
      <c r="F380">
        <v>106</v>
      </c>
      <c r="G380" t="s">
        <v>9</v>
      </c>
      <c r="H380" t="str" cm="1">
        <f t="array" ref="H380">_xlfn.IFS(Grammys[[#This Row],[date]] &gt;= DATE(2022,2,1),"Grammys",TRUE,"Grammys TRA")</f>
        <v>Grammys TRA</v>
      </c>
      <c r="I380">
        <f>_xlfn.XLOOKUP(Grammys[[#This Row],[date]],mobile_visits[date],mobile_visits[mobile_visitors],0)</f>
        <v>0</v>
      </c>
      <c r="O380" s="1">
        <v>44971</v>
      </c>
      <c r="P380">
        <v>40385</v>
      </c>
    </row>
    <row r="381" spans="1:16">
      <c r="A381" s="1">
        <v>43115</v>
      </c>
      <c r="B381">
        <v>23562</v>
      </c>
      <c r="C381">
        <v>58594</v>
      </c>
      <c r="D381">
        <v>25342</v>
      </c>
      <c r="E381">
        <v>9924</v>
      </c>
      <c r="F381">
        <v>114</v>
      </c>
      <c r="G381" t="s">
        <v>9</v>
      </c>
      <c r="H381" t="str" cm="1">
        <f t="array" ref="H381">_xlfn.IFS(Grammys[[#This Row],[date]] &gt;= DATE(2022,2,1),"Grammys",TRUE,"Grammys TRA")</f>
        <v>Grammys TRA</v>
      </c>
      <c r="I381">
        <f>_xlfn.XLOOKUP(Grammys[[#This Row],[date]],mobile_visits[date],mobile_visits[mobile_visitors],0)</f>
        <v>0</v>
      </c>
      <c r="O381" s="1">
        <v>44972</v>
      </c>
      <c r="P381">
        <v>33456</v>
      </c>
    </row>
    <row r="382" spans="1:16">
      <c r="A382" s="1">
        <v>43116</v>
      </c>
      <c r="B382">
        <v>27240</v>
      </c>
      <c r="C382">
        <v>68125</v>
      </c>
      <c r="D382">
        <v>29215</v>
      </c>
      <c r="E382">
        <v>11394</v>
      </c>
      <c r="F382">
        <v>113</v>
      </c>
      <c r="G382" t="s">
        <v>9</v>
      </c>
      <c r="H382" t="str" cm="1">
        <f t="array" ref="H382">_xlfn.IFS(Grammys[[#This Row],[date]] &gt;= DATE(2022,2,1),"Grammys",TRUE,"Grammys TRA")</f>
        <v>Grammys TRA</v>
      </c>
      <c r="I382">
        <f>_xlfn.XLOOKUP(Grammys[[#This Row],[date]],mobile_visits[date],mobile_visits[mobile_visitors],0)</f>
        <v>0</v>
      </c>
      <c r="O382" s="1">
        <v>44973</v>
      </c>
      <c r="P382">
        <v>30511</v>
      </c>
    </row>
    <row r="383" spans="1:16">
      <c r="A383" s="1">
        <v>43117</v>
      </c>
      <c r="B383">
        <v>34318</v>
      </c>
      <c r="C383">
        <v>94367</v>
      </c>
      <c r="D383">
        <v>38031</v>
      </c>
      <c r="E383">
        <v>13783</v>
      </c>
      <c r="F383">
        <v>118</v>
      </c>
      <c r="G383" t="s">
        <v>9</v>
      </c>
      <c r="H383" t="str" cm="1">
        <f t="array" ref="H383">_xlfn.IFS(Grammys[[#This Row],[date]] &gt;= DATE(2022,2,1),"Grammys",TRUE,"Grammys TRA")</f>
        <v>Grammys TRA</v>
      </c>
      <c r="I383">
        <f>_xlfn.XLOOKUP(Grammys[[#This Row],[date]],mobile_visits[date],mobile_visits[mobile_visitors],0)</f>
        <v>0</v>
      </c>
      <c r="O383" s="1">
        <v>44974</v>
      </c>
      <c r="P383">
        <v>30122</v>
      </c>
    </row>
    <row r="384" spans="1:16">
      <c r="A384" s="1">
        <v>43118</v>
      </c>
      <c r="B384">
        <v>28746</v>
      </c>
      <c r="C384">
        <v>71147</v>
      </c>
      <c r="D384">
        <v>31083</v>
      </c>
      <c r="E384">
        <v>12396</v>
      </c>
      <c r="F384">
        <v>114</v>
      </c>
      <c r="G384" t="s">
        <v>9</v>
      </c>
      <c r="H384" t="str" cm="1">
        <f t="array" ref="H384">_xlfn.IFS(Grammys[[#This Row],[date]] &gt;= DATE(2022,2,1),"Grammys",TRUE,"Grammys TRA")</f>
        <v>Grammys TRA</v>
      </c>
      <c r="I384">
        <f>_xlfn.XLOOKUP(Grammys[[#This Row],[date]],mobile_visits[date],mobile_visits[mobile_visitors],0)</f>
        <v>0</v>
      </c>
      <c r="O384" s="1">
        <v>44975</v>
      </c>
      <c r="P384">
        <v>29749</v>
      </c>
    </row>
    <row r="385" spans="1:16">
      <c r="A385" s="1">
        <v>43119</v>
      </c>
      <c r="B385">
        <v>27819</v>
      </c>
      <c r="C385">
        <v>68975</v>
      </c>
      <c r="D385">
        <v>29878</v>
      </c>
      <c r="E385">
        <v>11790</v>
      </c>
      <c r="F385">
        <v>112</v>
      </c>
      <c r="G385" t="s">
        <v>9</v>
      </c>
      <c r="H385" t="str" cm="1">
        <f t="array" ref="H385">_xlfn.IFS(Grammys[[#This Row],[date]] &gt;= DATE(2022,2,1),"Grammys",TRUE,"Grammys TRA")</f>
        <v>Grammys TRA</v>
      </c>
      <c r="I385">
        <f>_xlfn.XLOOKUP(Grammys[[#This Row],[date]],mobile_visits[date],mobile_visits[mobile_visitors],0)</f>
        <v>0</v>
      </c>
      <c r="O385" s="1">
        <v>44976</v>
      </c>
      <c r="P385">
        <v>27219</v>
      </c>
    </row>
    <row r="386" spans="1:16">
      <c r="A386" s="1">
        <v>43120</v>
      </c>
      <c r="B386">
        <v>27820</v>
      </c>
      <c r="C386">
        <v>68689</v>
      </c>
      <c r="D386">
        <v>30472</v>
      </c>
      <c r="E386">
        <v>12003</v>
      </c>
      <c r="F386">
        <v>106</v>
      </c>
      <c r="G386" t="s">
        <v>9</v>
      </c>
      <c r="H386" t="str" cm="1">
        <f t="array" ref="H386">_xlfn.IFS(Grammys[[#This Row],[date]] &gt;= DATE(2022,2,1),"Grammys",TRUE,"Grammys TRA")</f>
        <v>Grammys TRA</v>
      </c>
      <c r="I386">
        <f>_xlfn.XLOOKUP(Grammys[[#This Row],[date]],mobile_visits[date],mobile_visits[mobile_visitors],0)</f>
        <v>0</v>
      </c>
      <c r="O386" s="1">
        <v>44977</v>
      </c>
      <c r="P386">
        <v>21944</v>
      </c>
    </row>
    <row r="387" spans="1:16">
      <c r="A387" s="1">
        <v>43121</v>
      </c>
      <c r="B387">
        <v>43352</v>
      </c>
      <c r="C387">
        <v>105697</v>
      </c>
      <c r="D387">
        <v>46839</v>
      </c>
      <c r="E387">
        <v>18464</v>
      </c>
      <c r="F387">
        <v>108</v>
      </c>
      <c r="G387" t="s">
        <v>9</v>
      </c>
      <c r="H387" t="str" cm="1">
        <f t="array" ref="H387">_xlfn.IFS(Grammys[[#This Row],[date]] &gt;= DATE(2022,2,1),"Grammys",TRUE,"Grammys TRA")</f>
        <v>Grammys TRA</v>
      </c>
      <c r="I387">
        <f>_xlfn.XLOOKUP(Grammys[[#This Row],[date]],mobile_visits[date],mobile_visits[mobile_visitors],0)</f>
        <v>0</v>
      </c>
      <c r="O387" s="1">
        <v>44978</v>
      </c>
      <c r="P387">
        <v>19161</v>
      </c>
    </row>
    <row r="388" spans="1:16">
      <c r="A388" s="1">
        <v>43122</v>
      </c>
      <c r="B388">
        <v>49380</v>
      </c>
      <c r="C388">
        <v>120459</v>
      </c>
      <c r="D388">
        <v>53238</v>
      </c>
      <c r="E388">
        <v>22621</v>
      </c>
      <c r="F388">
        <v>108</v>
      </c>
      <c r="G388" t="s">
        <v>9</v>
      </c>
      <c r="H388" t="str" cm="1">
        <f t="array" ref="H388">_xlfn.IFS(Grammys[[#This Row],[date]] &gt;= DATE(2022,2,1),"Grammys",TRUE,"Grammys TRA")</f>
        <v>Grammys TRA</v>
      </c>
      <c r="I388">
        <f>_xlfn.XLOOKUP(Grammys[[#This Row],[date]],mobile_visits[date],mobile_visits[mobile_visitors],0)</f>
        <v>0</v>
      </c>
      <c r="O388" s="1">
        <v>44979</v>
      </c>
      <c r="P388">
        <v>17351</v>
      </c>
    </row>
    <row r="389" spans="1:16">
      <c r="A389" s="1">
        <v>43123</v>
      </c>
      <c r="B389">
        <v>68206</v>
      </c>
      <c r="C389">
        <v>166205</v>
      </c>
      <c r="D389">
        <v>74059</v>
      </c>
      <c r="E389">
        <v>29906</v>
      </c>
      <c r="F389">
        <v>108</v>
      </c>
      <c r="G389" t="s">
        <v>9</v>
      </c>
      <c r="H389" t="str" cm="1">
        <f t="array" ref="H389">_xlfn.IFS(Grammys[[#This Row],[date]] &gt;= DATE(2022,2,1),"Grammys",TRUE,"Grammys TRA")</f>
        <v>Grammys TRA</v>
      </c>
      <c r="I389">
        <f>_xlfn.XLOOKUP(Grammys[[#This Row],[date]],mobile_visits[date],mobile_visits[mobile_visitors],0)</f>
        <v>0</v>
      </c>
      <c r="O389" s="1">
        <v>44980</v>
      </c>
      <c r="P389">
        <v>17987</v>
      </c>
    </row>
    <row r="390" spans="1:16">
      <c r="A390" s="1">
        <v>43124</v>
      </c>
      <c r="B390">
        <v>68203</v>
      </c>
      <c r="C390">
        <v>125934</v>
      </c>
      <c r="D390">
        <v>74786</v>
      </c>
      <c r="E390">
        <v>36563</v>
      </c>
      <c r="F390">
        <v>98</v>
      </c>
      <c r="G390" t="s">
        <v>9</v>
      </c>
      <c r="H390" t="str" cm="1">
        <f t="array" ref="H390">_xlfn.IFS(Grammys[[#This Row],[date]] &gt;= DATE(2022,2,1),"Grammys",TRUE,"Grammys TRA")</f>
        <v>Grammys TRA</v>
      </c>
      <c r="I390">
        <f>_xlfn.XLOOKUP(Grammys[[#This Row],[date]],mobile_visits[date],mobile_visits[mobile_visitors],0)</f>
        <v>0</v>
      </c>
      <c r="O390" s="1">
        <v>44981</v>
      </c>
      <c r="P390">
        <v>18504</v>
      </c>
    </row>
    <row r="391" spans="1:16">
      <c r="A391" s="1">
        <v>43125</v>
      </c>
      <c r="B391">
        <v>108074</v>
      </c>
      <c r="C391">
        <v>188772</v>
      </c>
      <c r="D391">
        <v>113915</v>
      </c>
      <c r="E391">
        <v>59589</v>
      </c>
      <c r="F391">
        <v>91</v>
      </c>
      <c r="G391" t="s">
        <v>9</v>
      </c>
      <c r="H391" t="str" cm="1">
        <f t="array" ref="H391">_xlfn.IFS(Grammys[[#This Row],[date]] &gt;= DATE(2022,2,1),"Grammys",TRUE,"Grammys TRA")</f>
        <v>Grammys TRA</v>
      </c>
      <c r="I391">
        <f>_xlfn.XLOOKUP(Grammys[[#This Row],[date]],mobile_visits[date],mobile_visits[mobile_visitors],0)</f>
        <v>0</v>
      </c>
      <c r="O391" s="1">
        <v>44982</v>
      </c>
      <c r="P391">
        <v>19528</v>
      </c>
    </row>
    <row r="392" spans="1:16">
      <c r="A392" s="1">
        <v>43126</v>
      </c>
      <c r="B392">
        <v>148597</v>
      </c>
      <c r="C392">
        <v>263485</v>
      </c>
      <c r="D392">
        <v>162553</v>
      </c>
      <c r="E392">
        <v>83520</v>
      </c>
      <c r="F392">
        <v>90</v>
      </c>
      <c r="G392" t="s">
        <v>9</v>
      </c>
      <c r="H392" t="str" cm="1">
        <f t="array" ref="H392">_xlfn.IFS(Grammys[[#This Row],[date]] &gt;= DATE(2022,2,1),"Grammys",TRUE,"Grammys TRA")</f>
        <v>Grammys TRA</v>
      </c>
      <c r="I392">
        <f>_xlfn.XLOOKUP(Grammys[[#This Row],[date]],mobile_visits[date],mobile_visits[mobile_visitors],0)</f>
        <v>0</v>
      </c>
      <c r="O392" s="1">
        <v>44983</v>
      </c>
      <c r="P392">
        <v>16500</v>
      </c>
    </row>
    <row r="393" spans="1:16">
      <c r="A393" s="1">
        <v>43127</v>
      </c>
      <c r="B393">
        <v>218441</v>
      </c>
      <c r="C393">
        <v>400447</v>
      </c>
      <c r="D393">
        <v>239369</v>
      </c>
      <c r="E393">
        <v>115879</v>
      </c>
      <c r="F393">
        <v>93</v>
      </c>
      <c r="G393" t="s">
        <v>10</v>
      </c>
      <c r="H393" t="str" cm="1">
        <f t="array" ref="H393">_xlfn.IFS(Grammys[[#This Row],[date]] &gt;= DATE(2022,2,1),"Grammys",TRUE,"Grammys TRA")</f>
        <v>Grammys TRA</v>
      </c>
      <c r="I393">
        <f>_xlfn.XLOOKUP(Grammys[[#This Row],[date]],mobile_visits[date],mobile_visits[mobile_visitors],0)</f>
        <v>0</v>
      </c>
      <c r="O393" s="1">
        <v>44984</v>
      </c>
      <c r="P393">
        <v>13909</v>
      </c>
    </row>
    <row r="394" spans="1:16">
      <c r="A394" s="1">
        <v>43128</v>
      </c>
      <c r="B394">
        <v>1609729</v>
      </c>
      <c r="C394">
        <v>5446407</v>
      </c>
      <c r="D394">
        <v>1934941</v>
      </c>
      <c r="E394">
        <v>612022</v>
      </c>
      <c r="F394">
        <v>221</v>
      </c>
      <c r="G394" t="s">
        <v>9</v>
      </c>
      <c r="H394" t="str" cm="1">
        <f t="array" ref="H394">_xlfn.IFS(Grammys[[#This Row],[date]] &gt;= DATE(2022,2,1),"Grammys",TRUE,"Grammys TRA")</f>
        <v>Grammys TRA</v>
      </c>
      <c r="I394">
        <f>_xlfn.XLOOKUP(Grammys[[#This Row],[date]],mobile_visits[date],mobile_visits[mobile_visitors],0)</f>
        <v>0</v>
      </c>
      <c r="O394" s="1">
        <v>44985</v>
      </c>
      <c r="P394">
        <v>13000</v>
      </c>
    </row>
    <row r="395" spans="1:16">
      <c r="A395" s="1">
        <v>43129</v>
      </c>
      <c r="B395">
        <v>727530</v>
      </c>
      <c r="C395">
        <v>1841975</v>
      </c>
      <c r="D395">
        <v>810777</v>
      </c>
      <c r="E395">
        <v>314663</v>
      </c>
      <c r="F395">
        <v>152</v>
      </c>
      <c r="G395" t="s">
        <v>9</v>
      </c>
      <c r="H395" t="str" cm="1">
        <f t="array" ref="H395">_xlfn.IFS(Grammys[[#This Row],[date]] &gt;= DATE(2022,2,1),"Grammys",TRUE,"Grammys TRA")</f>
        <v>Grammys TRA</v>
      </c>
      <c r="I395">
        <f>_xlfn.XLOOKUP(Grammys[[#This Row],[date]],mobile_visits[date],mobile_visits[mobile_visitors],0)</f>
        <v>0</v>
      </c>
      <c r="O395" s="1">
        <v>44986</v>
      </c>
      <c r="P395">
        <v>13525</v>
      </c>
    </row>
    <row r="396" spans="1:16">
      <c r="A396" s="1">
        <v>43130</v>
      </c>
      <c r="B396">
        <v>192235</v>
      </c>
      <c r="C396">
        <v>454551</v>
      </c>
      <c r="D396">
        <v>210881</v>
      </c>
      <c r="E396">
        <v>88760</v>
      </c>
      <c r="F396">
        <v>152</v>
      </c>
      <c r="G396" t="s">
        <v>9</v>
      </c>
      <c r="H396" t="str" cm="1">
        <f t="array" ref="H396">_xlfn.IFS(Grammys[[#This Row],[date]] &gt;= DATE(2022,2,1),"Grammys",TRUE,"Grammys TRA")</f>
        <v>Grammys TRA</v>
      </c>
      <c r="I396">
        <f>_xlfn.XLOOKUP(Grammys[[#This Row],[date]],mobile_visits[date],mobile_visits[mobile_visitors],0)</f>
        <v>0</v>
      </c>
      <c r="O396" s="1">
        <v>44987</v>
      </c>
      <c r="P396">
        <v>13476</v>
      </c>
    </row>
    <row r="397" spans="1:16">
      <c r="A397" s="1">
        <v>43131</v>
      </c>
      <c r="B397">
        <v>97311</v>
      </c>
      <c r="C397">
        <v>221899</v>
      </c>
      <c r="D397">
        <v>105589</v>
      </c>
      <c r="E397">
        <v>46090</v>
      </c>
      <c r="F397">
        <v>150</v>
      </c>
      <c r="G397" t="s">
        <v>9</v>
      </c>
      <c r="H397" t="str" cm="1">
        <f t="array" ref="H397">_xlfn.IFS(Grammys[[#This Row],[date]] &gt;= DATE(2022,2,1),"Grammys",TRUE,"Grammys TRA")</f>
        <v>Grammys TRA</v>
      </c>
      <c r="I397">
        <f>_xlfn.XLOOKUP(Grammys[[#This Row],[date]],mobile_visits[date],mobile_visits[mobile_visitors],0)</f>
        <v>0</v>
      </c>
      <c r="O397" s="1">
        <v>44988</v>
      </c>
      <c r="P397">
        <v>14381</v>
      </c>
    </row>
    <row r="398" spans="1:16">
      <c r="A398" s="1">
        <v>43132</v>
      </c>
      <c r="B398">
        <v>71273</v>
      </c>
      <c r="C398">
        <v>154508</v>
      </c>
      <c r="D398">
        <v>76868</v>
      </c>
      <c r="E398">
        <v>35098</v>
      </c>
      <c r="F398">
        <v>137</v>
      </c>
      <c r="G398" t="s">
        <v>9</v>
      </c>
      <c r="H398" t="str" cm="1">
        <f t="array" ref="H398">_xlfn.IFS(Grammys[[#This Row],[date]] &gt;= DATE(2022,2,1),"Grammys",TRUE,"Grammys TRA")</f>
        <v>Grammys TRA</v>
      </c>
      <c r="I398">
        <f>_xlfn.XLOOKUP(Grammys[[#This Row],[date]],mobile_visits[date],mobile_visits[mobile_visitors],0)</f>
        <v>0</v>
      </c>
      <c r="O398" s="1">
        <v>44989</v>
      </c>
      <c r="P398">
        <v>13706</v>
      </c>
    </row>
    <row r="399" spans="1:16">
      <c r="A399" s="1">
        <v>43133</v>
      </c>
      <c r="B399">
        <v>57626</v>
      </c>
      <c r="C399">
        <v>121012</v>
      </c>
      <c r="D399">
        <v>62334</v>
      </c>
      <c r="E399">
        <v>29541</v>
      </c>
      <c r="F399">
        <v>129</v>
      </c>
      <c r="G399" t="s">
        <v>9</v>
      </c>
      <c r="H399" t="str" cm="1">
        <f t="array" ref="H399">_xlfn.IFS(Grammys[[#This Row],[date]] &gt;= DATE(2022,2,1),"Grammys",TRUE,"Grammys TRA")</f>
        <v>Grammys TRA</v>
      </c>
      <c r="I399">
        <f>_xlfn.XLOOKUP(Grammys[[#This Row],[date]],mobile_visits[date],mobile_visits[mobile_visitors],0)</f>
        <v>0</v>
      </c>
      <c r="O399" s="1">
        <v>44990</v>
      </c>
      <c r="P399">
        <v>14903</v>
      </c>
    </row>
    <row r="400" spans="1:16">
      <c r="A400" s="1">
        <v>43134</v>
      </c>
      <c r="B400">
        <v>49644</v>
      </c>
      <c r="C400">
        <v>102467</v>
      </c>
      <c r="D400">
        <v>53676</v>
      </c>
      <c r="E400">
        <v>25921</v>
      </c>
      <c r="F400">
        <v>132</v>
      </c>
      <c r="G400" t="s">
        <v>9</v>
      </c>
      <c r="H400" t="str" cm="1">
        <f t="array" ref="H400">_xlfn.IFS(Grammys[[#This Row],[date]] &gt;= DATE(2022,2,1),"Grammys",TRUE,"Grammys TRA")</f>
        <v>Grammys TRA</v>
      </c>
      <c r="I400">
        <f>_xlfn.XLOOKUP(Grammys[[#This Row],[date]],mobile_visits[date],mobile_visits[mobile_visitors],0)</f>
        <v>0</v>
      </c>
      <c r="O400" s="1">
        <v>44991</v>
      </c>
      <c r="P400">
        <v>11923</v>
      </c>
    </row>
    <row r="401" spans="1:16">
      <c r="A401" s="1">
        <v>43135</v>
      </c>
      <c r="B401">
        <v>42646</v>
      </c>
      <c r="C401">
        <v>83790</v>
      </c>
      <c r="D401">
        <v>46103</v>
      </c>
      <c r="E401">
        <v>22683</v>
      </c>
      <c r="F401">
        <v>123</v>
      </c>
      <c r="G401" t="s">
        <v>9</v>
      </c>
      <c r="H401" t="str" cm="1">
        <f t="array" ref="H401">_xlfn.IFS(Grammys[[#This Row],[date]] &gt;= DATE(2022,2,1),"Grammys",TRUE,"Grammys TRA")</f>
        <v>Grammys TRA</v>
      </c>
      <c r="I401">
        <f>_xlfn.XLOOKUP(Grammys[[#This Row],[date]],mobile_visits[date],mobile_visits[mobile_visitors],0)</f>
        <v>0</v>
      </c>
      <c r="O401" s="1">
        <v>44992</v>
      </c>
      <c r="P401">
        <v>11724</v>
      </c>
    </row>
    <row r="402" spans="1:16">
      <c r="A402" s="1">
        <v>43136</v>
      </c>
      <c r="B402">
        <v>33561</v>
      </c>
      <c r="C402">
        <v>65429</v>
      </c>
      <c r="D402">
        <v>35648</v>
      </c>
      <c r="E402">
        <v>18074</v>
      </c>
      <c r="F402">
        <v>127</v>
      </c>
      <c r="G402" t="s">
        <v>9</v>
      </c>
      <c r="H402" t="str" cm="1">
        <f t="array" ref="H402">_xlfn.IFS(Grammys[[#This Row],[date]] &gt;= DATE(2022,2,1),"Grammys",TRUE,"Grammys TRA")</f>
        <v>Grammys TRA</v>
      </c>
      <c r="I402">
        <f>_xlfn.XLOOKUP(Grammys[[#This Row],[date]],mobile_visits[date],mobile_visits[mobile_visitors],0)</f>
        <v>0</v>
      </c>
      <c r="O402" s="1">
        <v>44993</v>
      </c>
      <c r="P402">
        <v>12007</v>
      </c>
    </row>
    <row r="403" spans="1:16">
      <c r="A403" s="1">
        <v>43137</v>
      </c>
      <c r="B403">
        <v>29671</v>
      </c>
      <c r="C403">
        <v>58188</v>
      </c>
      <c r="D403">
        <v>31942</v>
      </c>
      <c r="E403">
        <v>16112</v>
      </c>
      <c r="F403">
        <v>128</v>
      </c>
      <c r="G403" t="s">
        <v>9</v>
      </c>
      <c r="H403" t="str" cm="1">
        <f t="array" ref="H403">_xlfn.IFS(Grammys[[#This Row],[date]] &gt;= DATE(2022,2,1),"Grammys",TRUE,"Grammys TRA")</f>
        <v>Grammys TRA</v>
      </c>
      <c r="I403">
        <f>_xlfn.XLOOKUP(Grammys[[#This Row],[date]],mobile_visits[date],mobile_visits[mobile_visitors],0)</f>
        <v>0</v>
      </c>
      <c r="O403" s="1">
        <v>44994</v>
      </c>
      <c r="P403">
        <v>9995</v>
      </c>
    </row>
    <row r="404" spans="1:16">
      <c r="A404" s="1">
        <v>43138</v>
      </c>
      <c r="B404">
        <v>26192</v>
      </c>
      <c r="C404">
        <v>51669</v>
      </c>
      <c r="D404">
        <v>28333</v>
      </c>
      <c r="E404">
        <v>14456</v>
      </c>
      <c r="F404">
        <v>127</v>
      </c>
      <c r="G404" t="s">
        <v>9</v>
      </c>
      <c r="H404" t="str" cm="1">
        <f t="array" ref="H404">_xlfn.IFS(Grammys[[#This Row],[date]] &gt;= DATE(2022,2,1),"Grammys",TRUE,"Grammys TRA")</f>
        <v>Grammys TRA</v>
      </c>
      <c r="I404">
        <f>_xlfn.XLOOKUP(Grammys[[#This Row],[date]],mobile_visits[date],mobile_visits[mobile_visitors],0)</f>
        <v>0</v>
      </c>
      <c r="O404" s="1">
        <v>44995</v>
      </c>
      <c r="P404">
        <v>13750</v>
      </c>
    </row>
    <row r="405" spans="1:16">
      <c r="A405" s="1">
        <v>43139</v>
      </c>
      <c r="B405">
        <v>24574</v>
      </c>
      <c r="C405">
        <v>45856</v>
      </c>
      <c r="D405">
        <v>26199</v>
      </c>
      <c r="E405">
        <v>13446</v>
      </c>
      <c r="F405">
        <v>120</v>
      </c>
      <c r="G405" t="s">
        <v>9</v>
      </c>
      <c r="H405" t="str" cm="1">
        <f t="array" ref="H405">_xlfn.IFS(Grammys[[#This Row],[date]] &gt;= DATE(2022,2,1),"Grammys",TRUE,"Grammys TRA")</f>
        <v>Grammys TRA</v>
      </c>
      <c r="I405">
        <f>_xlfn.XLOOKUP(Grammys[[#This Row],[date]],mobile_visits[date],mobile_visits[mobile_visitors],0)</f>
        <v>0</v>
      </c>
      <c r="O405" s="1">
        <v>44996</v>
      </c>
      <c r="P405">
        <v>14707</v>
      </c>
    </row>
    <row r="406" spans="1:16">
      <c r="A406" s="1">
        <v>43140</v>
      </c>
      <c r="B406">
        <v>22637</v>
      </c>
      <c r="C406">
        <v>41945</v>
      </c>
      <c r="D406">
        <v>24302</v>
      </c>
      <c r="E406">
        <v>12569</v>
      </c>
      <c r="F406">
        <v>114</v>
      </c>
      <c r="G406" t="s">
        <v>9</v>
      </c>
      <c r="H406" t="str" cm="1">
        <f t="array" ref="H406">_xlfn.IFS(Grammys[[#This Row],[date]] &gt;= DATE(2022,2,1),"Grammys",TRUE,"Grammys TRA")</f>
        <v>Grammys TRA</v>
      </c>
      <c r="I406">
        <f>_xlfn.XLOOKUP(Grammys[[#This Row],[date]],mobile_visits[date],mobile_visits[mobile_visitors],0)</f>
        <v>0</v>
      </c>
      <c r="O406" s="1">
        <v>44997</v>
      </c>
      <c r="P406">
        <v>30240</v>
      </c>
    </row>
    <row r="407" spans="1:16">
      <c r="A407" s="1">
        <v>43141</v>
      </c>
      <c r="B407">
        <v>20196</v>
      </c>
      <c r="C407">
        <v>37309</v>
      </c>
      <c r="D407">
        <v>21866</v>
      </c>
      <c r="E407">
        <v>11554</v>
      </c>
      <c r="F407">
        <v>113</v>
      </c>
      <c r="G407" t="s">
        <v>9</v>
      </c>
      <c r="H407" t="str" cm="1">
        <f t="array" ref="H407">_xlfn.IFS(Grammys[[#This Row],[date]] &gt;= DATE(2022,2,1),"Grammys",TRUE,"Grammys TRA")</f>
        <v>Grammys TRA</v>
      </c>
      <c r="I407">
        <f>_xlfn.XLOOKUP(Grammys[[#This Row],[date]],mobile_visits[date],mobile_visits[mobile_visitors],0)</f>
        <v>0</v>
      </c>
      <c r="O407" s="1">
        <v>44998</v>
      </c>
      <c r="P407">
        <v>27142</v>
      </c>
    </row>
    <row r="408" spans="1:16">
      <c r="A408" s="1">
        <v>43142</v>
      </c>
      <c r="B408">
        <v>20338</v>
      </c>
      <c r="C408">
        <v>37770</v>
      </c>
      <c r="D408">
        <v>21661</v>
      </c>
      <c r="E408">
        <v>11446</v>
      </c>
      <c r="F408">
        <v>110</v>
      </c>
      <c r="G408" t="s">
        <v>9</v>
      </c>
      <c r="H408" t="str" cm="1">
        <f t="array" ref="H408">_xlfn.IFS(Grammys[[#This Row],[date]] &gt;= DATE(2022,2,1),"Grammys",TRUE,"Grammys TRA")</f>
        <v>Grammys TRA</v>
      </c>
      <c r="I408">
        <f>_xlfn.XLOOKUP(Grammys[[#This Row],[date]],mobile_visits[date],mobile_visits[mobile_visitors],0)</f>
        <v>0</v>
      </c>
      <c r="O408" s="1">
        <v>44999</v>
      </c>
      <c r="P408">
        <v>14831</v>
      </c>
    </row>
    <row r="409" spans="1:16">
      <c r="A409" s="1">
        <v>43143</v>
      </c>
      <c r="B409">
        <v>18409</v>
      </c>
      <c r="C409">
        <v>32714</v>
      </c>
      <c r="D409">
        <v>19975</v>
      </c>
      <c r="E409">
        <v>10999</v>
      </c>
      <c r="F409">
        <v>103</v>
      </c>
      <c r="G409" t="s">
        <v>9</v>
      </c>
      <c r="H409" t="str" cm="1">
        <f t="array" ref="H409">_xlfn.IFS(Grammys[[#This Row],[date]] &gt;= DATE(2022,2,1),"Grammys",TRUE,"Grammys TRA")</f>
        <v>Grammys TRA</v>
      </c>
      <c r="I409">
        <f>_xlfn.XLOOKUP(Grammys[[#This Row],[date]],mobile_visits[date],mobile_visits[mobile_visitors],0)</f>
        <v>0</v>
      </c>
      <c r="O409" s="1">
        <v>45000</v>
      </c>
      <c r="P409">
        <v>11827</v>
      </c>
    </row>
    <row r="410" spans="1:16">
      <c r="A410" s="1">
        <v>43144</v>
      </c>
      <c r="B410">
        <v>19598</v>
      </c>
      <c r="C410">
        <v>31984</v>
      </c>
      <c r="D410">
        <v>20994</v>
      </c>
      <c r="E410">
        <v>11577</v>
      </c>
      <c r="F410">
        <v>99</v>
      </c>
      <c r="G410" t="s">
        <v>9</v>
      </c>
      <c r="H410" t="str" cm="1">
        <f t="array" ref="H410">_xlfn.IFS(Grammys[[#This Row],[date]] &gt;= DATE(2022,2,1),"Grammys",TRUE,"Grammys TRA")</f>
        <v>Grammys TRA</v>
      </c>
      <c r="I410">
        <f>_xlfn.XLOOKUP(Grammys[[#This Row],[date]],mobile_visits[date],mobile_visits[mobile_visitors],0)</f>
        <v>0</v>
      </c>
      <c r="O410" s="1">
        <v>45001</v>
      </c>
      <c r="P410">
        <v>12088</v>
      </c>
    </row>
    <row r="411" spans="1:16">
      <c r="A411" s="1">
        <v>43145</v>
      </c>
      <c r="B411">
        <v>18250</v>
      </c>
      <c r="C411">
        <v>28243</v>
      </c>
      <c r="D411">
        <v>19391</v>
      </c>
      <c r="E411">
        <v>11104</v>
      </c>
      <c r="F411">
        <v>87</v>
      </c>
      <c r="G411" t="s">
        <v>9</v>
      </c>
      <c r="H411" t="str" cm="1">
        <f t="array" ref="H411">_xlfn.IFS(Grammys[[#This Row],[date]] &gt;= DATE(2022,2,1),"Grammys",TRUE,"Grammys TRA")</f>
        <v>Grammys TRA</v>
      </c>
      <c r="I411">
        <f>_xlfn.XLOOKUP(Grammys[[#This Row],[date]],mobile_visits[date],mobile_visits[mobile_visitors],0)</f>
        <v>0</v>
      </c>
      <c r="O411" s="1">
        <v>45002</v>
      </c>
      <c r="P411">
        <v>12260</v>
      </c>
    </row>
    <row r="412" spans="1:16">
      <c r="A412" s="1">
        <v>43146</v>
      </c>
      <c r="B412">
        <v>16454</v>
      </c>
      <c r="C412">
        <v>26273</v>
      </c>
      <c r="D412">
        <v>17483</v>
      </c>
      <c r="E412">
        <v>10062</v>
      </c>
      <c r="F412">
        <v>89</v>
      </c>
      <c r="G412" t="s">
        <v>9</v>
      </c>
      <c r="H412" t="str" cm="1">
        <f t="array" ref="H412">_xlfn.IFS(Grammys[[#This Row],[date]] &gt;= DATE(2022,2,1),"Grammys",TRUE,"Grammys TRA")</f>
        <v>Grammys TRA</v>
      </c>
      <c r="I412">
        <f>_xlfn.XLOOKUP(Grammys[[#This Row],[date]],mobile_visits[date],mobile_visits[mobile_visitors],0)</f>
        <v>0</v>
      </c>
      <c r="O412" s="1">
        <v>45003</v>
      </c>
      <c r="P412">
        <v>21774</v>
      </c>
    </row>
    <row r="413" spans="1:16">
      <c r="A413" s="1">
        <v>43147</v>
      </c>
      <c r="B413">
        <v>15437</v>
      </c>
      <c r="C413">
        <v>24523</v>
      </c>
      <c r="D413">
        <v>16367</v>
      </c>
      <c r="E413">
        <v>9639</v>
      </c>
      <c r="F413">
        <v>85</v>
      </c>
      <c r="G413" t="s">
        <v>9</v>
      </c>
      <c r="H413" t="str" cm="1">
        <f t="array" ref="H413">_xlfn.IFS(Grammys[[#This Row],[date]] &gt;= DATE(2022,2,1),"Grammys",TRUE,"Grammys TRA")</f>
        <v>Grammys TRA</v>
      </c>
      <c r="I413">
        <f>_xlfn.XLOOKUP(Grammys[[#This Row],[date]],mobile_visits[date],mobile_visits[mobile_visitors],0)</f>
        <v>0</v>
      </c>
      <c r="O413" s="1">
        <v>45004</v>
      </c>
      <c r="P413">
        <v>15335</v>
      </c>
    </row>
    <row r="414" spans="1:16">
      <c r="A414" s="1">
        <v>43148</v>
      </c>
      <c r="B414">
        <v>14342</v>
      </c>
      <c r="C414">
        <v>22603</v>
      </c>
      <c r="D414">
        <v>15224</v>
      </c>
      <c r="E414">
        <v>8925</v>
      </c>
      <c r="F414">
        <v>81</v>
      </c>
      <c r="G414" t="s">
        <v>9</v>
      </c>
      <c r="H414" t="str" cm="1">
        <f t="array" ref="H414">_xlfn.IFS(Grammys[[#This Row],[date]] &gt;= DATE(2022,2,1),"Grammys",TRUE,"Grammys TRA")</f>
        <v>Grammys TRA</v>
      </c>
      <c r="I414">
        <f>_xlfn.XLOOKUP(Grammys[[#This Row],[date]],mobile_visits[date],mobile_visits[mobile_visitors],0)</f>
        <v>0</v>
      </c>
      <c r="O414" s="1">
        <v>45005</v>
      </c>
      <c r="P414">
        <v>13784</v>
      </c>
    </row>
    <row r="415" spans="1:16">
      <c r="A415" s="1">
        <v>43149</v>
      </c>
      <c r="B415">
        <v>13962</v>
      </c>
      <c r="C415">
        <v>22198</v>
      </c>
      <c r="D415">
        <v>14881</v>
      </c>
      <c r="E415">
        <v>8923</v>
      </c>
      <c r="F415">
        <v>81</v>
      </c>
      <c r="G415" t="s">
        <v>9</v>
      </c>
      <c r="H415" t="str" cm="1">
        <f t="array" ref="H415">_xlfn.IFS(Grammys[[#This Row],[date]] &gt;= DATE(2022,2,1),"Grammys",TRUE,"Grammys TRA")</f>
        <v>Grammys TRA</v>
      </c>
      <c r="I415">
        <f>_xlfn.XLOOKUP(Grammys[[#This Row],[date]],mobile_visits[date],mobile_visits[mobile_visitors],0)</f>
        <v>0</v>
      </c>
      <c r="O415" s="1">
        <v>45006</v>
      </c>
      <c r="P415">
        <v>11060</v>
      </c>
    </row>
    <row r="416" spans="1:16">
      <c r="A416" s="1">
        <v>43150</v>
      </c>
      <c r="B416">
        <v>14807</v>
      </c>
      <c r="C416">
        <v>23125</v>
      </c>
      <c r="D416">
        <v>15714</v>
      </c>
      <c r="E416">
        <v>9831</v>
      </c>
      <c r="F416">
        <v>78</v>
      </c>
      <c r="G416" t="s">
        <v>9</v>
      </c>
      <c r="H416" t="str" cm="1">
        <f t="array" ref="H416">_xlfn.IFS(Grammys[[#This Row],[date]] &gt;= DATE(2022,2,1),"Grammys",TRUE,"Grammys TRA")</f>
        <v>Grammys TRA</v>
      </c>
      <c r="I416">
        <f>_xlfn.XLOOKUP(Grammys[[#This Row],[date]],mobile_visits[date],mobile_visits[mobile_visitors],0)</f>
        <v>0</v>
      </c>
      <c r="O416" s="1">
        <v>45007</v>
      </c>
      <c r="P416">
        <v>10638</v>
      </c>
    </row>
    <row r="417" spans="1:16">
      <c r="A417" s="1">
        <v>43151</v>
      </c>
      <c r="B417">
        <v>14557</v>
      </c>
      <c r="C417">
        <v>22345</v>
      </c>
      <c r="D417">
        <v>15249</v>
      </c>
      <c r="E417">
        <v>9098</v>
      </c>
      <c r="F417">
        <v>81</v>
      </c>
      <c r="G417" t="s">
        <v>9</v>
      </c>
      <c r="H417" t="str" cm="1">
        <f t="array" ref="H417">_xlfn.IFS(Grammys[[#This Row],[date]] &gt;= DATE(2022,2,1),"Grammys",TRUE,"Grammys TRA")</f>
        <v>Grammys TRA</v>
      </c>
      <c r="I417">
        <f>_xlfn.XLOOKUP(Grammys[[#This Row],[date]],mobile_visits[date],mobile_visits[mobile_visitors],0)</f>
        <v>0</v>
      </c>
      <c r="O417" s="1">
        <v>45008</v>
      </c>
      <c r="P417">
        <v>9839</v>
      </c>
    </row>
    <row r="418" spans="1:16">
      <c r="A418" s="1">
        <v>43152</v>
      </c>
      <c r="B418">
        <v>15137</v>
      </c>
      <c r="C418">
        <v>24313</v>
      </c>
      <c r="D418">
        <v>16096</v>
      </c>
      <c r="E418">
        <v>9478</v>
      </c>
      <c r="F418">
        <v>89</v>
      </c>
      <c r="G418" t="s">
        <v>9</v>
      </c>
      <c r="H418" t="str" cm="1">
        <f t="array" ref="H418">_xlfn.IFS(Grammys[[#This Row],[date]] &gt;= DATE(2022,2,1),"Grammys",TRUE,"Grammys TRA")</f>
        <v>Grammys TRA</v>
      </c>
      <c r="I418">
        <f>_xlfn.XLOOKUP(Grammys[[#This Row],[date]],mobile_visits[date],mobile_visits[mobile_visitors],0)</f>
        <v>0</v>
      </c>
      <c r="O418" s="1">
        <v>45009</v>
      </c>
      <c r="P418">
        <v>14981</v>
      </c>
    </row>
    <row r="419" spans="1:16">
      <c r="A419" s="1">
        <v>43153</v>
      </c>
      <c r="B419">
        <v>18111</v>
      </c>
      <c r="C419">
        <v>27823</v>
      </c>
      <c r="D419">
        <v>19264</v>
      </c>
      <c r="E419">
        <v>10700</v>
      </c>
      <c r="F419">
        <v>86</v>
      </c>
      <c r="G419" t="s">
        <v>9</v>
      </c>
      <c r="H419" t="str" cm="1">
        <f t="array" ref="H419">_xlfn.IFS(Grammys[[#This Row],[date]] &gt;= DATE(2022,2,1),"Grammys",TRUE,"Grammys TRA")</f>
        <v>Grammys TRA</v>
      </c>
      <c r="I419">
        <f>_xlfn.XLOOKUP(Grammys[[#This Row],[date]],mobile_visits[date],mobile_visits[mobile_visitors],0)</f>
        <v>0</v>
      </c>
      <c r="O419" s="1">
        <v>45010</v>
      </c>
      <c r="P419">
        <v>13858</v>
      </c>
    </row>
    <row r="420" spans="1:16">
      <c r="A420" s="1">
        <v>43154</v>
      </c>
      <c r="B420">
        <v>14628</v>
      </c>
      <c r="C420">
        <v>23056</v>
      </c>
      <c r="D420">
        <v>15644</v>
      </c>
      <c r="E420">
        <v>9082</v>
      </c>
      <c r="F420">
        <v>86</v>
      </c>
      <c r="G420" t="s">
        <v>9</v>
      </c>
      <c r="H420" t="str" cm="1">
        <f t="array" ref="H420">_xlfn.IFS(Grammys[[#This Row],[date]] &gt;= DATE(2022,2,1),"Grammys",TRUE,"Grammys TRA")</f>
        <v>Grammys TRA</v>
      </c>
      <c r="I420">
        <f>_xlfn.XLOOKUP(Grammys[[#This Row],[date]],mobile_visits[date],mobile_visits[mobile_visitors],0)</f>
        <v>0</v>
      </c>
      <c r="O420" s="1">
        <v>45011</v>
      </c>
      <c r="P420">
        <v>12445</v>
      </c>
    </row>
    <row r="421" spans="1:16">
      <c r="A421" s="1">
        <v>43155</v>
      </c>
      <c r="B421">
        <v>14230</v>
      </c>
      <c r="C421">
        <v>21663</v>
      </c>
      <c r="D421">
        <v>15125</v>
      </c>
      <c r="E421">
        <v>8576</v>
      </c>
      <c r="F421">
        <v>80</v>
      </c>
      <c r="G421" t="s">
        <v>9</v>
      </c>
      <c r="H421" t="str" cm="1">
        <f t="array" ref="H421">_xlfn.IFS(Grammys[[#This Row],[date]] &gt;= DATE(2022,2,1),"Grammys",TRUE,"Grammys TRA")</f>
        <v>Grammys TRA</v>
      </c>
      <c r="I421">
        <f>_xlfn.XLOOKUP(Grammys[[#This Row],[date]],mobile_visits[date],mobile_visits[mobile_visitors],0)</f>
        <v>0</v>
      </c>
      <c r="O421" s="1">
        <v>45012</v>
      </c>
      <c r="P421">
        <v>12654</v>
      </c>
    </row>
    <row r="422" spans="1:16">
      <c r="A422" s="1">
        <v>43156</v>
      </c>
      <c r="B422">
        <v>15115</v>
      </c>
      <c r="C422">
        <v>23188</v>
      </c>
      <c r="D422">
        <v>16015</v>
      </c>
      <c r="E422">
        <v>9499</v>
      </c>
      <c r="F422">
        <v>77</v>
      </c>
      <c r="G422" t="s">
        <v>9</v>
      </c>
      <c r="H422" t="str" cm="1">
        <f t="array" ref="H422">_xlfn.IFS(Grammys[[#This Row],[date]] &gt;= DATE(2022,2,1),"Grammys",TRUE,"Grammys TRA")</f>
        <v>Grammys TRA</v>
      </c>
      <c r="I422">
        <f>_xlfn.XLOOKUP(Grammys[[#This Row],[date]],mobile_visits[date],mobile_visits[mobile_visitors],0)</f>
        <v>0</v>
      </c>
      <c r="O422" s="1">
        <v>45013</v>
      </c>
      <c r="P422">
        <v>9996</v>
      </c>
    </row>
    <row r="423" spans="1:16">
      <c r="A423" s="1">
        <v>43157</v>
      </c>
      <c r="B423">
        <v>15376</v>
      </c>
      <c r="C423">
        <v>23608</v>
      </c>
      <c r="D423">
        <v>16312</v>
      </c>
      <c r="E423">
        <v>9722</v>
      </c>
      <c r="F423">
        <v>82</v>
      </c>
      <c r="G423" t="s">
        <v>9</v>
      </c>
      <c r="H423" t="str" cm="1">
        <f t="array" ref="H423">_xlfn.IFS(Grammys[[#This Row],[date]] &gt;= DATE(2022,2,1),"Grammys",TRUE,"Grammys TRA")</f>
        <v>Grammys TRA</v>
      </c>
      <c r="I423">
        <f>_xlfn.XLOOKUP(Grammys[[#This Row],[date]],mobile_visits[date],mobile_visits[mobile_visitors],0)</f>
        <v>0</v>
      </c>
      <c r="O423" s="1">
        <v>45014</v>
      </c>
      <c r="P423">
        <v>12356</v>
      </c>
    </row>
    <row r="424" spans="1:16">
      <c r="A424" s="1">
        <v>43158</v>
      </c>
      <c r="B424">
        <v>14965</v>
      </c>
      <c r="C424">
        <v>23642</v>
      </c>
      <c r="D424">
        <v>15825</v>
      </c>
      <c r="E424">
        <v>9437</v>
      </c>
      <c r="F424">
        <v>83</v>
      </c>
      <c r="G424" t="s">
        <v>9</v>
      </c>
      <c r="H424" t="str" cm="1">
        <f t="array" ref="H424">_xlfn.IFS(Grammys[[#This Row],[date]] &gt;= DATE(2022,2,1),"Grammys",TRUE,"Grammys TRA")</f>
        <v>Grammys TRA</v>
      </c>
      <c r="I424">
        <f>_xlfn.XLOOKUP(Grammys[[#This Row],[date]],mobile_visits[date],mobile_visits[mobile_visitors],0)</f>
        <v>0</v>
      </c>
      <c r="O424" s="1">
        <v>45015</v>
      </c>
      <c r="P424">
        <v>10260</v>
      </c>
    </row>
    <row r="425" spans="1:16">
      <c r="A425" s="1">
        <v>43159</v>
      </c>
      <c r="B425">
        <v>14252</v>
      </c>
      <c r="C425">
        <v>22652</v>
      </c>
      <c r="D425">
        <v>15049</v>
      </c>
      <c r="E425">
        <v>8885</v>
      </c>
      <c r="F425">
        <v>86</v>
      </c>
      <c r="G425" t="s">
        <v>9</v>
      </c>
      <c r="H425" t="str" cm="1">
        <f t="array" ref="H425">_xlfn.IFS(Grammys[[#This Row],[date]] &gt;= DATE(2022,2,1),"Grammys",TRUE,"Grammys TRA")</f>
        <v>Grammys TRA</v>
      </c>
      <c r="I425">
        <f>_xlfn.XLOOKUP(Grammys[[#This Row],[date]],mobile_visits[date],mobile_visits[mobile_visitors],0)</f>
        <v>0</v>
      </c>
      <c r="O425" s="1">
        <v>45016</v>
      </c>
      <c r="P425">
        <v>12473</v>
      </c>
    </row>
    <row r="426" spans="1:16">
      <c r="A426" s="1">
        <v>43160</v>
      </c>
      <c r="B426">
        <v>14424</v>
      </c>
      <c r="C426">
        <v>22484</v>
      </c>
      <c r="D426">
        <v>15255</v>
      </c>
      <c r="E426">
        <v>9077</v>
      </c>
      <c r="F426">
        <v>83</v>
      </c>
      <c r="G426" t="s">
        <v>9</v>
      </c>
      <c r="H426" t="str" cm="1">
        <f t="array" ref="H426">_xlfn.IFS(Grammys[[#This Row],[date]] &gt;= DATE(2022,2,1),"Grammys",TRUE,"Grammys TRA")</f>
        <v>Grammys TRA</v>
      </c>
      <c r="I426">
        <f>_xlfn.XLOOKUP(Grammys[[#This Row],[date]],mobile_visits[date],mobile_visits[mobile_visitors],0)</f>
        <v>0</v>
      </c>
      <c r="O426" s="1">
        <v>45017</v>
      </c>
      <c r="P426">
        <v>11907</v>
      </c>
    </row>
    <row r="427" spans="1:16">
      <c r="A427" s="1">
        <v>43161</v>
      </c>
      <c r="B427">
        <v>14341</v>
      </c>
      <c r="C427">
        <v>21964</v>
      </c>
      <c r="D427">
        <v>15224</v>
      </c>
      <c r="E427">
        <v>9062</v>
      </c>
      <c r="F427">
        <v>77</v>
      </c>
      <c r="G427" t="s">
        <v>9</v>
      </c>
      <c r="H427" t="str" cm="1">
        <f t="array" ref="H427">_xlfn.IFS(Grammys[[#This Row],[date]] &gt;= DATE(2022,2,1),"Grammys",TRUE,"Grammys TRA")</f>
        <v>Grammys TRA</v>
      </c>
      <c r="I427">
        <f>_xlfn.XLOOKUP(Grammys[[#This Row],[date]],mobile_visits[date],mobile_visits[mobile_visitors],0)</f>
        <v>0</v>
      </c>
      <c r="O427" s="1">
        <v>45018</v>
      </c>
      <c r="P427">
        <v>13318</v>
      </c>
    </row>
    <row r="428" spans="1:16">
      <c r="A428" s="1">
        <v>43162</v>
      </c>
      <c r="B428">
        <v>13462</v>
      </c>
      <c r="C428">
        <v>20612</v>
      </c>
      <c r="D428">
        <v>14217</v>
      </c>
      <c r="E428">
        <v>8485</v>
      </c>
      <c r="F428">
        <v>74</v>
      </c>
      <c r="G428" t="s">
        <v>9</v>
      </c>
      <c r="H428" t="str" cm="1">
        <f t="array" ref="H428">_xlfn.IFS(Grammys[[#This Row],[date]] &gt;= DATE(2022,2,1),"Grammys",TRUE,"Grammys TRA")</f>
        <v>Grammys TRA</v>
      </c>
      <c r="I428">
        <f>_xlfn.XLOOKUP(Grammys[[#This Row],[date]],mobile_visits[date],mobile_visits[mobile_visitors],0)</f>
        <v>0</v>
      </c>
      <c r="O428" s="1">
        <v>45019</v>
      </c>
      <c r="P428">
        <v>11796</v>
      </c>
    </row>
    <row r="429" spans="1:16">
      <c r="A429" s="1">
        <v>43163</v>
      </c>
      <c r="B429">
        <v>20413</v>
      </c>
      <c r="C429">
        <v>30671</v>
      </c>
      <c r="D429">
        <v>21564</v>
      </c>
      <c r="E429">
        <v>13342</v>
      </c>
      <c r="F429">
        <v>70</v>
      </c>
      <c r="G429" t="s">
        <v>9</v>
      </c>
      <c r="H429" t="str" cm="1">
        <f t="array" ref="H429">_xlfn.IFS(Grammys[[#This Row],[date]] &gt;= DATE(2022,2,1),"Grammys",TRUE,"Grammys TRA")</f>
        <v>Grammys TRA</v>
      </c>
      <c r="I429">
        <f>_xlfn.XLOOKUP(Grammys[[#This Row],[date]],mobile_visits[date],mobile_visits[mobile_visitors],0)</f>
        <v>0</v>
      </c>
      <c r="O429" s="1">
        <v>45020</v>
      </c>
      <c r="P429">
        <v>11657</v>
      </c>
    </row>
    <row r="430" spans="1:16">
      <c r="A430" s="1">
        <v>43164</v>
      </c>
      <c r="B430">
        <v>17573</v>
      </c>
      <c r="C430">
        <v>27105</v>
      </c>
      <c r="D430">
        <v>18688</v>
      </c>
      <c r="E430">
        <v>11439</v>
      </c>
      <c r="F430">
        <v>75</v>
      </c>
      <c r="G430" t="s">
        <v>9</v>
      </c>
      <c r="H430" t="str" cm="1">
        <f t="array" ref="H430">_xlfn.IFS(Grammys[[#This Row],[date]] &gt;= DATE(2022,2,1),"Grammys",TRUE,"Grammys TRA")</f>
        <v>Grammys TRA</v>
      </c>
      <c r="I430">
        <f>_xlfn.XLOOKUP(Grammys[[#This Row],[date]],mobile_visits[date],mobile_visits[mobile_visitors],0)</f>
        <v>0</v>
      </c>
      <c r="O430" s="1">
        <v>45021</v>
      </c>
      <c r="P430">
        <v>10566</v>
      </c>
    </row>
    <row r="431" spans="1:16">
      <c r="A431" s="1">
        <v>43165</v>
      </c>
      <c r="B431">
        <v>15571</v>
      </c>
      <c r="C431">
        <v>23846</v>
      </c>
      <c r="D431">
        <v>16543</v>
      </c>
      <c r="E431">
        <v>9701</v>
      </c>
      <c r="F431">
        <v>78</v>
      </c>
      <c r="G431" t="s">
        <v>9</v>
      </c>
      <c r="H431" t="str" cm="1">
        <f t="array" ref="H431">_xlfn.IFS(Grammys[[#This Row],[date]] &gt;= DATE(2022,2,1),"Grammys",TRUE,"Grammys TRA")</f>
        <v>Grammys TRA</v>
      </c>
      <c r="I431">
        <f>_xlfn.XLOOKUP(Grammys[[#This Row],[date]],mobile_visits[date],mobile_visits[mobile_visitors],0)</f>
        <v>0</v>
      </c>
      <c r="O431" s="1">
        <v>45022</v>
      </c>
      <c r="P431">
        <v>11591</v>
      </c>
    </row>
    <row r="432" spans="1:16">
      <c r="A432" s="1">
        <v>43166</v>
      </c>
      <c r="B432">
        <v>13895</v>
      </c>
      <c r="C432">
        <v>21700</v>
      </c>
      <c r="D432">
        <v>14866</v>
      </c>
      <c r="E432">
        <v>8974</v>
      </c>
      <c r="F432">
        <v>78</v>
      </c>
      <c r="G432" t="s">
        <v>9</v>
      </c>
      <c r="H432" t="str" cm="1">
        <f t="array" ref="H432">_xlfn.IFS(Grammys[[#This Row],[date]] &gt;= DATE(2022,2,1),"Grammys",TRUE,"Grammys TRA")</f>
        <v>Grammys TRA</v>
      </c>
      <c r="I432">
        <f>_xlfn.XLOOKUP(Grammys[[#This Row],[date]],mobile_visits[date],mobile_visits[mobile_visitors],0)</f>
        <v>0</v>
      </c>
      <c r="O432" s="1">
        <v>45023</v>
      </c>
      <c r="P432">
        <v>11106</v>
      </c>
    </row>
    <row r="433" spans="1:16">
      <c r="A433" s="1">
        <v>43167</v>
      </c>
      <c r="B433">
        <v>18045</v>
      </c>
      <c r="C433">
        <v>36689</v>
      </c>
      <c r="D433">
        <v>19241</v>
      </c>
      <c r="E433">
        <v>7047</v>
      </c>
      <c r="F433">
        <v>83</v>
      </c>
      <c r="G433" t="s">
        <v>9</v>
      </c>
      <c r="H433" t="str" cm="1">
        <f t="array" ref="H433">_xlfn.IFS(Grammys[[#This Row],[date]] &gt;= DATE(2022,2,1),"Grammys",TRUE,"Grammys TRA")</f>
        <v>Grammys TRA</v>
      </c>
      <c r="I433">
        <f>_xlfn.XLOOKUP(Grammys[[#This Row],[date]],mobile_visits[date],mobile_visits[mobile_visitors],0)</f>
        <v>0</v>
      </c>
      <c r="O433" s="1">
        <v>45024</v>
      </c>
      <c r="P433">
        <v>13127</v>
      </c>
    </row>
    <row r="434" spans="1:16">
      <c r="A434" s="1">
        <v>43168</v>
      </c>
      <c r="B434">
        <v>16433</v>
      </c>
      <c r="C434">
        <v>32319</v>
      </c>
      <c r="D434">
        <v>17298</v>
      </c>
      <c r="E434">
        <v>7181</v>
      </c>
      <c r="F434">
        <v>78</v>
      </c>
      <c r="G434" t="s">
        <v>9</v>
      </c>
      <c r="H434" t="str" cm="1">
        <f t="array" ref="H434">_xlfn.IFS(Grammys[[#This Row],[date]] &gt;= DATE(2022,2,1),"Grammys",TRUE,"Grammys TRA")</f>
        <v>Grammys TRA</v>
      </c>
      <c r="I434">
        <f>_xlfn.XLOOKUP(Grammys[[#This Row],[date]],mobile_visits[date],mobile_visits[mobile_visitors],0)</f>
        <v>0</v>
      </c>
      <c r="O434" s="1">
        <v>45025</v>
      </c>
      <c r="P434">
        <v>28592</v>
      </c>
    </row>
    <row r="435" spans="1:16">
      <c r="A435" s="1">
        <v>43169</v>
      </c>
      <c r="B435">
        <v>13153</v>
      </c>
      <c r="C435">
        <v>19936</v>
      </c>
      <c r="D435">
        <v>13967</v>
      </c>
      <c r="E435">
        <v>8523</v>
      </c>
      <c r="F435">
        <v>76</v>
      </c>
      <c r="G435" t="s">
        <v>9</v>
      </c>
      <c r="H435" t="str" cm="1">
        <f t="array" ref="H435">_xlfn.IFS(Grammys[[#This Row],[date]] &gt;= DATE(2022,2,1),"Grammys",TRUE,"Grammys TRA")</f>
        <v>Grammys TRA</v>
      </c>
      <c r="I435">
        <f>_xlfn.XLOOKUP(Grammys[[#This Row],[date]],mobile_visits[date],mobile_visits[mobile_visitors],0)</f>
        <v>0</v>
      </c>
      <c r="O435" s="1">
        <v>45026</v>
      </c>
      <c r="P435">
        <v>16195</v>
      </c>
    </row>
    <row r="436" spans="1:16">
      <c r="A436" s="1">
        <v>43170</v>
      </c>
      <c r="B436">
        <v>13166</v>
      </c>
      <c r="C436">
        <v>20129</v>
      </c>
      <c r="D436">
        <v>13972</v>
      </c>
      <c r="E436">
        <v>8420</v>
      </c>
      <c r="F436">
        <v>77</v>
      </c>
      <c r="G436" t="s">
        <v>9</v>
      </c>
      <c r="H436" t="str" cm="1">
        <f t="array" ref="H436">_xlfn.IFS(Grammys[[#This Row],[date]] &gt;= DATE(2022,2,1),"Grammys",TRUE,"Grammys TRA")</f>
        <v>Grammys TRA</v>
      </c>
      <c r="I436">
        <f>_xlfn.XLOOKUP(Grammys[[#This Row],[date]],mobile_visits[date],mobile_visits[mobile_visitors],0)</f>
        <v>0</v>
      </c>
      <c r="O436" s="1">
        <v>45027</v>
      </c>
      <c r="P436">
        <v>10960</v>
      </c>
    </row>
    <row r="437" spans="1:16">
      <c r="A437" s="1">
        <v>43171</v>
      </c>
      <c r="B437">
        <v>14960</v>
      </c>
      <c r="C437">
        <v>22542</v>
      </c>
      <c r="D437">
        <v>15710</v>
      </c>
      <c r="E437">
        <v>9629</v>
      </c>
      <c r="F437">
        <v>76</v>
      </c>
      <c r="G437" t="s">
        <v>9</v>
      </c>
      <c r="H437" t="str" cm="1">
        <f t="array" ref="H437">_xlfn.IFS(Grammys[[#This Row],[date]] &gt;= DATE(2022,2,1),"Grammys",TRUE,"Grammys TRA")</f>
        <v>Grammys TRA</v>
      </c>
      <c r="I437">
        <f>_xlfn.XLOOKUP(Grammys[[#This Row],[date]],mobile_visits[date],mobile_visits[mobile_visitors],0)</f>
        <v>0</v>
      </c>
      <c r="O437" s="1">
        <v>45028</v>
      </c>
      <c r="P437">
        <v>9748</v>
      </c>
    </row>
    <row r="438" spans="1:16">
      <c r="A438" s="1">
        <v>43172</v>
      </c>
      <c r="B438">
        <v>12650</v>
      </c>
      <c r="C438">
        <v>18902</v>
      </c>
      <c r="D438">
        <v>13167</v>
      </c>
      <c r="E438">
        <v>7803</v>
      </c>
      <c r="F438">
        <v>81</v>
      </c>
      <c r="G438" t="s">
        <v>9</v>
      </c>
      <c r="H438" t="str" cm="1">
        <f t="array" ref="H438">_xlfn.IFS(Grammys[[#This Row],[date]] &gt;= DATE(2022,2,1),"Grammys",TRUE,"Grammys TRA")</f>
        <v>Grammys TRA</v>
      </c>
      <c r="I438">
        <f>_xlfn.XLOOKUP(Grammys[[#This Row],[date]],mobile_visits[date],mobile_visits[mobile_visitors],0)</f>
        <v>0</v>
      </c>
      <c r="O438" s="1">
        <v>45029</v>
      </c>
      <c r="P438">
        <v>10076</v>
      </c>
    </row>
    <row r="439" spans="1:16">
      <c r="A439" s="1">
        <v>43173</v>
      </c>
      <c r="B439">
        <v>12623</v>
      </c>
      <c r="C439">
        <v>18381</v>
      </c>
      <c r="D439">
        <v>13029</v>
      </c>
      <c r="E439">
        <v>7617</v>
      </c>
      <c r="F439">
        <v>80</v>
      </c>
      <c r="G439" t="s">
        <v>9</v>
      </c>
      <c r="H439" t="str" cm="1">
        <f t="array" ref="H439">_xlfn.IFS(Grammys[[#This Row],[date]] &gt;= DATE(2022,2,1),"Grammys",TRUE,"Grammys TRA")</f>
        <v>Grammys TRA</v>
      </c>
      <c r="I439">
        <f>_xlfn.XLOOKUP(Grammys[[#This Row],[date]],mobile_visits[date],mobile_visits[mobile_visitors],0)</f>
        <v>0</v>
      </c>
      <c r="O439" s="1">
        <v>45030</v>
      </c>
      <c r="P439">
        <v>11806</v>
      </c>
    </row>
    <row r="440" spans="1:16">
      <c r="A440" s="1">
        <v>43174</v>
      </c>
      <c r="B440">
        <v>11401</v>
      </c>
      <c r="C440">
        <v>16916</v>
      </c>
      <c r="D440">
        <v>11832</v>
      </c>
      <c r="E440">
        <v>6980</v>
      </c>
      <c r="F440">
        <v>77</v>
      </c>
      <c r="G440" t="s">
        <v>9</v>
      </c>
      <c r="H440" t="str" cm="1">
        <f t="array" ref="H440">_xlfn.IFS(Grammys[[#This Row],[date]] &gt;= DATE(2022,2,1),"Grammys",TRUE,"Grammys TRA")</f>
        <v>Grammys TRA</v>
      </c>
      <c r="I440">
        <f>_xlfn.XLOOKUP(Grammys[[#This Row],[date]],mobile_visits[date],mobile_visits[mobile_visitors],0)</f>
        <v>0</v>
      </c>
      <c r="O440" s="1">
        <v>45031</v>
      </c>
      <c r="P440">
        <v>11785</v>
      </c>
    </row>
    <row r="441" spans="1:16">
      <c r="A441" s="1">
        <v>43175</v>
      </c>
      <c r="B441">
        <v>11065</v>
      </c>
      <c r="C441">
        <v>15929</v>
      </c>
      <c r="D441">
        <v>11447</v>
      </c>
      <c r="E441">
        <v>6749</v>
      </c>
      <c r="F441">
        <v>72</v>
      </c>
      <c r="G441" t="s">
        <v>9</v>
      </c>
      <c r="H441" t="str" cm="1">
        <f t="array" ref="H441">_xlfn.IFS(Grammys[[#This Row],[date]] &gt;= DATE(2022,2,1),"Grammys",TRUE,"Grammys TRA")</f>
        <v>Grammys TRA</v>
      </c>
      <c r="I441">
        <f>_xlfn.XLOOKUP(Grammys[[#This Row],[date]],mobile_visits[date],mobile_visits[mobile_visitors],0)</f>
        <v>0</v>
      </c>
      <c r="O441" s="1">
        <v>45032</v>
      </c>
      <c r="P441">
        <v>12254</v>
      </c>
    </row>
    <row r="442" spans="1:16">
      <c r="A442" s="1">
        <v>43176</v>
      </c>
      <c r="B442">
        <v>10333</v>
      </c>
      <c r="C442">
        <v>14987</v>
      </c>
      <c r="D442">
        <v>10714</v>
      </c>
      <c r="E442">
        <v>6251</v>
      </c>
      <c r="F442">
        <v>77</v>
      </c>
      <c r="G442" t="s">
        <v>9</v>
      </c>
      <c r="H442" t="str" cm="1">
        <f t="array" ref="H442">_xlfn.IFS(Grammys[[#This Row],[date]] &gt;= DATE(2022,2,1),"Grammys",TRUE,"Grammys TRA")</f>
        <v>Grammys TRA</v>
      </c>
      <c r="I442">
        <f>_xlfn.XLOOKUP(Grammys[[#This Row],[date]],mobile_visits[date],mobile_visits[mobile_visitors],0)</f>
        <v>0</v>
      </c>
      <c r="O442" s="1">
        <v>45033</v>
      </c>
      <c r="P442">
        <v>11900</v>
      </c>
    </row>
    <row r="443" spans="1:16">
      <c r="A443" s="1">
        <v>43177</v>
      </c>
      <c r="B443">
        <v>12536</v>
      </c>
      <c r="C443">
        <v>17448</v>
      </c>
      <c r="D443">
        <v>12801</v>
      </c>
      <c r="E443">
        <v>7997</v>
      </c>
      <c r="F443">
        <v>70</v>
      </c>
      <c r="G443" t="s">
        <v>9</v>
      </c>
      <c r="H443" t="str" cm="1">
        <f t="array" ref="H443">_xlfn.IFS(Grammys[[#This Row],[date]] &gt;= DATE(2022,2,1),"Grammys",TRUE,"Grammys TRA")</f>
        <v>Grammys TRA</v>
      </c>
      <c r="I443">
        <f>_xlfn.XLOOKUP(Grammys[[#This Row],[date]],mobile_visits[date],mobile_visits[mobile_visitors],0)</f>
        <v>0</v>
      </c>
      <c r="O443" s="1">
        <v>45034</v>
      </c>
      <c r="P443">
        <v>9823</v>
      </c>
    </row>
    <row r="444" spans="1:16">
      <c r="A444" s="1">
        <v>43178</v>
      </c>
      <c r="B444">
        <v>12171</v>
      </c>
      <c r="C444">
        <v>17647</v>
      </c>
      <c r="D444">
        <v>12598</v>
      </c>
      <c r="E444">
        <v>7467</v>
      </c>
      <c r="F444">
        <v>76</v>
      </c>
      <c r="G444" t="s">
        <v>9</v>
      </c>
      <c r="H444" t="str" cm="1">
        <f t="array" ref="H444">_xlfn.IFS(Grammys[[#This Row],[date]] &gt;= DATE(2022,2,1),"Grammys",TRUE,"Grammys TRA")</f>
        <v>Grammys TRA</v>
      </c>
      <c r="I444">
        <f>_xlfn.XLOOKUP(Grammys[[#This Row],[date]],mobile_visits[date],mobile_visits[mobile_visitors],0)</f>
        <v>0</v>
      </c>
      <c r="O444" s="1">
        <v>45035</v>
      </c>
      <c r="P444">
        <v>11113</v>
      </c>
    </row>
    <row r="445" spans="1:16">
      <c r="A445" s="1">
        <v>43179</v>
      </c>
      <c r="B445">
        <v>11870</v>
      </c>
      <c r="C445">
        <v>17751</v>
      </c>
      <c r="D445">
        <v>12335</v>
      </c>
      <c r="E445">
        <v>7267</v>
      </c>
      <c r="F445">
        <v>86</v>
      </c>
      <c r="G445" t="s">
        <v>9</v>
      </c>
      <c r="H445" t="str" cm="1">
        <f t="array" ref="H445">_xlfn.IFS(Grammys[[#This Row],[date]] &gt;= DATE(2022,2,1),"Grammys",TRUE,"Grammys TRA")</f>
        <v>Grammys TRA</v>
      </c>
      <c r="I445">
        <f>_xlfn.XLOOKUP(Grammys[[#This Row],[date]],mobile_visits[date],mobile_visits[mobile_visitors],0)</f>
        <v>0</v>
      </c>
      <c r="O445" s="1">
        <v>45036</v>
      </c>
      <c r="P445">
        <v>12558</v>
      </c>
    </row>
    <row r="446" spans="1:16">
      <c r="A446" s="1">
        <v>43180</v>
      </c>
      <c r="B446">
        <v>11377</v>
      </c>
      <c r="C446">
        <v>16460</v>
      </c>
      <c r="D446">
        <v>11654</v>
      </c>
      <c r="E446">
        <v>6892</v>
      </c>
      <c r="F446">
        <v>79</v>
      </c>
      <c r="G446" t="s">
        <v>9</v>
      </c>
      <c r="H446" t="str" cm="1">
        <f t="array" ref="H446">_xlfn.IFS(Grammys[[#This Row],[date]] &gt;= DATE(2022,2,1),"Grammys",TRUE,"Grammys TRA")</f>
        <v>Grammys TRA</v>
      </c>
      <c r="I446">
        <f>_xlfn.XLOOKUP(Grammys[[#This Row],[date]],mobile_visits[date],mobile_visits[mobile_visitors],0)</f>
        <v>0</v>
      </c>
      <c r="O446" s="1">
        <v>45037</v>
      </c>
      <c r="P446">
        <v>12684</v>
      </c>
    </row>
    <row r="447" spans="1:16">
      <c r="A447" s="1">
        <v>43181</v>
      </c>
      <c r="B447">
        <v>11892</v>
      </c>
      <c r="C447">
        <v>17304</v>
      </c>
      <c r="D447">
        <v>12215</v>
      </c>
      <c r="E447">
        <v>7116</v>
      </c>
      <c r="F447">
        <v>84</v>
      </c>
      <c r="G447" t="s">
        <v>9</v>
      </c>
      <c r="H447" t="str" cm="1">
        <f t="array" ref="H447">_xlfn.IFS(Grammys[[#This Row],[date]] &gt;= DATE(2022,2,1),"Grammys",TRUE,"Grammys TRA")</f>
        <v>Grammys TRA</v>
      </c>
      <c r="I447">
        <f>_xlfn.XLOOKUP(Grammys[[#This Row],[date]],mobile_visits[date],mobile_visits[mobile_visitors],0)</f>
        <v>0</v>
      </c>
      <c r="O447" s="1">
        <v>45038</v>
      </c>
      <c r="P447">
        <v>12440</v>
      </c>
    </row>
    <row r="448" spans="1:16">
      <c r="A448" s="1">
        <v>43182</v>
      </c>
      <c r="B448">
        <v>10390</v>
      </c>
      <c r="C448">
        <v>15230</v>
      </c>
      <c r="D448">
        <v>10893</v>
      </c>
      <c r="E448">
        <v>6398</v>
      </c>
      <c r="F448">
        <v>79</v>
      </c>
      <c r="G448" t="s">
        <v>9</v>
      </c>
      <c r="H448" t="str" cm="1">
        <f t="array" ref="H448">_xlfn.IFS(Grammys[[#This Row],[date]] &gt;= DATE(2022,2,1),"Grammys",TRUE,"Grammys TRA")</f>
        <v>Grammys TRA</v>
      </c>
      <c r="I448">
        <f>_xlfn.XLOOKUP(Grammys[[#This Row],[date]],mobile_visits[date],mobile_visits[mobile_visitors],0)</f>
        <v>0</v>
      </c>
      <c r="O448" s="1">
        <v>45039</v>
      </c>
      <c r="P448">
        <v>13024</v>
      </c>
    </row>
    <row r="449" spans="1:16">
      <c r="A449" s="1">
        <v>43183</v>
      </c>
      <c r="B449">
        <v>13761</v>
      </c>
      <c r="C449">
        <v>18858</v>
      </c>
      <c r="D449">
        <v>14345</v>
      </c>
      <c r="E449">
        <v>7061</v>
      </c>
      <c r="F449">
        <v>67</v>
      </c>
      <c r="G449" t="s">
        <v>9</v>
      </c>
      <c r="H449" t="str" cm="1">
        <f t="array" ref="H449">_xlfn.IFS(Grammys[[#This Row],[date]] &gt;= DATE(2022,2,1),"Grammys",TRUE,"Grammys TRA")</f>
        <v>Grammys TRA</v>
      </c>
      <c r="I449">
        <f>_xlfn.XLOOKUP(Grammys[[#This Row],[date]],mobile_visits[date],mobile_visits[mobile_visitors],0)</f>
        <v>0</v>
      </c>
      <c r="O449" s="1">
        <v>45040</v>
      </c>
      <c r="P449">
        <v>12430</v>
      </c>
    </row>
    <row r="450" spans="1:16">
      <c r="A450" s="1">
        <v>43184</v>
      </c>
      <c r="B450">
        <v>11217</v>
      </c>
      <c r="C450">
        <v>16236</v>
      </c>
      <c r="D450">
        <v>11672</v>
      </c>
      <c r="E450">
        <v>6609</v>
      </c>
      <c r="F450">
        <v>76</v>
      </c>
      <c r="G450" t="s">
        <v>9</v>
      </c>
      <c r="H450" t="str" cm="1">
        <f t="array" ref="H450">_xlfn.IFS(Grammys[[#This Row],[date]] &gt;= DATE(2022,2,1),"Grammys",TRUE,"Grammys TRA")</f>
        <v>Grammys TRA</v>
      </c>
      <c r="I450">
        <f>_xlfn.XLOOKUP(Grammys[[#This Row],[date]],mobile_visits[date],mobile_visits[mobile_visitors],0)</f>
        <v>0</v>
      </c>
      <c r="O450" s="1">
        <v>45041</v>
      </c>
      <c r="P450">
        <v>10518</v>
      </c>
    </row>
    <row r="451" spans="1:16">
      <c r="A451" s="1">
        <v>43185</v>
      </c>
      <c r="B451">
        <v>11018</v>
      </c>
      <c r="C451">
        <v>16205</v>
      </c>
      <c r="D451">
        <v>11400</v>
      </c>
      <c r="E451">
        <v>6655</v>
      </c>
      <c r="F451">
        <v>84</v>
      </c>
      <c r="G451" t="s">
        <v>9</v>
      </c>
      <c r="H451" t="str" cm="1">
        <f t="array" ref="H451">_xlfn.IFS(Grammys[[#This Row],[date]] &gt;= DATE(2022,2,1),"Grammys",TRUE,"Grammys TRA")</f>
        <v>Grammys TRA</v>
      </c>
      <c r="I451">
        <f>_xlfn.XLOOKUP(Grammys[[#This Row],[date]],mobile_visits[date],mobile_visits[mobile_visitors],0)</f>
        <v>0</v>
      </c>
      <c r="O451" s="1">
        <v>45042</v>
      </c>
      <c r="P451">
        <v>8854</v>
      </c>
    </row>
    <row r="452" spans="1:16">
      <c r="A452" s="1">
        <v>43186</v>
      </c>
      <c r="B452">
        <v>11937</v>
      </c>
      <c r="C452">
        <v>17194</v>
      </c>
      <c r="D452">
        <v>12467</v>
      </c>
      <c r="E452">
        <v>7199</v>
      </c>
      <c r="F452">
        <v>74</v>
      </c>
      <c r="G452" t="s">
        <v>9</v>
      </c>
      <c r="H452" t="str" cm="1">
        <f t="array" ref="H452">_xlfn.IFS(Grammys[[#This Row],[date]] &gt;= DATE(2022,2,1),"Grammys",TRUE,"Grammys TRA")</f>
        <v>Grammys TRA</v>
      </c>
      <c r="I452">
        <f>_xlfn.XLOOKUP(Grammys[[#This Row],[date]],mobile_visits[date],mobile_visits[mobile_visitors],0)</f>
        <v>0</v>
      </c>
      <c r="O452" s="1">
        <v>45043</v>
      </c>
      <c r="P452">
        <v>7546</v>
      </c>
    </row>
    <row r="453" spans="1:16">
      <c r="A453" s="1">
        <v>43187</v>
      </c>
      <c r="B453">
        <v>11564</v>
      </c>
      <c r="C453">
        <v>16114</v>
      </c>
      <c r="D453">
        <v>11798</v>
      </c>
      <c r="E453">
        <v>6787</v>
      </c>
      <c r="F453">
        <v>72</v>
      </c>
      <c r="G453" t="s">
        <v>9</v>
      </c>
      <c r="H453" t="str" cm="1">
        <f t="array" ref="H453">_xlfn.IFS(Grammys[[#This Row],[date]] &gt;= DATE(2022,2,1),"Grammys",TRUE,"Grammys TRA")</f>
        <v>Grammys TRA</v>
      </c>
      <c r="I453">
        <f>_xlfn.XLOOKUP(Grammys[[#This Row],[date]],mobile_visits[date],mobile_visits[mobile_visitors],0)</f>
        <v>0</v>
      </c>
      <c r="O453" s="1">
        <v>45044</v>
      </c>
      <c r="P453">
        <v>8888</v>
      </c>
    </row>
    <row r="454" spans="1:16">
      <c r="A454" s="1">
        <v>43188</v>
      </c>
      <c r="B454">
        <v>10577</v>
      </c>
      <c r="C454">
        <v>15037</v>
      </c>
      <c r="D454">
        <v>11006</v>
      </c>
      <c r="E454">
        <v>6504</v>
      </c>
      <c r="F454">
        <v>78</v>
      </c>
      <c r="G454" t="s">
        <v>9</v>
      </c>
      <c r="H454" t="str" cm="1">
        <f t="array" ref="H454">_xlfn.IFS(Grammys[[#This Row],[date]] &gt;= DATE(2022,2,1),"Grammys",TRUE,"Grammys TRA")</f>
        <v>Grammys TRA</v>
      </c>
      <c r="I454">
        <f>_xlfn.XLOOKUP(Grammys[[#This Row],[date]],mobile_visits[date],mobile_visits[mobile_visitors],0)</f>
        <v>0</v>
      </c>
      <c r="O454" s="1">
        <v>45045</v>
      </c>
      <c r="P454">
        <v>9372</v>
      </c>
    </row>
    <row r="455" spans="1:16">
      <c r="A455" s="1">
        <v>43189</v>
      </c>
      <c r="B455">
        <v>14669</v>
      </c>
      <c r="C455">
        <v>19334</v>
      </c>
      <c r="D455">
        <v>15052</v>
      </c>
      <c r="E455">
        <v>7558</v>
      </c>
      <c r="F455">
        <v>74</v>
      </c>
      <c r="G455" t="s">
        <v>9</v>
      </c>
      <c r="H455" t="str" cm="1">
        <f t="array" ref="H455">_xlfn.IFS(Grammys[[#This Row],[date]] &gt;= DATE(2022,2,1),"Grammys",TRUE,"Grammys TRA")</f>
        <v>Grammys TRA</v>
      </c>
      <c r="I455">
        <f>_xlfn.XLOOKUP(Grammys[[#This Row],[date]],mobile_visits[date],mobile_visits[mobile_visitors],0)</f>
        <v>0</v>
      </c>
      <c r="O455" s="1">
        <v>45046</v>
      </c>
      <c r="P455">
        <v>10011</v>
      </c>
    </row>
    <row r="456" spans="1:16">
      <c r="A456" s="1">
        <v>43190</v>
      </c>
      <c r="B456">
        <v>12940</v>
      </c>
      <c r="C456">
        <v>17515</v>
      </c>
      <c r="D456">
        <v>13226</v>
      </c>
      <c r="E456">
        <v>7426</v>
      </c>
      <c r="F456">
        <v>68</v>
      </c>
      <c r="G456" t="s">
        <v>9</v>
      </c>
      <c r="H456" t="str" cm="1">
        <f t="array" ref="H456">_xlfn.IFS(Grammys[[#This Row],[date]] &gt;= DATE(2022,2,1),"Grammys",TRUE,"Grammys TRA")</f>
        <v>Grammys TRA</v>
      </c>
      <c r="I456">
        <f>_xlfn.XLOOKUP(Grammys[[#This Row],[date]],mobile_visits[date],mobile_visits[mobile_visitors],0)</f>
        <v>0</v>
      </c>
      <c r="O456" s="1">
        <v>45047</v>
      </c>
      <c r="P456">
        <v>11833</v>
      </c>
    </row>
    <row r="457" spans="1:16">
      <c r="A457" s="1">
        <v>43191</v>
      </c>
      <c r="B457">
        <v>10324</v>
      </c>
      <c r="C457">
        <v>14529</v>
      </c>
      <c r="D457">
        <v>10544</v>
      </c>
      <c r="E457">
        <v>6237</v>
      </c>
      <c r="F457">
        <v>75</v>
      </c>
      <c r="G457" t="s">
        <v>9</v>
      </c>
      <c r="H457" t="str" cm="1">
        <f t="array" ref="H457">_xlfn.IFS(Grammys[[#This Row],[date]] &gt;= DATE(2022,2,1),"Grammys",TRUE,"Grammys TRA")</f>
        <v>Grammys TRA</v>
      </c>
      <c r="I457">
        <f>_xlfn.XLOOKUP(Grammys[[#This Row],[date]],mobile_visits[date],mobile_visits[mobile_visitors],0)</f>
        <v>0</v>
      </c>
      <c r="O457" s="1">
        <v>45048</v>
      </c>
      <c r="P457">
        <v>13740</v>
      </c>
    </row>
    <row r="458" spans="1:16">
      <c r="A458" s="1">
        <v>43192</v>
      </c>
      <c r="B458">
        <v>10708</v>
      </c>
      <c r="C458">
        <v>15752</v>
      </c>
      <c r="D458">
        <v>11194</v>
      </c>
      <c r="E458">
        <v>6693</v>
      </c>
      <c r="F458">
        <v>78</v>
      </c>
      <c r="G458" t="s">
        <v>9</v>
      </c>
      <c r="H458" t="str" cm="1">
        <f t="array" ref="H458">_xlfn.IFS(Grammys[[#This Row],[date]] &gt;= DATE(2022,2,1),"Grammys",TRUE,"Grammys TRA")</f>
        <v>Grammys TRA</v>
      </c>
      <c r="I458">
        <f>_xlfn.XLOOKUP(Grammys[[#This Row],[date]],mobile_visits[date],mobile_visits[mobile_visitors],0)</f>
        <v>0</v>
      </c>
      <c r="O458" s="1">
        <v>45049</v>
      </c>
      <c r="P458">
        <v>10769</v>
      </c>
    </row>
    <row r="459" spans="1:16">
      <c r="A459" s="1">
        <v>43193</v>
      </c>
      <c r="B459">
        <v>11391</v>
      </c>
      <c r="C459">
        <v>16220</v>
      </c>
      <c r="D459">
        <v>11647</v>
      </c>
      <c r="E459">
        <v>6826</v>
      </c>
      <c r="F459">
        <v>71</v>
      </c>
      <c r="G459" t="s">
        <v>9</v>
      </c>
      <c r="H459" t="str" cm="1">
        <f t="array" ref="H459">_xlfn.IFS(Grammys[[#This Row],[date]] &gt;= DATE(2022,2,1),"Grammys",TRUE,"Grammys TRA")</f>
        <v>Grammys TRA</v>
      </c>
      <c r="I459">
        <f>_xlfn.XLOOKUP(Grammys[[#This Row],[date]],mobile_visits[date],mobile_visits[mobile_visitors],0)</f>
        <v>0</v>
      </c>
      <c r="O459" s="1">
        <v>45050</v>
      </c>
      <c r="P459">
        <v>10421</v>
      </c>
    </row>
    <row r="460" spans="1:16">
      <c r="A460" s="1">
        <v>43194</v>
      </c>
      <c r="B460">
        <v>10868</v>
      </c>
      <c r="C460">
        <v>15648</v>
      </c>
      <c r="D460">
        <v>11330</v>
      </c>
      <c r="E460">
        <v>6699</v>
      </c>
      <c r="F460">
        <v>74</v>
      </c>
      <c r="G460" t="s">
        <v>9</v>
      </c>
      <c r="H460" t="str" cm="1">
        <f t="array" ref="H460">_xlfn.IFS(Grammys[[#This Row],[date]] &gt;= DATE(2022,2,1),"Grammys",TRUE,"Grammys TRA")</f>
        <v>Grammys TRA</v>
      </c>
      <c r="I460">
        <f>_xlfn.XLOOKUP(Grammys[[#This Row],[date]],mobile_visits[date],mobile_visits[mobile_visitors],0)</f>
        <v>0</v>
      </c>
      <c r="O460" s="1">
        <v>45051</v>
      </c>
      <c r="P460">
        <v>8569</v>
      </c>
    </row>
    <row r="461" spans="1:16">
      <c r="A461" s="1">
        <v>43195</v>
      </c>
      <c r="B461">
        <v>12621</v>
      </c>
      <c r="C461">
        <v>17980</v>
      </c>
      <c r="D461">
        <v>13104</v>
      </c>
      <c r="E461">
        <v>8113</v>
      </c>
      <c r="F461">
        <v>69</v>
      </c>
      <c r="G461" t="s">
        <v>9</v>
      </c>
      <c r="H461" t="str" cm="1">
        <f t="array" ref="H461">_xlfn.IFS(Grammys[[#This Row],[date]] &gt;= DATE(2022,2,1),"Grammys",TRUE,"Grammys TRA")</f>
        <v>Grammys TRA</v>
      </c>
      <c r="I461">
        <f>_xlfn.XLOOKUP(Grammys[[#This Row],[date]],mobile_visits[date],mobile_visits[mobile_visitors],0)</f>
        <v>0</v>
      </c>
      <c r="O461" s="1">
        <v>45052</v>
      </c>
      <c r="P461">
        <v>9095</v>
      </c>
    </row>
    <row r="462" spans="1:16">
      <c r="A462" s="1">
        <v>43196</v>
      </c>
      <c r="B462">
        <v>14754</v>
      </c>
      <c r="C462">
        <v>19798</v>
      </c>
      <c r="D462">
        <v>15095</v>
      </c>
      <c r="E462">
        <v>7691</v>
      </c>
      <c r="F462">
        <v>71</v>
      </c>
      <c r="G462" t="s">
        <v>9</v>
      </c>
      <c r="H462" t="str" cm="1">
        <f t="array" ref="H462">_xlfn.IFS(Grammys[[#This Row],[date]] &gt;= DATE(2022,2,1),"Grammys",TRUE,"Grammys TRA")</f>
        <v>Grammys TRA</v>
      </c>
      <c r="I462">
        <f>_xlfn.XLOOKUP(Grammys[[#This Row],[date]],mobile_visits[date],mobile_visits[mobile_visitors],0)</f>
        <v>0</v>
      </c>
      <c r="O462" s="1">
        <v>45053</v>
      </c>
      <c r="P462">
        <v>9664</v>
      </c>
    </row>
    <row r="463" spans="1:16">
      <c r="A463" s="1">
        <v>43197</v>
      </c>
      <c r="B463">
        <v>13945</v>
      </c>
      <c r="C463">
        <v>18796</v>
      </c>
      <c r="D463">
        <v>14281</v>
      </c>
      <c r="E463">
        <v>7569</v>
      </c>
      <c r="F463">
        <v>70</v>
      </c>
      <c r="G463" t="s">
        <v>9</v>
      </c>
      <c r="H463" t="str" cm="1">
        <f t="array" ref="H463">_xlfn.IFS(Grammys[[#This Row],[date]] &gt;= DATE(2022,2,1),"Grammys",TRUE,"Grammys TRA")</f>
        <v>Grammys TRA</v>
      </c>
      <c r="I463">
        <f>_xlfn.XLOOKUP(Grammys[[#This Row],[date]],mobile_visits[date],mobile_visits[mobile_visitors],0)</f>
        <v>0</v>
      </c>
      <c r="O463" s="1">
        <v>45054</v>
      </c>
      <c r="P463">
        <v>18116</v>
      </c>
    </row>
    <row r="464" spans="1:16">
      <c r="A464" s="1">
        <v>43198</v>
      </c>
      <c r="B464">
        <v>12451</v>
      </c>
      <c r="C464">
        <v>17427</v>
      </c>
      <c r="D464">
        <v>12844</v>
      </c>
      <c r="E464">
        <v>7350</v>
      </c>
      <c r="F464">
        <v>71</v>
      </c>
      <c r="G464" t="s">
        <v>9</v>
      </c>
      <c r="H464" t="str" cm="1">
        <f t="array" ref="H464">_xlfn.IFS(Grammys[[#This Row],[date]] &gt;= DATE(2022,2,1),"Grammys",TRUE,"Grammys TRA")</f>
        <v>Grammys TRA</v>
      </c>
      <c r="I464">
        <f>_xlfn.XLOOKUP(Grammys[[#This Row],[date]],mobile_visits[date],mobile_visits[mobile_visitors],0)</f>
        <v>0</v>
      </c>
      <c r="O464" s="1">
        <v>45055</v>
      </c>
      <c r="P464">
        <v>15006</v>
      </c>
    </row>
    <row r="465" spans="1:16">
      <c r="A465" s="1">
        <v>43199</v>
      </c>
      <c r="B465">
        <v>13034</v>
      </c>
      <c r="C465">
        <v>19018</v>
      </c>
      <c r="D465">
        <v>13480</v>
      </c>
      <c r="E465">
        <v>7722</v>
      </c>
      <c r="F465">
        <v>74</v>
      </c>
      <c r="G465" t="s">
        <v>9</v>
      </c>
      <c r="H465" t="str" cm="1">
        <f t="array" ref="H465">_xlfn.IFS(Grammys[[#This Row],[date]] &gt;= DATE(2022,2,1),"Grammys",TRUE,"Grammys TRA")</f>
        <v>Grammys TRA</v>
      </c>
      <c r="I465">
        <f>_xlfn.XLOOKUP(Grammys[[#This Row],[date]],mobile_visits[date],mobile_visits[mobile_visitors],0)</f>
        <v>0</v>
      </c>
      <c r="O465" s="1">
        <v>45056</v>
      </c>
      <c r="P465">
        <v>19099</v>
      </c>
    </row>
    <row r="466" spans="1:16">
      <c r="A466" s="1">
        <v>43200</v>
      </c>
      <c r="B466">
        <v>24432</v>
      </c>
      <c r="C466">
        <v>35926</v>
      </c>
      <c r="D466">
        <v>25403</v>
      </c>
      <c r="E466">
        <v>13406</v>
      </c>
      <c r="F466">
        <v>81</v>
      </c>
      <c r="G466" t="s">
        <v>9</v>
      </c>
      <c r="H466" t="str" cm="1">
        <f t="array" ref="H466">_xlfn.IFS(Grammys[[#This Row],[date]] &gt;= DATE(2022,2,1),"Grammys",TRUE,"Grammys TRA")</f>
        <v>Grammys TRA</v>
      </c>
      <c r="I466">
        <f>_xlfn.XLOOKUP(Grammys[[#This Row],[date]],mobile_visits[date],mobile_visits[mobile_visitors],0)</f>
        <v>0</v>
      </c>
      <c r="O466" s="1">
        <v>45057</v>
      </c>
      <c r="P466">
        <v>14490</v>
      </c>
    </row>
    <row r="467" spans="1:16">
      <c r="A467" s="1">
        <v>43201</v>
      </c>
      <c r="B467">
        <v>22569</v>
      </c>
      <c r="C467">
        <v>33376</v>
      </c>
      <c r="D467">
        <v>23297</v>
      </c>
      <c r="E467">
        <v>11262</v>
      </c>
      <c r="F467">
        <v>80</v>
      </c>
      <c r="G467" t="s">
        <v>9</v>
      </c>
      <c r="H467" t="str" cm="1">
        <f t="array" ref="H467">_xlfn.IFS(Grammys[[#This Row],[date]] &gt;= DATE(2022,2,1),"Grammys",TRUE,"Grammys TRA")</f>
        <v>Grammys TRA</v>
      </c>
      <c r="I467">
        <f>_xlfn.XLOOKUP(Grammys[[#This Row],[date]],mobile_visits[date],mobile_visits[mobile_visitors],0)</f>
        <v>0</v>
      </c>
      <c r="O467" s="1">
        <v>45058</v>
      </c>
      <c r="P467">
        <v>12174</v>
      </c>
    </row>
    <row r="468" spans="1:16">
      <c r="A468" s="1">
        <v>43202</v>
      </c>
      <c r="B468">
        <v>16688</v>
      </c>
      <c r="C468">
        <v>24528</v>
      </c>
      <c r="D468">
        <v>17327</v>
      </c>
      <c r="E468">
        <v>9768</v>
      </c>
      <c r="F468">
        <v>75</v>
      </c>
      <c r="G468" t="s">
        <v>9</v>
      </c>
      <c r="H468" t="str" cm="1">
        <f t="array" ref="H468">_xlfn.IFS(Grammys[[#This Row],[date]] &gt;= DATE(2022,2,1),"Grammys",TRUE,"Grammys TRA")</f>
        <v>Grammys TRA</v>
      </c>
      <c r="I468">
        <f>_xlfn.XLOOKUP(Grammys[[#This Row],[date]],mobile_visits[date],mobile_visits[mobile_visitors],0)</f>
        <v>0</v>
      </c>
      <c r="O468" s="1">
        <v>45059</v>
      </c>
      <c r="P468">
        <v>11056</v>
      </c>
    </row>
    <row r="469" spans="1:16">
      <c r="A469" s="1">
        <v>43203</v>
      </c>
      <c r="B469">
        <v>13873</v>
      </c>
      <c r="C469">
        <v>20125</v>
      </c>
      <c r="D469">
        <v>14311</v>
      </c>
      <c r="E469">
        <v>7986</v>
      </c>
      <c r="F469">
        <v>75</v>
      </c>
      <c r="G469" t="s">
        <v>9</v>
      </c>
      <c r="H469" t="str" cm="1">
        <f t="array" ref="H469">_xlfn.IFS(Grammys[[#This Row],[date]] &gt;= DATE(2022,2,1),"Grammys",TRUE,"Grammys TRA")</f>
        <v>Grammys TRA</v>
      </c>
      <c r="I469">
        <f>_xlfn.XLOOKUP(Grammys[[#This Row],[date]],mobile_visits[date],mobile_visits[mobile_visitors],0)</f>
        <v>0</v>
      </c>
      <c r="O469" s="1">
        <v>45060</v>
      </c>
      <c r="P469">
        <v>14688</v>
      </c>
    </row>
    <row r="470" spans="1:16">
      <c r="A470" s="1">
        <v>43204</v>
      </c>
      <c r="B470">
        <v>13482</v>
      </c>
      <c r="C470">
        <v>18419</v>
      </c>
      <c r="D470">
        <v>13835</v>
      </c>
      <c r="E470">
        <v>7957</v>
      </c>
      <c r="F470">
        <v>65</v>
      </c>
      <c r="G470" t="s">
        <v>9</v>
      </c>
      <c r="H470" t="str" cm="1">
        <f t="array" ref="H470">_xlfn.IFS(Grammys[[#This Row],[date]] &gt;= DATE(2022,2,1),"Grammys",TRUE,"Grammys TRA")</f>
        <v>Grammys TRA</v>
      </c>
      <c r="I470">
        <f>_xlfn.XLOOKUP(Grammys[[#This Row],[date]],mobile_visits[date],mobile_visits[mobile_visitors],0)</f>
        <v>0</v>
      </c>
      <c r="O470" s="1">
        <v>45061</v>
      </c>
      <c r="P470">
        <v>11255</v>
      </c>
    </row>
    <row r="471" spans="1:16">
      <c r="A471" s="1">
        <v>43205</v>
      </c>
      <c r="B471">
        <v>16003</v>
      </c>
      <c r="C471">
        <v>22607</v>
      </c>
      <c r="D471">
        <v>16643</v>
      </c>
      <c r="E471">
        <v>9557</v>
      </c>
      <c r="F471">
        <v>67</v>
      </c>
      <c r="G471" t="s">
        <v>9</v>
      </c>
      <c r="H471" t="str" cm="1">
        <f t="array" ref="H471">_xlfn.IFS(Grammys[[#This Row],[date]] &gt;= DATE(2022,2,1),"Grammys",TRUE,"Grammys TRA")</f>
        <v>Grammys TRA</v>
      </c>
      <c r="I471">
        <f>_xlfn.XLOOKUP(Grammys[[#This Row],[date]],mobile_visits[date],mobile_visits[mobile_visitors],0)</f>
        <v>0</v>
      </c>
      <c r="O471" s="1">
        <v>45062</v>
      </c>
      <c r="P471">
        <v>8591</v>
      </c>
    </row>
    <row r="472" spans="1:16">
      <c r="A472" s="1">
        <v>43206</v>
      </c>
      <c r="B472">
        <v>15870</v>
      </c>
      <c r="C472">
        <v>22296</v>
      </c>
      <c r="D472">
        <v>16319</v>
      </c>
      <c r="E472">
        <v>9604</v>
      </c>
      <c r="F472">
        <v>71</v>
      </c>
      <c r="G472" t="s">
        <v>9</v>
      </c>
      <c r="H472" t="str" cm="1">
        <f t="array" ref="H472">_xlfn.IFS(Grammys[[#This Row],[date]] &gt;= DATE(2022,2,1),"Grammys",TRUE,"Grammys TRA")</f>
        <v>Grammys TRA</v>
      </c>
      <c r="I472">
        <f>_xlfn.XLOOKUP(Grammys[[#This Row],[date]],mobile_visits[date],mobile_visits[mobile_visitors],0)</f>
        <v>0</v>
      </c>
      <c r="O472" s="1">
        <v>45063</v>
      </c>
      <c r="P472">
        <v>9052</v>
      </c>
    </row>
    <row r="473" spans="1:16">
      <c r="A473" s="1">
        <v>43207</v>
      </c>
      <c r="B473">
        <v>15965</v>
      </c>
      <c r="C473">
        <v>21951</v>
      </c>
      <c r="D473">
        <v>16287</v>
      </c>
      <c r="E473">
        <v>9116</v>
      </c>
      <c r="F473">
        <v>72</v>
      </c>
      <c r="G473" t="s">
        <v>9</v>
      </c>
      <c r="H473" t="str" cm="1">
        <f t="array" ref="H473">_xlfn.IFS(Grammys[[#This Row],[date]] &gt;= DATE(2022,2,1),"Grammys",TRUE,"Grammys TRA")</f>
        <v>Grammys TRA</v>
      </c>
      <c r="I473">
        <f>_xlfn.XLOOKUP(Grammys[[#This Row],[date]],mobile_visits[date],mobile_visits[mobile_visitors],0)</f>
        <v>0</v>
      </c>
      <c r="O473" s="1">
        <v>45064</v>
      </c>
      <c r="P473">
        <v>8279</v>
      </c>
    </row>
    <row r="474" spans="1:16">
      <c r="A474" s="1">
        <v>43208</v>
      </c>
      <c r="B474">
        <v>29388</v>
      </c>
      <c r="C474">
        <v>42159</v>
      </c>
      <c r="D474">
        <v>30690</v>
      </c>
      <c r="E474">
        <v>14956</v>
      </c>
      <c r="F474">
        <v>97</v>
      </c>
      <c r="G474" t="s">
        <v>9</v>
      </c>
      <c r="H474" t="str" cm="1">
        <f t="array" ref="H474">_xlfn.IFS(Grammys[[#This Row],[date]] &gt;= DATE(2022,2,1),"Grammys",TRUE,"Grammys TRA")</f>
        <v>Grammys TRA</v>
      </c>
      <c r="I474">
        <f>_xlfn.XLOOKUP(Grammys[[#This Row],[date]],mobile_visits[date],mobile_visits[mobile_visitors],0)</f>
        <v>0</v>
      </c>
      <c r="O474" s="1">
        <v>45065</v>
      </c>
      <c r="P474">
        <v>12395</v>
      </c>
    </row>
    <row r="475" spans="1:16">
      <c r="A475" s="1">
        <v>43209</v>
      </c>
      <c r="B475">
        <v>19914</v>
      </c>
      <c r="C475">
        <v>27166</v>
      </c>
      <c r="D475">
        <v>20472</v>
      </c>
      <c r="E475">
        <v>12028</v>
      </c>
      <c r="F475">
        <v>69</v>
      </c>
      <c r="G475" t="s">
        <v>9</v>
      </c>
      <c r="H475" t="str" cm="1">
        <f t="array" ref="H475">_xlfn.IFS(Grammys[[#This Row],[date]] &gt;= DATE(2022,2,1),"Grammys",TRUE,"Grammys TRA")</f>
        <v>Grammys TRA</v>
      </c>
      <c r="I475">
        <f>_xlfn.XLOOKUP(Grammys[[#This Row],[date]],mobile_visits[date],mobile_visits[mobile_visitors],0)</f>
        <v>0</v>
      </c>
      <c r="O475" s="1">
        <v>45066</v>
      </c>
      <c r="P475">
        <v>13937</v>
      </c>
    </row>
    <row r="476" spans="1:16">
      <c r="A476" s="1">
        <v>43210</v>
      </c>
      <c r="B476">
        <v>19957</v>
      </c>
      <c r="C476">
        <v>26827</v>
      </c>
      <c r="D476">
        <v>21019</v>
      </c>
      <c r="E476">
        <v>11067</v>
      </c>
      <c r="F476">
        <v>61</v>
      </c>
      <c r="G476" t="s">
        <v>9</v>
      </c>
      <c r="H476" t="str" cm="1">
        <f t="array" ref="H476">_xlfn.IFS(Grammys[[#This Row],[date]] &gt;= DATE(2022,2,1),"Grammys",TRUE,"Grammys TRA")</f>
        <v>Grammys TRA</v>
      </c>
      <c r="I476">
        <f>_xlfn.XLOOKUP(Grammys[[#This Row],[date]],mobile_visits[date],mobile_visits[mobile_visitors],0)</f>
        <v>0</v>
      </c>
      <c r="O476" s="1">
        <v>45067</v>
      </c>
      <c r="P476">
        <v>12513</v>
      </c>
    </row>
    <row r="477" spans="1:16">
      <c r="A477" s="1">
        <v>43211</v>
      </c>
      <c r="B477">
        <v>20366</v>
      </c>
      <c r="C477">
        <v>26620</v>
      </c>
      <c r="D477">
        <v>21546</v>
      </c>
      <c r="E477">
        <v>10739</v>
      </c>
      <c r="F477">
        <v>55</v>
      </c>
      <c r="G477" t="s">
        <v>9</v>
      </c>
      <c r="H477" t="str" cm="1">
        <f t="array" ref="H477">_xlfn.IFS(Grammys[[#This Row],[date]] &gt;= DATE(2022,2,1),"Grammys",TRUE,"Grammys TRA")</f>
        <v>Grammys TRA</v>
      </c>
      <c r="I477">
        <f>_xlfn.XLOOKUP(Grammys[[#This Row],[date]],mobile_visits[date],mobile_visits[mobile_visitors],0)</f>
        <v>0</v>
      </c>
      <c r="O477" s="1">
        <v>45068</v>
      </c>
      <c r="P477">
        <v>11455</v>
      </c>
    </row>
    <row r="478" spans="1:16">
      <c r="A478" s="1">
        <v>43212</v>
      </c>
      <c r="B478">
        <v>17963</v>
      </c>
      <c r="C478">
        <v>23655</v>
      </c>
      <c r="D478">
        <v>18978</v>
      </c>
      <c r="E478">
        <v>9778</v>
      </c>
      <c r="F478">
        <v>58</v>
      </c>
      <c r="G478" t="s">
        <v>9</v>
      </c>
      <c r="H478" t="str" cm="1">
        <f t="array" ref="H478">_xlfn.IFS(Grammys[[#This Row],[date]] &gt;= DATE(2022,2,1),"Grammys",TRUE,"Grammys TRA")</f>
        <v>Grammys TRA</v>
      </c>
      <c r="I478">
        <f>_xlfn.XLOOKUP(Grammys[[#This Row],[date]],mobile_visits[date],mobile_visits[mobile_visitors],0)</f>
        <v>0</v>
      </c>
      <c r="O478" s="1">
        <v>45069</v>
      </c>
      <c r="P478">
        <v>11146</v>
      </c>
    </row>
    <row r="479" spans="1:16">
      <c r="A479" s="1">
        <v>43213</v>
      </c>
      <c r="B479">
        <v>17698</v>
      </c>
      <c r="C479">
        <v>24007</v>
      </c>
      <c r="D479">
        <v>18486</v>
      </c>
      <c r="E479">
        <v>9678</v>
      </c>
      <c r="F479">
        <v>62</v>
      </c>
      <c r="G479" t="s">
        <v>9</v>
      </c>
      <c r="H479" t="str" cm="1">
        <f t="array" ref="H479">_xlfn.IFS(Grammys[[#This Row],[date]] &gt;= DATE(2022,2,1),"Grammys",TRUE,"Grammys TRA")</f>
        <v>Grammys TRA</v>
      </c>
      <c r="I479">
        <f>_xlfn.XLOOKUP(Grammys[[#This Row],[date]],mobile_visits[date],mobile_visits[mobile_visitors],0)</f>
        <v>0</v>
      </c>
      <c r="O479" s="1">
        <v>45070</v>
      </c>
      <c r="P479">
        <v>13245</v>
      </c>
    </row>
    <row r="480" spans="1:16">
      <c r="A480" s="1">
        <v>43214</v>
      </c>
      <c r="B480">
        <v>16290</v>
      </c>
      <c r="C480">
        <v>22103</v>
      </c>
      <c r="D480">
        <v>17129</v>
      </c>
      <c r="E480">
        <v>9129</v>
      </c>
      <c r="F480">
        <v>72</v>
      </c>
      <c r="G480" t="s">
        <v>9</v>
      </c>
      <c r="H480" t="str" cm="1">
        <f t="array" ref="H480">_xlfn.IFS(Grammys[[#This Row],[date]] &gt;= DATE(2022,2,1),"Grammys",TRUE,"Grammys TRA")</f>
        <v>Grammys TRA</v>
      </c>
      <c r="I480">
        <f>_xlfn.XLOOKUP(Grammys[[#This Row],[date]],mobile_visits[date],mobile_visits[mobile_visitors],0)</f>
        <v>0</v>
      </c>
      <c r="O480" s="1">
        <v>45071</v>
      </c>
      <c r="P480">
        <v>15970</v>
      </c>
    </row>
    <row r="481" spans="1:16">
      <c r="A481" s="1">
        <v>43215</v>
      </c>
      <c r="B481">
        <v>15499</v>
      </c>
      <c r="C481">
        <v>21472</v>
      </c>
      <c r="D481">
        <v>16376</v>
      </c>
      <c r="E481">
        <v>8673</v>
      </c>
      <c r="F481">
        <v>70</v>
      </c>
      <c r="G481" t="s">
        <v>9</v>
      </c>
      <c r="H481" t="str" cm="1">
        <f t="array" ref="H481">_xlfn.IFS(Grammys[[#This Row],[date]] &gt;= DATE(2022,2,1),"Grammys",TRUE,"Grammys TRA")</f>
        <v>Grammys TRA</v>
      </c>
      <c r="I481">
        <f>_xlfn.XLOOKUP(Grammys[[#This Row],[date]],mobile_visits[date],mobile_visits[mobile_visitors],0)</f>
        <v>0</v>
      </c>
      <c r="O481" s="1">
        <v>45072</v>
      </c>
      <c r="P481">
        <v>12674</v>
      </c>
    </row>
    <row r="482" spans="1:16">
      <c r="A482" s="1">
        <v>43216</v>
      </c>
      <c r="B482">
        <v>16901</v>
      </c>
      <c r="C482">
        <v>22733</v>
      </c>
      <c r="D482">
        <v>17603</v>
      </c>
      <c r="E482">
        <v>9258</v>
      </c>
      <c r="F482">
        <v>70</v>
      </c>
      <c r="G482" t="s">
        <v>9</v>
      </c>
      <c r="H482" t="str" cm="1">
        <f t="array" ref="H482">_xlfn.IFS(Grammys[[#This Row],[date]] &gt;= DATE(2022,2,1),"Grammys",TRUE,"Grammys TRA")</f>
        <v>Grammys TRA</v>
      </c>
      <c r="I482">
        <f>_xlfn.XLOOKUP(Grammys[[#This Row],[date]],mobile_visits[date],mobile_visits[mobile_visitors],0)</f>
        <v>0</v>
      </c>
      <c r="O482" s="1">
        <v>45073</v>
      </c>
      <c r="P482">
        <v>11412</v>
      </c>
    </row>
    <row r="483" spans="1:16">
      <c r="A483" s="1">
        <v>43217</v>
      </c>
      <c r="B483">
        <v>15228</v>
      </c>
      <c r="C483">
        <v>20153</v>
      </c>
      <c r="D483">
        <v>15462</v>
      </c>
      <c r="E483">
        <v>8497</v>
      </c>
      <c r="F483">
        <v>66</v>
      </c>
      <c r="G483" t="s">
        <v>9</v>
      </c>
      <c r="H483" t="str" cm="1">
        <f t="array" ref="H483">_xlfn.IFS(Grammys[[#This Row],[date]] &gt;= DATE(2022,2,1),"Grammys",TRUE,"Grammys TRA")</f>
        <v>Grammys TRA</v>
      </c>
      <c r="I483">
        <f>_xlfn.XLOOKUP(Grammys[[#This Row],[date]],mobile_visits[date],mobile_visits[mobile_visitors],0)</f>
        <v>0</v>
      </c>
      <c r="O483" s="1">
        <v>45074</v>
      </c>
      <c r="P483">
        <v>11060</v>
      </c>
    </row>
    <row r="484" spans="1:16">
      <c r="A484" s="1">
        <v>43218</v>
      </c>
      <c r="B484">
        <v>15602</v>
      </c>
      <c r="C484">
        <v>20754</v>
      </c>
      <c r="D484">
        <v>16418</v>
      </c>
      <c r="E484">
        <v>8740</v>
      </c>
      <c r="F484">
        <v>61</v>
      </c>
      <c r="G484" t="s">
        <v>9</v>
      </c>
      <c r="H484" t="str" cm="1">
        <f t="array" ref="H484">_xlfn.IFS(Grammys[[#This Row],[date]] &gt;= DATE(2022,2,1),"Grammys",TRUE,"Grammys TRA")</f>
        <v>Grammys TRA</v>
      </c>
      <c r="I484">
        <f>_xlfn.XLOOKUP(Grammys[[#This Row],[date]],mobile_visits[date],mobile_visits[mobile_visitors],0)</f>
        <v>0</v>
      </c>
      <c r="O484" s="1">
        <v>45075</v>
      </c>
      <c r="P484">
        <v>16834</v>
      </c>
    </row>
    <row r="485" spans="1:16">
      <c r="A485" s="1">
        <v>43219</v>
      </c>
      <c r="B485">
        <v>15171</v>
      </c>
      <c r="C485">
        <v>19795</v>
      </c>
      <c r="D485">
        <v>15706</v>
      </c>
      <c r="E485">
        <v>7607</v>
      </c>
      <c r="F485">
        <v>61</v>
      </c>
      <c r="G485" t="s">
        <v>9</v>
      </c>
      <c r="H485" t="str" cm="1">
        <f t="array" ref="H485">_xlfn.IFS(Grammys[[#This Row],[date]] &gt;= DATE(2022,2,1),"Grammys",TRUE,"Grammys TRA")</f>
        <v>Grammys TRA</v>
      </c>
      <c r="I485">
        <f>_xlfn.XLOOKUP(Grammys[[#This Row],[date]],mobile_visits[date],mobile_visits[mobile_visitors],0)</f>
        <v>0</v>
      </c>
      <c r="O485" s="1">
        <v>45076</v>
      </c>
      <c r="P485">
        <v>10734</v>
      </c>
    </row>
    <row r="486" spans="1:16">
      <c r="A486" s="1">
        <v>43220</v>
      </c>
      <c r="B486">
        <v>19538</v>
      </c>
      <c r="C486">
        <v>25173</v>
      </c>
      <c r="D486">
        <v>20200</v>
      </c>
      <c r="E486">
        <v>9680</v>
      </c>
      <c r="F486">
        <v>67</v>
      </c>
      <c r="G486" t="s">
        <v>9</v>
      </c>
      <c r="H486" t="str" cm="1">
        <f t="array" ref="H486">_xlfn.IFS(Grammys[[#This Row],[date]] &gt;= DATE(2022,2,1),"Grammys",TRUE,"Grammys TRA")</f>
        <v>Grammys TRA</v>
      </c>
      <c r="I486">
        <f>_xlfn.XLOOKUP(Grammys[[#This Row],[date]],mobile_visits[date],mobile_visits[mobile_visitors],0)</f>
        <v>0</v>
      </c>
      <c r="O486" s="1">
        <v>45077</v>
      </c>
      <c r="P486">
        <v>22726</v>
      </c>
    </row>
    <row r="487" spans="1:16">
      <c r="A487" s="1">
        <v>43221</v>
      </c>
      <c r="B487">
        <v>14258</v>
      </c>
      <c r="C487">
        <v>19391</v>
      </c>
      <c r="D487">
        <v>14711</v>
      </c>
      <c r="E487">
        <v>8015</v>
      </c>
      <c r="F487">
        <v>71</v>
      </c>
      <c r="G487" t="s">
        <v>9</v>
      </c>
      <c r="H487" t="str" cm="1">
        <f t="array" ref="H487">_xlfn.IFS(Grammys[[#This Row],[date]] &gt;= DATE(2022,2,1),"Grammys",TRUE,"Grammys TRA")</f>
        <v>Grammys TRA</v>
      </c>
      <c r="I487">
        <f>_xlfn.XLOOKUP(Grammys[[#This Row],[date]],mobile_visits[date],mobile_visits[mobile_visitors],0)</f>
        <v>0</v>
      </c>
      <c r="O487" s="1">
        <v>45078</v>
      </c>
      <c r="P487">
        <v>11056</v>
      </c>
    </row>
    <row r="488" spans="1:16">
      <c r="A488" s="1">
        <v>43222</v>
      </c>
      <c r="B488">
        <v>14338</v>
      </c>
      <c r="C488">
        <v>19817</v>
      </c>
      <c r="D488">
        <v>14832</v>
      </c>
      <c r="E488">
        <v>7805</v>
      </c>
      <c r="F488">
        <v>79</v>
      </c>
      <c r="G488" t="s">
        <v>9</v>
      </c>
      <c r="H488" t="str" cm="1">
        <f t="array" ref="H488">_xlfn.IFS(Grammys[[#This Row],[date]] &gt;= DATE(2022,2,1),"Grammys",TRUE,"Grammys TRA")</f>
        <v>Grammys TRA</v>
      </c>
      <c r="I488">
        <f>_xlfn.XLOOKUP(Grammys[[#This Row],[date]],mobile_visits[date],mobile_visits[mobile_visitors],0)</f>
        <v>0</v>
      </c>
      <c r="O488" s="1">
        <v>45079</v>
      </c>
      <c r="P488">
        <v>8083</v>
      </c>
    </row>
    <row r="489" spans="1:16">
      <c r="A489" s="1">
        <v>43223</v>
      </c>
      <c r="B489">
        <v>14110</v>
      </c>
      <c r="C489">
        <v>18984</v>
      </c>
      <c r="D489">
        <v>14569</v>
      </c>
      <c r="E489">
        <v>7537</v>
      </c>
      <c r="F489">
        <v>71</v>
      </c>
      <c r="G489" t="s">
        <v>9</v>
      </c>
      <c r="H489" t="str" cm="1">
        <f t="array" ref="H489">_xlfn.IFS(Grammys[[#This Row],[date]] &gt;= DATE(2022,2,1),"Grammys",TRUE,"Grammys TRA")</f>
        <v>Grammys TRA</v>
      </c>
      <c r="I489">
        <f>_xlfn.XLOOKUP(Grammys[[#This Row],[date]],mobile_visits[date],mobile_visits[mobile_visitors],0)</f>
        <v>0</v>
      </c>
      <c r="O489" s="1">
        <v>45080</v>
      </c>
      <c r="P489">
        <v>10300</v>
      </c>
    </row>
    <row r="490" spans="1:16">
      <c r="A490" s="1">
        <v>43224</v>
      </c>
      <c r="B490">
        <v>11855</v>
      </c>
      <c r="C490">
        <v>15934</v>
      </c>
      <c r="D490">
        <v>12086</v>
      </c>
      <c r="E490">
        <v>6997</v>
      </c>
      <c r="F490">
        <v>72</v>
      </c>
      <c r="G490" t="s">
        <v>9</v>
      </c>
      <c r="H490" t="str" cm="1">
        <f t="array" ref="H490">_xlfn.IFS(Grammys[[#This Row],[date]] &gt;= DATE(2022,2,1),"Grammys",TRUE,"Grammys TRA")</f>
        <v>Grammys TRA</v>
      </c>
      <c r="I490">
        <f>_xlfn.XLOOKUP(Grammys[[#This Row],[date]],mobile_visits[date],mobile_visits[mobile_visitors],0)</f>
        <v>0</v>
      </c>
      <c r="O490" s="1">
        <v>45081</v>
      </c>
      <c r="P490">
        <v>7640</v>
      </c>
    </row>
    <row r="491" spans="1:16">
      <c r="A491" s="1">
        <v>43225</v>
      </c>
      <c r="B491">
        <v>9660</v>
      </c>
      <c r="C491">
        <v>13375</v>
      </c>
      <c r="D491">
        <v>9982</v>
      </c>
      <c r="E491">
        <v>5731</v>
      </c>
      <c r="F491">
        <v>69</v>
      </c>
      <c r="G491" t="s">
        <v>9</v>
      </c>
      <c r="H491" t="str" cm="1">
        <f t="array" ref="H491">_xlfn.IFS(Grammys[[#This Row],[date]] &gt;= DATE(2022,2,1),"Grammys",TRUE,"Grammys TRA")</f>
        <v>Grammys TRA</v>
      </c>
      <c r="I491">
        <f>_xlfn.XLOOKUP(Grammys[[#This Row],[date]],mobile_visits[date],mobile_visits[mobile_visitors],0)</f>
        <v>0</v>
      </c>
      <c r="O491" s="1">
        <v>45082</v>
      </c>
      <c r="P491">
        <v>11238</v>
      </c>
    </row>
    <row r="492" spans="1:16">
      <c r="A492" s="1">
        <v>43226</v>
      </c>
      <c r="B492">
        <v>9865</v>
      </c>
      <c r="C492">
        <v>13604</v>
      </c>
      <c r="D492">
        <v>10192</v>
      </c>
      <c r="E492">
        <v>5890</v>
      </c>
      <c r="F492">
        <v>78</v>
      </c>
      <c r="G492" t="s">
        <v>9</v>
      </c>
      <c r="H492" t="str" cm="1">
        <f t="array" ref="H492">_xlfn.IFS(Grammys[[#This Row],[date]] &gt;= DATE(2022,2,1),"Grammys",TRUE,"Grammys TRA")</f>
        <v>Grammys TRA</v>
      </c>
      <c r="I492">
        <f>_xlfn.XLOOKUP(Grammys[[#This Row],[date]],mobile_visits[date],mobile_visits[mobile_visitors],0)</f>
        <v>0</v>
      </c>
      <c r="O492" s="1">
        <v>45083</v>
      </c>
      <c r="P492">
        <v>9309</v>
      </c>
    </row>
    <row r="493" spans="1:16">
      <c r="A493" s="1">
        <v>43227</v>
      </c>
      <c r="B493">
        <v>15197</v>
      </c>
      <c r="C493">
        <v>20591</v>
      </c>
      <c r="D493">
        <v>15712</v>
      </c>
      <c r="E493">
        <v>7878</v>
      </c>
      <c r="F493">
        <v>79</v>
      </c>
      <c r="G493" t="s">
        <v>9</v>
      </c>
      <c r="H493" t="str" cm="1">
        <f t="array" ref="H493">_xlfn.IFS(Grammys[[#This Row],[date]] &gt;= DATE(2022,2,1),"Grammys",TRUE,"Grammys TRA")</f>
        <v>Grammys TRA</v>
      </c>
      <c r="I493">
        <f>_xlfn.XLOOKUP(Grammys[[#This Row],[date]],mobile_visits[date],mobile_visits[mobile_visitors],0)</f>
        <v>0</v>
      </c>
      <c r="O493" s="1">
        <v>45084</v>
      </c>
      <c r="P493">
        <v>9048</v>
      </c>
    </row>
    <row r="494" spans="1:16">
      <c r="A494" s="1">
        <v>43228</v>
      </c>
      <c r="B494">
        <v>13533</v>
      </c>
      <c r="C494">
        <v>18736</v>
      </c>
      <c r="D494">
        <v>14147</v>
      </c>
      <c r="E494">
        <v>7977</v>
      </c>
      <c r="F494">
        <v>79</v>
      </c>
      <c r="G494" t="s">
        <v>9</v>
      </c>
      <c r="H494" t="str" cm="1">
        <f t="array" ref="H494">_xlfn.IFS(Grammys[[#This Row],[date]] &gt;= DATE(2022,2,1),"Grammys",TRUE,"Grammys TRA")</f>
        <v>Grammys TRA</v>
      </c>
      <c r="I494">
        <f>_xlfn.XLOOKUP(Grammys[[#This Row],[date]],mobile_visits[date],mobile_visits[mobile_visitors],0)</f>
        <v>0</v>
      </c>
      <c r="O494" s="1">
        <v>45085</v>
      </c>
      <c r="P494">
        <v>9830</v>
      </c>
    </row>
    <row r="495" spans="1:16">
      <c r="A495" s="1">
        <v>43229</v>
      </c>
      <c r="B495">
        <v>15412</v>
      </c>
      <c r="C495">
        <v>20933</v>
      </c>
      <c r="D495">
        <v>15880</v>
      </c>
      <c r="E495">
        <v>7661</v>
      </c>
      <c r="F495">
        <v>74</v>
      </c>
      <c r="G495" t="s">
        <v>9</v>
      </c>
      <c r="H495" t="str" cm="1">
        <f t="array" ref="H495">_xlfn.IFS(Grammys[[#This Row],[date]] &gt;= DATE(2022,2,1),"Grammys",TRUE,"Grammys TRA")</f>
        <v>Grammys TRA</v>
      </c>
      <c r="I495">
        <f>_xlfn.XLOOKUP(Grammys[[#This Row],[date]],mobile_visits[date],mobile_visits[mobile_visitors],0)</f>
        <v>0</v>
      </c>
      <c r="O495" s="1">
        <v>45086</v>
      </c>
      <c r="P495">
        <v>10248</v>
      </c>
    </row>
    <row r="496" spans="1:16">
      <c r="A496" s="1">
        <v>43230</v>
      </c>
      <c r="B496">
        <v>16306</v>
      </c>
      <c r="C496">
        <v>21462</v>
      </c>
      <c r="D496">
        <v>16752</v>
      </c>
      <c r="E496">
        <v>9593</v>
      </c>
      <c r="F496">
        <v>66</v>
      </c>
      <c r="G496" t="s">
        <v>9</v>
      </c>
      <c r="H496" t="str" cm="1">
        <f t="array" ref="H496">_xlfn.IFS(Grammys[[#This Row],[date]] &gt;= DATE(2022,2,1),"Grammys",TRUE,"Grammys TRA")</f>
        <v>Grammys TRA</v>
      </c>
      <c r="I496">
        <f>_xlfn.XLOOKUP(Grammys[[#This Row],[date]],mobile_visits[date],mobile_visits[mobile_visitors],0)</f>
        <v>0</v>
      </c>
      <c r="O496" s="1">
        <v>45087</v>
      </c>
      <c r="P496">
        <v>10195</v>
      </c>
    </row>
    <row r="497" spans="1:16">
      <c r="A497" s="1">
        <v>43231</v>
      </c>
      <c r="B497">
        <v>38857</v>
      </c>
      <c r="C497">
        <v>52629</v>
      </c>
      <c r="D497">
        <v>42948</v>
      </c>
      <c r="E497">
        <v>26001</v>
      </c>
      <c r="F497">
        <v>54</v>
      </c>
      <c r="G497" t="s">
        <v>9</v>
      </c>
      <c r="H497" t="str" cm="1">
        <f t="array" ref="H497">_xlfn.IFS(Grammys[[#This Row],[date]] &gt;= DATE(2022,2,1),"Grammys",TRUE,"Grammys TRA")</f>
        <v>Grammys TRA</v>
      </c>
      <c r="I497">
        <f>_xlfn.XLOOKUP(Grammys[[#This Row],[date]],mobile_visits[date],mobile_visits[mobile_visitors],0)</f>
        <v>0</v>
      </c>
      <c r="O497" s="1">
        <v>45088</v>
      </c>
      <c r="P497">
        <v>8631</v>
      </c>
    </row>
    <row r="498" spans="1:16">
      <c r="A498" s="1">
        <v>43232</v>
      </c>
      <c r="B498">
        <v>14032</v>
      </c>
      <c r="C498">
        <v>18952</v>
      </c>
      <c r="D498">
        <v>14775</v>
      </c>
      <c r="E498">
        <v>8307</v>
      </c>
      <c r="F498">
        <v>64</v>
      </c>
      <c r="G498" t="s">
        <v>9</v>
      </c>
      <c r="H498" t="str" cm="1">
        <f t="array" ref="H498">_xlfn.IFS(Grammys[[#This Row],[date]] &gt;= DATE(2022,2,1),"Grammys",TRUE,"Grammys TRA")</f>
        <v>Grammys TRA</v>
      </c>
      <c r="I498">
        <f>_xlfn.XLOOKUP(Grammys[[#This Row],[date]],mobile_visits[date],mobile_visits[mobile_visitors],0)</f>
        <v>0</v>
      </c>
      <c r="O498" s="1">
        <v>45089</v>
      </c>
      <c r="P498">
        <v>9309</v>
      </c>
    </row>
    <row r="499" spans="1:16">
      <c r="A499" s="1">
        <v>43233</v>
      </c>
      <c r="B499">
        <v>11393</v>
      </c>
      <c r="C499">
        <v>15906</v>
      </c>
      <c r="D499">
        <v>11895</v>
      </c>
      <c r="E499">
        <v>6706</v>
      </c>
      <c r="F499">
        <v>75</v>
      </c>
      <c r="G499" t="s">
        <v>9</v>
      </c>
      <c r="H499" t="str" cm="1">
        <f t="array" ref="H499">_xlfn.IFS(Grammys[[#This Row],[date]] &gt;= DATE(2022,2,1),"Grammys",TRUE,"Grammys TRA")</f>
        <v>Grammys TRA</v>
      </c>
      <c r="I499">
        <f>_xlfn.XLOOKUP(Grammys[[#This Row],[date]],mobile_visits[date],mobile_visits[mobile_visitors],0)</f>
        <v>0</v>
      </c>
      <c r="O499" s="1">
        <v>45090</v>
      </c>
      <c r="P499">
        <v>17444</v>
      </c>
    </row>
    <row r="500" spans="1:16">
      <c r="A500" s="1">
        <v>43234</v>
      </c>
      <c r="B500">
        <v>13385</v>
      </c>
      <c r="C500">
        <v>18954</v>
      </c>
      <c r="D500">
        <v>13901</v>
      </c>
      <c r="E500">
        <v>7557</v>
      </c>
      <c r="F500">
        <v>78</v>
      </c>
      <c r="G500" t="s">
        <v>9</v>
      </c>
      <c r="H500" t="str" cm="1">
        <f t="array" ref="H500">_xlfn.IFS(Grammys[[#This Row],[date]] &gt;= DATE(2022,2,1),"Grammys",TRUE,"Grammys TRA")</f>
        <v>Grammys TRA</v>
      </c>
      <c r="I500">
        <f>_xlfn.XLOOKUP(Grammys[[#This Row],[date]],mobile_visits[date],mobile_visits[mobile_visitors],0)</f>
        <v>0</v>
      </c>
      <c r="O500" s="1">
        <v>45091</v>
      </c>
      <c r="P500">
        <v>14602</v>
      </c>
    </row>
    <row r="501" spans="1:16">
      <c r="A501" s="1">
        <v>43235</v>
      </c>
      <c r="B501">
        <v>19229</v>
      </c>
      <c r="C501">
        <v>30010</v>
      </c>
      <c r="D501">
        <v>19921</v>
      </c>
      <c r="E501">
        <v>8200</v>
      </c>
      <c r="F501">
        <v>411</v>
      </c>
      <c r="G501" t="s">
        <v>9</v>
      </c>
      <c r="H501" t="str" cm="1">
        <f t="array" ref="H501">_xlfn.IFS(Grammys[[#This Row],[date]] &gt;= DATE(2022,2,1),"Grammys",TRUE,"Grammys TRA")</f>
        <v>Grammys TRA</v>
      </c>
      <c r="I501">
        <f>_xlfn.XLOOKUP(Grammys[[#This Row],[date]],mobile_visits[date],mobile_visits[mobile_visitors],0)</f>
        <v>0</v>
      </c>
      <c r="O501" s="1">
        <v>45092</v>
      </c>
      <c r="P501">
        <v>11134</v>
      </c>
    </row>
    <row r="502" spans="1:16">
      <c r="A502" s="1">
        <v>43236</v>
      </c>
      <c r="B502">
        <v>15021</v>
      </c>
      <c r="C502">
        <v>21813</v>
      </c>
      <c r="D502">
        <v>15343</v>
      </c>
      <c r="E502">
        <v>7419</v>
      </c>
      <c r="F502">
        <v>313</v>
      </c>
      <c r="G502" t="s">
        <v>9</v>
      </c>
      <c r="H502" t="str" cm="1">
        <f t="array" ref="H502">_xlfn.IFS(Grammys[[#This Row],[date]] &gt;= DATE(2022,2,1),"Grammys",TRUE,"Grammys TRA")</f>
        <v>Grammys TRA</v>
      </c>
      <c r="I502">
        <f>_xlfn.XLOOKUP(Grammys[[#This Row],[date]],mobile_visits[date],mobile_visits[mobile_visitors],0)</f>
        <v>0</v>
      </c>
      <c r="O502" s="1">
        <v>45093</v>
      </c>
      <c r="P502">
        <v>12151</v>
      </c>
    </row>
    <row r="503" spans="1:16">
      <c r="A503" s="1">
        <v>43237</v>
      </c>
      <c r="B503">
        <v>14457</v>
      </c>
      <c r="C503">
        <v>20592</v>
      </c>
      <c r="D503">
        <v>14677</v>
      </c>
      <c r="E503">
        <v>7537</v>
      </c>
      <c r="F503">
        <v>291</v>
      </c>
      <c r="G503" t="s">
        <v>9</v>
      </c>
      <c r="H503" t="str" cm="1">
        <f t="array" ref="H503">_xlfn.IFS(Grammys[[#This Row],[date]] &gt;= DATE(2022,2,1),"Grammys",TRUE,"Grammys TRA")</f>
        <v>Grammys TRA</v>
      </c>
      <c r="I503">
        <f>_xlfn.XLOOKUP(Grammys[[#This Row],[date]],mobile_visits[date],mobile_visits[mobile_visitors],0)</f>
        <v>0</v>
      </c>
      <c r="O503" s="1">
        <v>45094</v>
      </c>
      <c r="P503">
        <v>12699</v>
      </c>
    </row>
    <row r="504" spans="1:16">
      <c r="A504" s="1">
        <v>43238</v>
      </c>
      <c r="B504">
        <v>13300</v>
      </c>
      <c r="C504">
        <v>18406</v>
      </c>
      <c r="D504">
        <v>13422</v>
      </c>
      <c r="E504">
        <v>7317</v>
      </c>
      <c r="F504">
        <v>253</v>
      </c>
      <c r="G504" t="s">
        <v>9</v>
      </c>
      <c r="H504" t="str" cm="1">
        <f t="array" ref="H504">_xlfn.IFS(Grammys[[#This Row],[date]] &gt;= DATE(2022,2,1),"Grammys",TRUE,"Grammys TRA")</f>
        <v>Grammys TRA</v>
      </c>
      <c r="I504">
        <f>_xlfn.XLOOKUP(Grammys[[#This Row],[date]],mobile_visits[date],mobile_visits[mobile_visitors],0)</f>
        <v>0</v>
      </c>
      <c r="O504" s="1">
        <v>45095</v>
      </c>
      <c r="P504">
        <v>13272</v>
      </c>
    </row>
    <row r="505" spans="1:16">
      <c r="A505" s="1">
        <v>43239</v>
      </c>
      <c r="B505">
        <v>13694</v>
      </c>
      <c r="C505">
        <v>17815</v>
      </c>
      <c r="D505">
        <v>13609</v>
      </c>
      <c r="E505">
        <v>6956</v>
      </c>
      <c r="F505">
        <v>223</v>
      </c>
      <c r="G505" t="s">
        <v>9</v>
      </c>
      <c r="H505" t="str" cm="1">
        <f t="array" ref="H505">_xlfn.IFS(Grammys[[#This Row],[date]] &gt;= DATE(2022,2,1),"Grammys",TRUE,"Grammys TRA")</f>
        <v>Grammys TRA</v>
      </c>
      <c r="I505">
        <f>_xlfn.XLOOKUP(Grammys[[#This Row],[date]],mobile_visits[date],mobile_visits[mobile_visitors],0)</f>
        <v>0</v>
      </c>
      <c r="O505" s="1">
        <v>45096</v>
      </c>
      <c r="P505">
        <v>8370</v>
      </c>
    </row>
    <row r="506" spans="1:16">
      <c r="A506" s="1">
        <v>43240</v>
      </c>
      <c r="B506">
        <v>13506</v>
      </c>
      <c r="C506">
        <v>18618</v>
      </c>
      <c r="D506">
        <v>13528</v>
      </c>
      <c r="E506">
        <v>7365</v>
      </c>
      <c r="F506">
        <v>247</v>
      </c>
      <c r="G506" t="s">
        <v>9</v>
      </c>
      <c r="H506" t="str" cm="1">
        <f t="array" ref="H506">_xlfn.IFS(Grammys[[#This Row],[date]] &gt;= DATE(2022,2,1),"Grammys",TRUE,"Grammys TRA")</f>
        <v>Grammys TRA</v>
      </c>
      <c r="I506">
        <f>_xlfn.XLOOKUP(Grammys[[#This Row],[date]],mobile_visits[date],mobile_visits[mobile_visitors],0)</f>
        <v>0</v>
      </c>
      <c r="O506" s="1">
        <v>45097</v>
      </c>
      <c r="P506">
        <v>9517</v>
      </c>
    </row>
    <row r="507" spans="1:16">
      <c r="A507" s="1">
        <v>43241</v>
      </c>
      <c r="B507">
        <v>13825</v>
      </c>
      <c r="C507">
        <v>19891</v>
      </c>
      <c r="D507">
        <v>13898</v>
      </c>
      <c r="E507">
        <v>7881</v>
      </c>
      <c r="F507">
        <v>268</v>
      </c>
      <c r="G507" t="s">
        <v>9</v>
      </c>
      <c r="H507" t="str" cm="1">
        <f t="array" ref="H507">_xlfn.IFS(Grammys[[#This Row],[date]] &gt;= DATE(2022,2,1),"Grammys",TRUE,"Grammys TRA")</f>
        <v>Grammys TRA</v>
      </c>
      <c r="I507">
        <f>_xlfn.XLOOKUP(Grammys[[#This Row],[date]],mobile_visits[date],mobile_visits[mobile_visitors],0)</f>
        <v>0</v>
      </c>
      <c r="O507" s="1">
        <v>45098</v>
      </c>
      <c r="P507">
        <v>9804</v>
      </c>
    </row>
    <row r="508" spans="1:16">
      <c r="A508" s="1">
        <v>43242</v>
      </c>
      <c r="B508">
        <v>13659</v>
      </c>
      <c r="C508">
        <v>19572</v>
      </c>
      <c r="D508">
        <v>13888</v>
      </c>
      <c r="E508">
        <v>7746</v>
      </c>
      <c r="F508">
        <v>267</v>
      </c>
      <c r="G508" t="s">
        <v>9</v>
      </c>
      <c r="H508" t="str" cm="1">
        <f t="array" ref="H508">_xlfn.IFS(Grammys[[#This Row],[date]] &gt;= DATE(2022,2,1),"Grammys",TRUE,"Grammys TRA")</f>
        <v>Grammys TRA</v>
      </c>
      <c r="I508">
        <f>_xlfn.XLOOKUP(Grammys[[#This Row],[date]],mobile_visits[date],mobile_visits[mobile_visitors],0)</f>
        <v>0</v>
      </c>
      <c r="O508" s="1">
        <v>45099</v>
      </c>
      <c r="P508">
        <v>9387</v>
      </c>
    </row>
    <row r="509" spans="1:16">
      <c r="A509" s="1">
        <v>43243</v>
      </c>
      <c r="B509">
        <v>12272</v>
      </c>
      <c r="C509">
        <v>17003</v>
      </c>
      <c r="D509">
        <v>12205</v>
      </c>
      <c r="E509">
        <v>6756</v>
      </c>
      <c r="F509">
        <v>259</v>
      </c>
      <c r="G509" t="s">
        <v>9</v>
      </c>
      <c r="H509" t="str" cm="1">
        <f t="array" ref="H509">_xlfn.IFS(Grammys[[#This Row],[date]] &gt;= DATE(2022,2,1),"Grammys",TRUE,"Grammys TRA")</f>
        <v>Grammys TRA</v>
      </c>
      <c r="I509">
        <f>_xlfn.XLOOKUP(Grammys[[#This Row],[date]],mobile_visits[date],mobile_visits[mobile_visitors],0)</f>
        <v>0</v>
      </c>
      <c r="O509" s="1">
        <v>45100</v>
      </c>
      <c r="P509">
        <v>11995</v>
      </c>
    </row>
    <row r="510" spans="1:16">
      <c r="A510" s="1">
        <v>43244</v>
      </c>
      <c r="B510">
        <v>11203</v>
      </c>
      <c r="C510">
        <v>15844</v>
      </c>
      <c r="D510">
        <v>11312</v>
      </c>
      <c r="E510">
        <v>6552</v>
      </c>
      <c r="F510">
        <v>274</v>
      </c>
      <c r="G510" t="s">
        <v>9</v>
      </c>
      <c r="H510" t="str" cm="1">
        <f t="array" ref="H510">_xlfn.IFS(Grammys[[#This Row],[date]] &gt;= DATE(2022,2,1),"Grammys",TRUE,"Grammys TRA")</f>
        <v>Grammys TRA</v>
      </c>
      <c r="I510">
        <f>_xlfn.XLOOKUP(Grammys[[#This Row],[date]],mobile_visits[date],mobile_visits[mobile_visitors],0)</f>
        <v>0</v>
      </c>
      <c r="O510" s="1">
        <v>45101</v>
      </c>
      <c r="P510">
        <v>11577</v>
      </c>
    </row>
    <row r="511" spans="1:16">
      <c r="A511" s="1">
        <v>43245</v>
      </c>
      <c r="B511">
        <v>10547</v>
      </c>
      <c r="C511">
        <v>14690</v>
      </c>
      <c r="D511">
        <v>10476</v>
      </c>
      <c r="E511">
        <v>6155</v>
      </c>
      <c r="F511">
        <v>278</v>
      </c>
      <c r="G511" t="s">
        <v>9</v>
      </c>
      <c r="H511" t="str" cm="1">
        <f t="array" ref="H511">_xlfn.IFS(Grammys[[#This Row],[date]] &gt;= DATE(2022,2,1),"Grammys",TRUE,"Grammys TRA")</f>
        <v>Grammys TRA</v>
      </c>
      <c r="I511">
        <f>_xlfn.XLOOKUP(Grammys[[#This Row],[date]],mobile_visits[date],mobile_visits[mobile_visitors],0)</f>
        <v>0</v>
      </c>
      <c r="O511" s="1">
        <v>45102</v>
      </c>
      <c r="P511">
        <v>11369</v>
      </c>
    </row>
    <row r="512" spans="1:16">
      <c r="A512" s="1">
        <v>43246</v>
      </c>
      <c r="B512">
        <v>10256</v>
      </c>
      <c r="C512">
        <v>13473</v>
      </c>
      <c r="D512">
        <v>9966</v>
      </c>
      <c r="E512">
        <v>5729</v>
      </c>
      <c r="F512">
        <v>254</v>
      </c>
      <c r="G512" t="s">
        <v>9</v>
      </c>
      <c r="H512" t="str" cm="1">
        <f t="array" ref="H512">_xlfn.IFS(Grammys[[#This Row],[date]] &gt;= DATE(2022,2,1),"Grammys",TRUE,"Grammys TRA")</f>
        <v>Grammys TRA</v>
      </c>
      <c r="I512">
        <f>_xlfn.XLOOKUP(Grammys[[#This Row],[date]],mobile_visits[date],mobile_visits[mobile_visitors],0)</f>
        <v>0</v>
      </c>
      <c r="O512" s="1">
        <v>45103</v>
      </c>
      <c r="P512">
        <v>7327</v>
      </c>
    </row>
    <row r="513" spans="1:16">
      <c r="A513" s="1">
        <v>43247</v>
      </c>
      <c r="B513">
        <v>11040</v>
      </c>
      <c r="C513">
        <v>15344</v>
      </c>
      <c r="D513">
        <v>10927</v>
      </c>
      <c r="E513">
        <v>6230</v>
      </c>
      <c r="F513">
        <v>256</v>
      </c>
      <c r="G513" t="s">
        <v>9</v>
      </c>
      <c r="H513" t="str" cm="1">
        <f t="array" ref="H513">_xlfn.IFS(Grammys[[#This Row],[date]] &gt;= DATE(2022,2,1),"Grammys",TRUE,"Grammys TRA")</f>
        <v>Grammys TRA</v>
      </c>
      <c r="I513">
        <f>_xlfn.XLOOKUP(Grammys[[#This Row],[date]],mobile_visits[date],mobile_visits[mobile_visitors],0)</f>
        <v>0</v>
      </c>
      <c r="O513" s="1">
        <v>45104</v>
      </c>
      <c r="P513">
        <v>9491</v>
      </c>
    </row>
    <row r="514" spans="1:16">
      <c r="A514" s="1">
        <v>43248</v>
      </c>
      <c r="B514">
        <v>10719</v>
      </c>
      <c r="C514">
        <v>15365</v>
      </c>
      <c r="D514">
        <v>10822</v>
      </c>
      <c r="E514">
        <v>6315</v>
      </c>
      <c r="F514">
        <v>288</v>
      </c>
      <c r="G514" t="s">
        <v>9</v>
      </c>
      <c r="H514" t="str" cm="1">
        <f t="array" ref="H514">_xlfn.IFS(Grammys[[#This Row],[date]] &gt;= DATE(2022,2,1),"Grammys",TRUE,"Grammys TRA")</f>
        <v>Grammys TRA</v>
      </c>
      <c r="I514">
        <f>_xlfn.XLOOKUP(Grammys[[#This Row],[date]],mobile_visits[date],mobile_visits[mobile_visitors],0)</f>
        <v>0</v>
      </c>
      <c r="O514" s="1">
        <v>45105</v>
      </c>
      <c r="P514">
        <v>9856</v>
      </c>
    </row>
    <row r="515" spans="1:16">
      <c r="A515" s="1">
        <v>43249</v>
      </c>
      <c r="B515">
        <v>11735</v>
      </c>
      <c r="C515">
        <v>17419</v>
      </c>
      <c r="D515">
        <v>11870</v>
      </c>
      <c r="E515">
        <v>6783</v>
      </c>
      <c r="F515">
        <v>297</v>
      </c>
      <c r="G515" t="s">
        <v>9</v>
      </c>
      <c r="H515" t="str" cm="1">
        <f t="array" ref="H515">_xlfn.IFS(Grammys[[#This Row],[date]] &gt;= DATE(2022,2,1),"Grammys",TRUE,"Grammys TRA")</f>
        <v>Grammys TRA</v>
      </c>
      <c r="I515">
        <f>_xlfn.XLOOKUP(Grammys[[#This Row],[date]],mobile_visits[date],mobile_visits[mobile_visitors],0)</f>
        <v>0</v>
      </c>
      <c r="O515" s="1">
        <v>45106</v>
      </c>
      <c r="P515">
        <v>12881</v>
      </c>
    </row>
    <row r="516" spans="1:16">
      <c r="A516" s="1">
        <v>43250</v>
      </c>
      <c r="B516">
        <v>14774</v>
      </c>
      <c r="C516">
        <v>20555</v>
      </c>
      <c r="D516">
        <v>14911</v>
      </c>
      <c r="E516">
        <v>7695</v>
      </c>
      <c r="F516">
        <v>274</v>
      </c>
      <c r="G516" t="s">
        <v>9</v>
      </c>
      <c r="H516" t="str" cm="1">
        <f t="array" ref="H516">_xlfn.IFS(Grammys[[#This Row],[date]] &gt;= DATE(2022,2,1),"Grammys",TRUE,"Grammys TRA")</f>
        <v>Grammys TRA</v>
      </c>
      <c r="I516">
        <f>_xlfn.XLOOKUP(Grammys[[#This Row],[date]],mobile_visits[date],mobile_visits[mobile_visitors],0)</f>
        <v>0</v>
      </c>
      <c r="O516" s="1">
        <v>45107</v>
      </c>
      <c r="P516">
        <v>14446</v>
      </c>
    </row>
    <row r="517" spans="1:16">
      <c r="A517" s="1">
        <v>43251</v>
      </c>
      <c r="B517">
        <v>13053</v>
      </c>
      <c r="C517">
        <v>17758</v>
      </c>
      <c r="D517">
        <v>13211</v>
      </c>
      <c r="E517">
        <v>6417</v>
      </c>
      <c r="F517">
        <v>242</v>
      </c>
      <c r="G517" t="s">
        <v>9</v>
      </c>
      <c r="H517" t="str" cm="1">
        <f t="array" ref="H517">_xlfn.IFS(Grammys[[#This Row],[date]] &gt;= DATE(2022,2,1),"Grammys",TRUE,"Grammys TRA")</f>
        <v>Grammys TRA</v>
      </c>
      <c r="I517">
        <f>_xlfn.XLOOKUP(Grammys[[#This Row],[date]],mobile_visits[date],mobile_visits[mobile_visitors],0)</f>
        <v>0</v>
      </c>
    </row>
    <row r="518" spans="1:16">
      <c r="A518" s="1">
        <v>43252</v>
      </c>
      <c r="B518">
        <v>11825</v>
      </c>
      <c r="C518">
        <v>16289</v>
      </c>
      <c r="D518">
        <v>11767</v>
      </c>
      <c r="E518">
        <v>6072</v>
      </c>
      <c r="F518">
        <v>265</v>
      </c>
      <c r="G518" t="s">
        <v>9</v>
      </c>
      <c r="H518" t="str" cm="1">
        <f t="array" ref="H518">_xlfn.IFS(Grammys[[#This Row],[date]] &gt;= DATE(2022,2,1),"Grammys",TRUE,"Grammys TRA")</f>
        <v>Grammys TRA</v>
      </c>
      <c r="I518">
        <f>_xlfn.XLOOKUP(Grammys[[#This Row],[date]],mobile_visits[date],mobile_visits[mobile_visitors],0)</f>
        <v>0</v>
      </c>
    </row>
    <row r="519" spans="1:16">
      <c r="A519" s="1">
        <v>43253</v>
      </c>
      <c r="B519">
        <v>9932</v>
      </c>
      <c r="C519">
        <v>13248</v>
      </c>
      <c r="D519">
        <v>9881</v>
      </c>
      <c r="E519">
        <v>5747</v>
      </c>
      <c r="F519">
        <v>213</v>
      </c>
      <c r="G519" t="s">
        <v>9</v>
      </c>
      <c r="H519" t="str" cm="1">
        <f t="array" ref="H519">_xlfn.IFS(Grammys[[#This Row],[date]] &gt;= DATE(2022,2,1),"Grammys",TRUE,"Grammys TRA")</f>
        <v>Grammys TRA</v>
      </c>
      <c r="I519">
        <f>_xlfn.XLOOKUP(Grammys[[#This Row],[date]],mobile_visits[date],mobile_visits[mobile_visitors],0)</f>
        <v>0</v>
      </c>
    </row>
    <row r="520" spans="1:16">
      <c r="A520" s="1">
        <v>43254</v>
      </c>
      <c r="B520">
        <v>9586</v>
      </c>
      <c r="C520">
        <v>13226</v>
      </c>
      <c r="D520">
        <v>9530</v>
      </c>
      <c r="E520">
        <v>5468</v>
      </c>
      <c r="F520">
        <v>254</v>
      </c>
      <c r="G520" t="s">
        <v>9</v>
      </c>
      <c r="H520" t="str" cm="1">
        <f t="array" ref="H520">_xlfn.IFS(Grammys[[#This Row],[date]] &gt;= DATE(2022,2,1),"Grammys",TRUE,"Grammys TRA")</f>
        <v>Grammys TRA</v>
      </c>
      <c r="I520">
        <f>_xlfn.XLOOKUP(Grammys[[#This Row],[date]],mobile_visits[date],mobile_visits[mobile_visitors],0)</f>
        <v>0</v>
      </c>
    </row>
    <row r="521" spans="1:16">
      <c r="A521" s="1">
        <v>43255</v>
      </c>
      <c r="B521">
        <v>10093</v>
      </c>
      <c r="C521">
        <v>14899</v>
      </c>
      <c r="D521">
        <v>10245</v>
      </c>
      <c r="E521">
        <v>5846</v>
      </c>
      <c r="F521">
        <v>324</v>
      </c>
      <c r="G521" t="s">
        <v>9</v>
      </c>
      <c r="H521" t="str" cm="1">
        <f t="array" ref="H521">_xlfn.IFS(Grammys[[#This Row],[date]] &gt;= DATE(2022,2,1),"Grammys",TRUE,"Grammys TRA")</f>
        <v>Grammys TRA</v>
      </c>
      <c r="I521">
        <f>_xlfn.XLOOKUP(Grammys[[#This Row],[date]],mobile_visits[date],mobile_visits[mobile_visitors],0)</f>
        <v>0</v>
      </c>
    </row>
    <row r="522" spans="1:16">
      <c r="A522" s="1">
        <v>43256</v>
      </c>
      <c r="B522">
        <v>10463</v>
      </c>
      <c r="C522">
        <v>14842</v>
      </c>
      <c r="D522">
        <v>10405</v>
      </c>
      <c r="E522">
        <v>5965</v>
      </c>
      <c r="F522">
        <v>279</v>
      </c>
      <c r="G522" t="s">
        <v>9</v>
      </c>
      <c r="H522" t="str" cm="1">
        <f t="array" ref="H522">_xlfn.IFS(Grammys[[#This Row],[date]] &gt;= DATE(2022,2,1),"Grammys",TRUE,"Grammys TRA")</f>
        <v>Grammys TRA</v>
      </c>
      <c r="I522">
        <f>_xlfn.XLOOKUP(Grammys[[#This Row],[date]],mobile_visits[date],mobile_visits[mobile_visitors],0)</f>
        <v>0</v>
      </c>
    </row>
    <row r="523" spans="1:16">
      <c r="A523" s="1">
        <v>43257</v>
      </c>
      <c r="B523">
        <v>11449</v>
      </c>
      <c r="C523">
        <v>15810</v>
      </c>
      <c r="D523">
        <v>11504</v>
      </c>
      <c r="E523">
        <v>6819</v>
      </c>
      <c r="F523">
        <v>237</v>
      </c>
      <c r="G523" t="s">
        <v>9</v>
      </c>
      <c r="H523" t="str" cm="1">
        <f t="array" ref="H523">_xlfn.IFS(Grammys[[#This Row],[date]] &gt;= DATE(2022,2,1),"Grammys",TRUE,"Grammys TRA")</f>
        <v>Grammys TRA</v>
      </c>
      <c r="I523">
        <f>_xlfn.XLOOKUP(Grammys[[#This Row],[date]],mobile_visits[date],mobile_visits[mobile_visitors],0)</f>
        <v>0</v>
      </c>
    </row>
    <row r="524" spans="1:16">
      <c r="A524" s="1">
        <v>43258</v>
      </c>
      <c r="B524">
        <v>10669</v>
      </c>
      <c r="C524">
        <v>15170</v>
      </c>
      <c r="D524">
        <v>10796</v>
      </c>
      <c r="E524">
        <v>6249</v>
      </c>
      <c r="F524">
        <v>255</v>
      </c>
      <c r="G524" t="s">
        <v>9</v>
      </c>
      <c r="H524" t="str" cm="1">
        <f t="array" ref="H524">_xlfn.IFS(Grammys[[#This Row],[date]] &gt;= DATE(2022,2,1),"Grammys",TRUE,"Grammys TRA")</f>
        <v>Grammys TRA</v>
      </c>
      <c r="I524">
        <f>_xlfn.XLOOKUP(Grammys[[#This Row],[date]],mobile_visits[date],mobile_visits[mobile_visitors],0)</f>
        <v>0</v>
      </c>
    </row>
    <row r="525" spans="1:16">
      <c r="A525" s="1">
        <v>43259</v>
      </c>
      <c r="B525">
        <v>10215</v>
      </c>
      <c r="C525">
        <v>14300</v>
      </c>
      <c r="D525">
        <v>10250</v>
      </c>
      <c r="E525">
        <v>5891</v>
      </c>
      <c r="F525">
        <v>267</v>
      </c>
      <c r="G525" t="s">
        <v>9</v>
      </c>
      <c r="H525" t="str" cm="1">
        <f t="array" ref="H525">_xlfn.IFS(Grammys[[#This Row],[date]] &gt;= DATE(2022,2,1),"Grammys",TRUE,"Grammys TRA")</f>
        <v>Grammys TRA</v>
      </c>
      <c r="I525">
        <f>_xlfn.XLOOKUP(Grammys[[#This Row],[date]],mobile_visits[date],mobile_visits[mobile_visitors],0)</f>
        <v>0</v>
      </c>
    </row>
    <row r="526" spans="1:16">
      <c r="A526" s="1">
        <v>43260</v>
      </c>
      <c r="B526">
        <v>21010</v>
      </c>
      <c r="C526">
        <v>27986</v>
      </c>
      <c r="D526">
        <v>21659</v>
      </c>
      <c r="E526">
        <v>8835</v>
      </c>
      <c r="F526">
        <v>279</v>
      </c>
      <c r="G526" t="s">
        <v>9</v>
      </c>
      <c r="H526" t="str" cm="1">
        <f t="array" ref="H526">_xlfn.IFS(Grammys[[#This Row],[date]] &gt;= DATE(2022,2,1),"Grammys",TRUE,"Grammys TRA")</f>
        <v>Grammys TRA</v>
      </c>
      <c r="I526">
        <f>_xlfn.XLOOKUP(Grammys[[#This Row],[date]],mobile_visits[date],mobile_visits[mobile_visitors],0)</f>
        <v>0</v>
      </c>
    </row>
    <row r="527" spans="1:16">
      <c r="A527" s="1">
        <v>43261</v>
      </c>
      <c r="B527">
        <v>14918</v>
      </c>
      <c r="C527">
        <v>20506</v>
      </c>
      <c r="D527">
        <v>15207</v>
      </c>
      <c r="E527">
        <v>7698</v>
      </c>
      <c r="F527">
        <v>306</v>
      </c>
      <c r="G527" t="s">
        <v>9</v>
      </c>
      <c r="H527" t="str" cm="1">
        <f t="array" ref="H527">_xlfn.IFS(Grammys[[#This Row],[date]] &gt;= DATE(2022,2,1),"Grammys",TRUE,"Grammys TRA")</f>
        <v>Grammys TRA</v>
      </c>
      <c r="I527">
        <f>_xlfn.XLOOKUP(Grammys[[#This Row],[date]],mobile_visits[date],mobile_visits[mobile_visitors],0)</f>
        <v>0</v>
      </c>
    </row>
    <row r="528" spans="1:16">
      <c r="A528" s="1">
        <v>43262</v>
      </c>
      <c r="B528">
        <v>22842</v>
      </c>
      <c r="C528">
        <v>30176</v>
      </c>
      <c r="D528">
        <v>23244</v>
      </c>
      <c r="E528">
        <v>9366</v>
      </c>
      <c r="F528">
        <v>264</v>
      </c>
      <c r="G528" t="s">
        <v>9</v>
      </c>
      <c r="H528" t="str" cm="1">
        <f t="array" ref="H528">_xlfn.IFS(Grammys[[#This Row],[date]] &gt;= DATE(2022,2,1),"Grammys",TRUE,"Grammys TRA")</f>
        <v>Grammys TRA</v>
      </c>
      <c r="I528">
        <f>_xlfn.XLOOKUP(Grammys[[#This Row],[date]],mobile_visits[date],mobile_visits[mobile_visitors],0)</f>
        <v>0</v>
      </c>
    </row>
    <row r="529" spans="1:9">
      <c r="A529" s="1">
        <v>43263</v>
      </c>
      <c r="B529">
        <v>21508</v>
      </c>
      <c r="C529">
        <v>28428</v>
      </c>
      <c r="D529">
        <v>21829</v>
      </c>
      <c r="E529">
        <v>8972</v>
      </c>
      <c r="F529">
        <v>303</v>
      </c>
      <c r="G529" t="s">
        <v>9</v>
      </c>
      <c r="H529" t="str" cm="1">
        <f t="array" ref="H529">_xlfn.IFS(Grammys[[#This Row],[date]] &gt;= DATE(2022,2,1),"Grammys",TRUE,"Grammys TRA")</f>
        <v>Grammys TRA</v>
      </c>
      <c r="I529">
        <f>_xlfn.XLOOKUP(Grammys[[#This Row],[date]],mobile_visits[date],mobile_visits[mobile_visitors],0)</f>
        <v>0</v>
      </c>
    </row>
    <row r="530" spans="1:9">
      <c r="A530" s="1">
        <v>43264</v>
      </c>
      <c r="B530">
        <v>12669</v>
      </c>
      <c r="C530">
        <v>17162</v>
      </c>
      <c r="D530">
        <v>12829</v>
      </c>
      <c r="E530">
        <v>6623</v>
      </c>
      <c r="F530">
        <v>264</v>
      </c>
      <c r="G530" t="s">
        <v>9</v>
      </c>
      <c r="H530" t="str" cm="1">
        <f t="array" ref="H530">_xlfn.IFS(Grammys[[#This Row],[date]] &gt;= DATE(2022,2,1),"Grammys",TRUE,"Grammys TRA")</f>
        <v>Grammys TRA</v>
      </c>
      <c r="I530">
        <f>_xlfn.XLOOKUP(Grammys[[#This Row],[date]],mobile_visits[date],mobile_visits[mobile_visitors],0)</f>
        <v>0</v>
      </c>
    </row>
    <row r="531" spans="1:9">
      <c r="A531" s="1">
        <v>43265</v>
      </c>
      <c r="B531">
        <v>11022</v>
      </c>
      <c r="C531">
        <v>15290</v>
      </c>
      <c r="D531">
        <v>11037</v>
      </c>
      <c r="E531">
        <v>6168</v>
      </c>
      <c r="F531">
        <v>274</v>
      </c>
      <c r="G531" t="s">
        <v>9</v>
      </c>
      <c r="H531" t="str" cm="1">
        <f t="array" ref="H531">_xlfn.IFS(Grammys[[#This Row],[date]] &gt;= DATE(2022,2,1),"Grammys",TRUE,"Grammys TRA")</f>
        <v>Grammys TRA</v>
      </c>
      <c r="I531">
        <f>_xlfn.XLOOKUP(Grammys[[#This Row],[date]],mobile_visits[date],mobile_visits[mobile_visitors],0)</f>
        <v>0</v>
      </c>
    </row>
    <row r="532" spans="1:9">
      <c r="A532" s="1">
        <v>43266</v>
      </c>
      <c r="B532">
        <v>10217</v>
      </c>
      <c r="C532">
        <v>14019</v>
      </c>
      <c r="D532">
        <v>10243</v>
      </c>
      <c r="E532">
        <v>5958</v>
      </c>
      <c r="F532">
        <v>250</v>
      </c>
      <c r="G532" t="s">
        <v>9</v>
      </c>
      <c r="H532" t="str" cm="1">
        <f t="array" ref="H532">_xlfn.IFS(Grammys[[#This Row],[date]] &gt;= DATE(2022,2,1),"Grammys",TRUE,"Grammys TRA")</f>
        <v>Grammys TRA</v>
      </c>
      <c r="I532">
        <f>_xlfn.XLOOKUP(Grammys[[#This Row],[date]],mobile_visits[date],mobile_visits[mobile_visitors],0)</f>
        <v>0</v>
      </c>
    </row>
    <row r="533" spans="1:9">
      <c r="A533" s="1">
        <v>43267</v>
      </c>
      <c r="B533">
        <v>12887</v>
      </c>
      <c r="C533">
        <v>17017</v>
      </c>
      <c r="D533">
        <v>12796</v>
      </c>
      <c r="E533">
        <v>5879</v>
      </c>
      <c r="F533">
        <v>235</v>
      </c>
      <c r="G533" t="s">
        <v>9</v>
      </c>
      <c r="H533" t="str" cm="1">
        <f t="array" ref="H533">_xlfn.IFS(Grammys[[#This Row],[date]] &gt;= DATE(2022,2,1),"Grammys",TRUE,"Grammys TRA")</f>
        <v>Grammys TRA</v>
      </c>
      <c r="I533">
        <f>_xlfn.XLOOKUP(Grammys[[#This Row],[date]],mobile_visits[date],mobile_visits[mobile_visitors],0)</f>
        <v>0</v>
      </c>
    </row>
    <row r="534" spans="1:9">
      <c r="A534" s="1">
        <v>43268</v>
      </c>
      <c r="B534">
        <v>16016</v>
      </c>
      <c r="C534">
        <v>22000</v>
      </c>
      <c r="D534">
        <v>16169</v>
      </c>
      <c r="E534">
        <v>6785</v>
      </c>
      <c r="F534">
        <v>226</v>
      </c>
      <c r="G534" t="s">
        <v>9</v>
      </c>
      <c r="H534" t="str" cm="1">
        <f t="array" ref="H534">_xlfn.IFS(Grammys[[#This Row],[date]] &gt;= DATE(2022,2,1),"Grammys",TRUE,"Grammys TRA")</f>
        <v>Grammys TRA</v>
      </c>
      <c r="I534">
        <f>_xlfn.XLOOKUP(Grammys[[#This Row],[date]],mobile_visits[date],mobile_visits[mobile_visitors],0)</f>
        <v>0</v>
      </c>
    </row>
    <row r="535" spans="1:9">
      <c r="A535" s="1">
        <v>43269</v>
      </c>
      <c r="B535">
        <v>11613</v>
      </c>
      <c r="C535">
        <v>16463</v>
      </c>
      <c r="D535">
        <v>11690</v>
      </c>
      <c r="E535">
        <v>6368</v>
      </c>
      <c r="F535">
        <v>283</v>
      </c>
      <c r="G535" t="s">
        <v>9</v>
      </c>
      <c r="H535" t="str" cm="1">
        <f t="array" ref="H535">_xlfn.IFS(Grammys[[#This Row],[date]] &gt;= DATE(2022,2,1),"Grammys",TRUE,"Grammys TRA")</f>
        <v>Grammys TRA</v>
      </c>
      <c r="I535">
        <f>_xlfn.XLOOKUP(Grammys[[#This Row],[date]],mobile_visits[date],mobile_visits[mobile_visitors],0)</f>
        <v>0</v>
      </c>
    </row>
    <row r="536" spans="1:9">
      <c r="A536" s="1">
        <v>43270</v>
      </c>
      <c r="B536">
        <v>6673</v>
      </c>
      <c r="C536">
        <v>9858</v>
      </c>
      <c r="D536">
        <v>6680</v>
      </c>
      <c r="E536">
        <v>3683</v>
      </c>
      <c r="F536">
        <v>276</v>
      </c>
      <c r="G536" t="s">
        <v>9</v>
      </c>
      <c r="H536" t="str" cm="1">
        <f t="array" ref="H536">_xlfn.IFS(Grammys[[#This Row],[date]] &gt;= DATE(2022,2,1),"Grammys",TRUE,"Grammys TRA")</f>
        <v>Grammys TRA</v>
      </c>
      <c r="I536">
        <f>_xlfn.XLOOKUP(Grammys[[#This Row],[date]],mobile_visits[date],mobile_visits[mobile_visitors],0)</f>
        <v>0</v>
      </c>
    </row>
    <row r="537" spans="1:9">
      <c r="A537" s="1">
        <v>43271</v>
      </c>
      <c r="B537">
        <v>8828</v>
      </c>
      <c r="C537">
        <v>13029</v>
      </c>
      <c r="D537">
        <v>8899</v>
      </c>
      <c r="E537">
        <v>4739</v>
      </c>
      <c r="F537">
        <v>265</v>
      </c>
      <c r="G537" t="s">
        <v>9</v>
      </c>
      <c r="H537" t="str" cm="1">
        <f t="array" ref="H537">_xlfn.IFS(Grammys[[#This Row],[date]] &gt;= DATE(2022,2,1),"Grammys",TRUE,"Grammys TRA")</f>
        <v>Grammys TRA</v>
      </c>
      <c r="I537">
        <f>_xlfn.XLOOKUP(Grammys[[#This Row],[date]],mobile_visits[date],mobile_visits[mobile_visitors],0)</f>
        <v>0</v>
      </c>
    </row>
    <row r="538" spans="1:9">
      <c r="A538" s="1">
        <v>43272</v>
      </c>
      <c r="B538">
        <v>15204</v>
      </c>
      <c r="C538">
        <v>20501</v>
      </c>
      <c r="D538">
        <v>15259</v>
      </c>
      <c r="E538">
        <v>6945</v>
      </c>
      <c r="F538">
        <v>212</v>
      </c>
      <c r="G538" t="s">
        <v>9</v>
      </c>
      <c r="H538" t="str" cm="1">
        <f t="array" ref="H538">_xlfn.IFS(Grammys[[#This Row],[date]] &gt;= DATE(2022,2,1),"Grammys",TRUE,"Grammys TRA")</f>
        <v>Grammys TRA</v>
      </c>
      <c r="I538">
        <f>_xlfn.XLOOKUP(Grammys[[#This Row],[date]],mobile_visits[date],mobile_visits[mobile_visitors],0)</f>
        <v>0</v>
      </c>
    </row>
    <row r="539" spans="1:9">
      <c r="A539" s="1">
        <v>43273</v>
      </c>
      <c r="B539">
        <v>10595</v>
      </c>
      <c r="C539">
        <v>14895</v>
      </c>
      <c r="D539">
        <v>10683</v>
      </c>
      <c r="E539">
        <v>5893</v>
      </c>
      <c r="F539">
        <v>255</v>
      </c>
      <c r="G539" t="s">
        <v>9</v>
      </c>
      <c r="H539" t="str" cm="1">
        <f t="array" ref="H539">_xlfn.IFS(Grammys[[#This Row],[date]] &gt;= DATE(2022,2,1),"Grammys",TRUE,"Grammys TRA")</f>
        <v>Grammys TRA</v>
      </c>
      <c r="I539">
        <f>_xlfn.XLOOKUP(Grammys[[#This Row],[date]],mobile_visits[date],mobile_visits[mobile_visitors],0)</f>
        <v>0</v>
      </c>
    </row>
    <row r="540" spans="1:9">
      <c r="A540" s="1">
        <v>43274</v>
      </c>
      <c r="B540">
        <v>9752</v>
      </c>
      <c r="C540">
        <v>13361</v>
      </c>
      <c r="D540">
        <v>9719</v>
      </c>
      <c r="E540">
        <v>5500</v>
      </c>
      <c r="F540">
        <v>257</v>
      </c>
      <c r="G540" t="s">
        <v>9</v>
      </c>
      <c r="H540" t="str" cm="1">
        <f t="array" ref="H540">_xlfn.IFS(Grammys[[#This Row],[date]] &gt;= DATE(2022,2,1),"Grammys",TRUE,"Grammys TRA")</f>
        <v>Grammys TRA</v>
      </c>
      <c r="I540">
        <f>_xlfn.XLOOKUP(Grammys[[#This Row],[date]],mobile_visits[date],mobile_visits[mobile_visitors],0)</f>
        <v>0</v>
      </c>
    </row>
    <row r="541" spans="1:9">
      <c r="A541" s="1">
        <v>43275</v>
      </c>
      <c r="B541">
        <v>9781</v>
      </c>
      <c r="C541">
        <v>13669</v>
      </c>
      <c r="D541">
        <v>9712</v>
      </c>
      <c r="E541">
        <v>5614</v>
      </c>
      <c r="F541">
        <v>272</v>
      </c>
      <c r="G541" t="s">
        <v>9</v>
      </c>
      <c r="H541" t="str" cm="1">
        <f t="array" ref="H541">_xlfn.IFS(Grammys[[#This Row],[date]] &gt;= DATE(2022,2,1),"Grammys",TRUE,"Grammys TRA")</f>
        <v>Grammys TRA</v>
      </c>
      <c r="I541">
        <f>_xlfn.XLOOKUP(Grammys[[#This Row],[date]],mobile_visits[date],mobile_visits[mobile_visitors],0)</f>
        <v>0</v>
      </c>
    </row>
    <row r="542" spans="1:9">
      <c r="A542" s="1">
        <v>43276</v>
      </c>
      <c r="B542">
        <v>10033</v>
      </c>
      <c r="C542">
        <v>14251</v>
      </c>
      <c r="D542">
        <v>9973</v>
      </c>
      <c r="E542">
        <v>5690</v>
      </c>
      <c r="F542">
        <v>266</v>
      </c>
      <c r="G542" t="s">
        <v>9</v>
      </c>
      <c r="H542" t="str" cm="1">
        <f t="array" ref="H542">_xlfn.IFS(Grammys[[#This Row],[date]] &gt;= DATE(2022,2,1),"Grammys",TRUE,"Grammys TRA")</f>
        <v>Grammys TRA</v>
      </c>
      <c r="I542">
        <f>_xlfn.XLOOKUP(Grammys[[#This Row],[date]],mobile_visits[date],mobile_visits[mobile_visitors],0)</f>
        <v>0</v>
      </c>
    </row>
    <row r="543" spans="1:9">
      <c r="A543" s="1">
        <v>43277</v>
      </c>
      <c r="B543">
        <v>10997</v>
      </c>
      <c r="C543">
        <v>15810</v>
      </c>
      <c r="D543">
        <v>11090</v>
      </c>
      <c r="E543">
        <v>6151</v>
      </c>
      <c r="F543">
        <v>275</v>
      </c>
      <c r="G543" t="s">
        <v>9</v>
      </c>
      <c r="H543" t="str" cm="1">
        <f t="array" ref="H543">_xlfn.IFS(Grammys[[#This Row],[date]] &gt;= DATE(2022,2,1),"Grammys",TRUE,"Grammys TRA")</f>
        <v>Grammys TRA</v>
      </c>
      <c r="I543">
        <f>_xlfn.XLOOKUP(Grammys[[#This Row],[date]],mobile_visits[date],mobile_visits[mobile_visitors],0)</f>
        <v>0</v>
      </c>
    </row>
    <row r="544" spans="1:9">
      <c r="A544" s="1">
        <v>43278</v>
      </c>
      <c r="B544">
        <v>10292</v>
      </c>
      <c r="C544">
        <v>14653</v>
      </c>
      <c r="D544">
        <v>10391</v>
      </c>
      <c r="E544">
        <v>5697</v>
      </c>
      <c r="F544">
        <v>277</v>
      </c>
      <c r="G544" t="s">
        <v>9</v>
      </c>
      <c r="H544" t="str" cm="1">
        <f t="array" ref="H544">_xlfn.IFS(Grammys[[#This Row],[date]] &gt;= DATE(2022,2,1),"Grammys",TRUE,"Grammys TRA")</f>
        <v>Grammys TRA</v>
      </c>
      <c r="I544">
        <f>_xlfn.XLOOKUP(Grammys[[#This Row],[date]],mobile_visits[date],mobile_visits[mobile_visitors],0)</f>
        <v>0</v>
      </c>
    </row>
    <row r="545" spans="1:9">
      <c r="A545" s="1">
        <v>43279</v>
      </c>
      <c r="B545">
        <v>10581</v>
      </c>
      <c r="C545">
        <v>14784</v>
      </c>
      <c r="D545">
        <v>10542</v>
      </c>
      <c r="E545">
        <v>6003</v>
      </c>
      <c r="F545">
        <v>287</v>
      </c>
      <c r="G545" t="s">
        <v>9</v>
      </c>
      <c r="H545" t="str" cm="1">
        <f t="array" ref="H545">_xlfn.IFS(Grammys[[#This Row],[date]] &gt;= DATE(2022,2,1),"Grammys",TRUE,"Grammys TRA")</f>
        <v>Grammys TRA</v>
      </c>
      <c r="I545">
        <f>_xlfn.XLOOKUP(Grammys[[#This Row],[date]],mobile_visits[date],mobile_visits[mobile_visitors],0)</f>
        <v>0</v>
      </c>
    </row>
    <row r="546" spans="1:9">
      <c r="A546" s="1">
        <v>43280</v>
      </c>
      <c r="B546">
        <v>10195</v>
      </c>
      <c r="C546">
        <v>14621</v>
      </c>
      <c r="D546">
        <v>10260</v>
      </c>
      <c r="E546">
        <v>5853</v>
      </c>
      <c r="F546">
        <v>300</v>
      </c>
      <c r="G546" t="s">
        <v>9</v>
      </c>
      <c r="H546" t="str" cm="1">
        <f t="array" ref="H546">_xlfn.IFS(Grammys[[#This Row],[date]] &gt;= DATE(2022,2,1),"Grammys",TRUE,"Grammys TRA")</f>
        <v>Grammys TRA</v>
      </c>
      <c r="I546">
        <f>_xlfn.XLOOKUP(Grammys[[#This Row],[date]],mobile_visits[date],mobile_visits[mobile_visitors],0)</f>
        <v>0</v>
      </c>
    </row>
    <row r="547" spans="1:9">
      <c r="A547" s="1">
        <v>43281</v>
      </c>
      <c r="B547">
        <v>11166</v>
      </c>
      <c r="C547">
        <v>14892</v>
      </c>
      <c r="D547">
        <v>11289</v>
      </c>
      <c r="E547">
        <v>5640</v>
      </c>
      <c r="F547">
        <v>226</v>
      </c>
      <c r="G547" t="s">
        <v>9</v>
      </c>
      <c r="H547" t="str" cm="1">
        <f t="array" ref="H547">_xlfn.IFS(Grammys[[#This Row],[date]] &gt;= DATE(2022,2,1),"Grammys",TRUE,"Grammys TRA")</f>
        <v>Grammys TRA</v>
      </c>
      <c r="I547">
        <f>_xlfn.XLOOKUP(Grammys[[#This Row],[date]],mobile_visits[date],mobile_visits[mobile_visitors],0)</f>
        <v>0</v>
      </c>
    </row>
    <row r="548" spans="1:9">
      <c r="A548" s="1">
        <v>43282</v>
      </c>
      <c r="B548">
        <v>67364</v>
      </c>
      <c r="C548">
        <v>91866</v>
      </c>
      <c r="D548">
        <v>70234</v>
      </c>
      <c r="E548">
        <v>10304</v>
      </c>
      <c r="F548">
        <v>213</v>
      </c>
      <c r="G548" t="s">
        <v>9</v>
      </c>
      <c r="H548" t="str" cm="1">
        <f t="array" ref="H548">_xlfn.IFS(Grammys[[#This Row],[date]] &gt;= DATE(2022,2,1),"Grammys",TRUE,"Grammys TRA")</f>
        <v>Grammys TRA</v>
      </c>
      <c r="I548">
        <f>_xlfn.XLOOKUP(Grammys[[#This Row],[date]],mobile_visits[date],mobile_visits[mobile_visitors],0)</f>
        <v>0</v>
      </c>
    </row>
    <row r="549" spans="1:9">
      <c r="A549" s="1">
        <v>43283</v>
      </c>
      <c r="B549">
        <v>49869</v>
      </c>
      <c r="C549">
        <v>69493</v>
      </c>
      <c r="D549">
        <v>51147</v>
      </c>
      <c r="E549">
        <v>11064</v>
      </c>
      <c r="F549">
        <v>246</v>
      </c>
      <c r="G549" t="s">
        <v>9</v>
      </c>
      <c r="H549" t="str" cm="1">
        <f t="array" ref="H549">_xlfn.IFS(Grammys[[#This Row],[date]] &gt;= DATE(2022,2,1),"Grammys",TRUE,"Grammys TRA")</f>
        <v>Grammys TRA</v>
      </c>
      <c r="I549">
        <f>_xlfn.XLOOKUP(Grammys[[#This Row],[date]],mobile_visits[date],mobile_visits[mobile_visitors],0)</f>
        <v>0</v>
      </c>
    </row>
    <row r="550" spans="1:9">
      <c r="A550" s="1">
        <v>43284</v>
      </c>
      <c r="B550">
        <v>20157</v>
      </c>
      <c r="C550">
        <v>28519</v>
      </c>
      <c r="D550">
        <v>20511</v>
      </c>
      <c r="E550">
        <v>7924</v>
      </c>
      <c r="F550">
        <v>311</v>
      </c>
      <c r="G550" t="s">
        <v>9</v>
      </c>
      <c r="H550" t="str" cm="1">
        <f t="array" ref="H550">_xlfn.IFS(Grammys[[#This Row],[date]] &gt;= DATE(2022,2,1),"Grammys",TRUE,"Grammys TRA")</f>
        <v>Grammys TRA</v>
      </c>
      <c r="I550">
        <f>_xlfn.XLOOKUP(Grammys[[#This Row],[date]],mobile_visits[date],mobile_visits[mobile_visitors],0)</f>
        <v>0</v>
      </c>
    </row>
    <row r="551" spans="1:9">
      <c r="A551" s="1">
        <v>43285</v>
      </c>
      <c r="B551">
        <v>16373</v>
      </c>
      <c r="C551">
        <v>23245</v>
      </c>
      <c r="D551">
        <v>16712</v>
      </c>
      <c r="E551">
        <v>6682</v>
      </c>
      <c r="F551">
        <v>278</v>
      </c>
      <c r="G551" t="s">
        <v>9</v>
      </c>
      <c r="H551" t="str" cm="1">
        <f t="array" ref="H551">_xlfn.IFS(Grammys[[#This Row],[date]] &gt;= DATE(2022,2,1),"Grammys",TRUE,"Grammys TRA")</f>
        <v>Grammys TRA</v>
      </c>
      <c r="I551">
        <f>_xlfn.XLOOKUP(Grammys[[#This Row],[date]],mobile_visits[date],mobile_visits[mobile_visitors],0)</f>
        <v>0</v>
      </c>
    </row>
    <row r="552" spans="1:9">
      <c r="A552" s="1">
        <v>43286</v>
      </c>
      <c r="B552">
        <v>30550</v>
      </c>
      <c r="C552">
        <v>46992</v>
      </c>
      <c r="D552">
        <v>30868</v>
      </c>
      <c r="E552">
        <v>10400</v>
      </c>
      <c r="F552">
        <v>285</v>
      </c>
      <c r="G552" t="s">
        <v>9</v>
      </c>
      <c r="H552" t="str" cm="1">
        <f t="array" ref="H552">_xlfn.IFS(Grammys[[#This Row],[date]] &gt;= DATE(2022,2,1),"Grammys",TRUE,"Grammys TRA")</f>
        <v>Grammys TRA</v>
      </c>
      <c r="I552">
        <f>_xlfn.XLOOKUP(Grammys[[#This Row],[date]],mobile_visits[date],mobile_visits[mobile_visitors],0)</f>
        <v>0</v>
      </c>
    </row>
    <row r="553" spans="1:9">
      <c r="A553" s="1">
        <v>43287</v>
      </c>
      <c r="B553">
        <v>30732</v>
      </c>
      <c r="C553">
        <v>46183</v>
      </c>
      <c r="D553">
        <v>32035</v>
      </c>
      <c r="E553">
        <v>10271</v>
      </c>
      <c r="F553">
        <v>280</v>
      </c>
      <c r="G553" t="s">
        <v>9</v>
      </c>
      <c r="H553" t="str" cm="1">
        <f t="array" ref="H553">_xlfn.IFS(Grammys[[#This Row],[date]] &gt;= DATE(2022,2,1),"Grammys",TRUE,"Grammys TRA")</f>
        <v>Grammys TRA</v>
      </c>
      <c r="I553">
        <f>_xlfn.XLOOKUP(Grammys[[#This Row],[date]],mobile_visits[date],mobile_visits[mobile_visitors],0)</f>
        <v>0</v>
      </c>
    </row>
    <row r="554" spans="1:9">
      <c r="A554" s="1">
        <v>43288</v>
      </c>
      <c r="B554">
        <v>16025</v>
      </c>
      <c r="C554">
        <v>22846</v>
      </c>
      <c r="D554">
        <v>16185</v>
      </c>
      <c r="E554">
        <v>6955</v>
      </c>
      <c r="F554">
        <v>298</v>
      </c>
      <c r="G554" t="s">
        <v>9</v>
      </c>
      <c r="H554" t="str" cm="1">
        <f t="array" ref="H554">_xlfn.IFS(Grammys[[#This Row],[date]] &gt;= DATE(2022,2,1),"Grammys",TRUE,"Grammys TRA")</f>
        <v>Grammys TRA</v>
      </c>
      <c r="I554">
        <f>_xlfn.XLOOKUP(Grammys[[#This Row],[date]],mobile_visits[date],mobile_visits[mobile_visitors],0)</f>
        <v>0</v>
      </c>
    </row>
    <row r="555" spans="1:9">
      <c r="A555" s="1">
        <v>43289</v>
      </c>
      <c r="B555">
        <v>25783</v>
      </c>
      <c r="C555">
        <v>35809</v>
      </c>
      <c r="D555">
        <v>26316</v>
      </c>
      <c r="E555">
        <v>9211</v>
      </c>
      <c r="F555">
        <v>265</v>
      </c>
      <c r="G555" t="s">
        <v>9</v>
      </c>
      <c r="H555" t="str" cm="1">
        <f t="array" ref="H555">_xlfn.IFS(Grammys[[#This Row],[date]] &gt;= DATE(2022,2,1),"Grammys",TRUE,"Grammys TRA")</f>
        <v>Grammys TRA</v>
      </c>
      <c r="I555">
        <f>_xlfn.XLOOKUP(Grammys[[#This Row],[date]],mobile_visits[date],mobile_visits[mobile_visitors],0)</f>
        <v>0</v>
      </c>
    </row>
    <row r="556" spans="1:9">
      <c r="A556" s="1">
        <v>43290</v>
      </c>
      <c r="B556">
        <v>23247</v>
      </c>
      <c r="C556">
        <v>34600</v>
      </c>
      <c r="D556">
        <v>24161</v>
      </c>
      <c r="E556">
        <v>9302</v>
      </c>
      <c r="F556">
        <v>355</v>
      </c>
      <c r="G556" t="s">
        <v>9</v>
      </c>
      <c r="H556" t="str" cm="1">
        <f t="array" ref="H556">_xlfn.IFS(Grammys[[#This Row],[date]] &gt;= DATE(2022,2,1),"Grammys",TRUE,"Grammys TRA")</f>
        <v>Grammys TRA</v>
      </c>
      <c r="I556">
        <f>_xlfn.XLOOKUP(Grammys[[#This Row],[date]],mobile_visits[date],mobile_visits[mobile_visitors],0)</f>
        <v>0</v>
      </c>
    </row>
    <row r="557" spans="1:9">
      <c r="A557" s="1">
        <v>43291</v>
      </c>
      <c r="B557">
        <v>16213</v>
      </c>
      <c r="C557">
        <v>23675</v>
      </c>
      <c r="D557">
        <v>16309</v>
      </c>
      <c r="E557">
        <v>7424</v>
      </c>
      <c r="F557">
        <v>320</v>
      </c>
      <c r="G557" t="s">
        <v>9</v>
      </c>
      <c r="H557" t="str" cm="1">
        <f t="array" ref="H557">_xlfn.IFS(Grammys[[#This Row],[date]] &gt;= DATE(2022,2,1),"Grammys",TRUE,"Grammys TRA")</f>
        <v>Grammys TRA</v>
      </c>
      <c r="I557">
        <f>_xlfn.XLOOKUP(Grammys[[#This Row],[date]],mobile_visits[date],mobile_visits[mobile_visitors],0)</f>
        <v>0</v>
      </c>
    </row>
    <row r="558" spans="1:9">
      <c r="A558" s="1">
        <v>43292</v>
      </c>
      <c r="B558">
        <v>13469</v>
      </c>
      <c r="C558">
        <v>19585</v>
      </c>
      <c r="D558">
        <v>13614</v>
      </c>
      <c r="E558">
        <v>6576</v>
      </c>
      <c r="F558">
        <v>318</v>
      </c>
      <c r="G558" t="s">
        <v>9</v>
      </c>
      <c r="H558" t="str" cm="1">
        <f t="array" ref="H558">_xlfn.IFS(Grammys[[#This Row],[date]] &gt;= DATE(2022,2,1),"Grammys",TRUE,"Grammys TRA")</f>
        <v>Grammys TRA</v>
      </c>
      <c r="I558">
        <f>_xlfn.XLOOKUP(Grammys[[#This Row],[date]],mobile_visits[date],mobile_visits[mobile_visitors],0)</f>
        <v>0</v>
      </c>
    </row>
    <row r="559" spans="1:9">
      <c r="A559" s="1">
        <v>43293</v>
      </c>
      <c r="B559">
        <v>13044</v>
      </c>
      <c r="C559">
        <v>18823</v>
      </c>
      <c r="D559">
        <v>13031</v>
      </c>
      <c r="E559">
        <v>6628</v>
      </c>
      <c r="F559">
        <v>319</v>
      </c>
      <c r="G559" t="s">
        <v>9</v>
      </c>
      <c r="H559" t="str" cm="1">
        <f t="array" ref="H559">_xlfn.IFS(Grammys[[#This Row],[date]] &gt;= DATE(2022,2,1),"Grammys",TRUE,"Grammys TRA")</f>
        <v>Grammys TRA</v>
      </c>
      <c r="I559">
        <f>_xlfn.XLOOKUP(Grammys[[#This Row],[date]],mobile_visits[date],mobile_visits[mobile_visitors],0)</f>
        <v>0</v>
      </c>
    </row>
    <row r="560" spans="1:9">
      <c r="A560" s="1">
        <v>43294</v>
      </c>
      <c r="B560">
        <v>12756</v>
      </c>
      <c r="C560">
        <v>18378</v>
      </c>
      <c r="D560">
        <v>12875</v>
      </c>
      <c r="E560">
        <v>6343</v>
      </c>
      <c r="F560">
        <v>312</v>
      </c>
      <c r="G560" t="s">
        <v>9</v>
      </c>
      <c r="H560" t="str" cm="1">
        <f t="array" ref="H560">_xlfn.IFS(Grammys[[#This Row],[date]] &gt;= DATE(2022,2,1),"Grammys",TRUE,"Grammys TRA")</f>
        <v>Grammys TRA</v>
      </c>
      <c r="I560">
        <f>_xlfn.XLOOKUP(Grammys[[#This Row],[date]],mobile_visits[date],mobile_visits[mobile_visitors],0)</f>
        <v>0</v>
      </c>
    </row>
    <row r="561" spans="1:9">
      <c r="A561" s="1">
        <v>43295</v>
      </c>
      <c r="B561">
        <v>12056</v>
      </c>
      <c r="C561">
        <v>17576</v>
      </c>
      <c r="D561">
        <v>12218</v>
      </c>
      <c r="E561">
        <v>6013</v>
      </c>
      <c r="F561">
        <v>296</v>
      </c>
      <c r="G561" t="s">
        <v>9</v>
      </c>
      <c r="H561" t="str" cm="1">
        <f t="array" ref="H561">_xlfn.IFS(Grammys[[#This Row],[date]] &gt;= DATE(2022,2,1),"Grammys",TRUE,"Grammys TRA")</f>
        <v>Grammys TRA</v>
      </c>
      <c r="I561">
        <f>_xlfn.XLOOKUP(Grammys[[#This Row],[date]],mobile_visits[date],mobile_visits[mobile_visitors],0)</f>
        <v>0</v>
      </c>
    </row>
    <row r="562" spans="1:9">
      <c r="A562" s="1">
        <v>43296</v>
      </c>
      <c r="B562">
        <v>10760</v>
      </c>
      <c r="C562">
        <v>15569</v>
      </c>
      <c r="D562">
        <v>10970</v>
      </c>
      <c r="E562">
        <v>5416</v>
      </c>
      <c r="F562">
        <v>330</v>
      </c>
      <c r="G562" t="s">
        <v>9</v>
      </c>
      <c r="H562" t="str" cm="1">
        <f t="array" ref="H562">_xlfn.IFS(Grammys[[#This Row],[date]] &gt;= DATE(2022,2,1),"Grammys",TRUE,"Grammys TRA")</f>
        <v>Grammys TRA</v>
      </c>
      <c r="I562">
        <f>_xlfn.XLOOKUP(Grammys[[#This Row],[date]],mobile_visits[date],mobile_visits[mobile_visitors],0)</f>
        <v>0</v>
      </c>
    </row>
    <row r="563" spans="1:9">
      <c r="A563" s="1">
        <v>43297</v>
      </c>
      <c r="B563">
        <v>15624</v>
      </c>
      <c r="C563">
        <v>22251</v>
      </c>
      <c r="D563">
        <v>16045</v>
      </c>
      <c r="E563">
        <v>6871</v>
      </c>
      <c r="F563">
        <v>330</v>
      </c>
      <c r="G563" t="s">
        <v>9</v>
      </c>
      <c r="H563" t="str" cm="1">
        <f t="array" ref="H563">_xlfn.IFS(Grammys[[#This Row],[date]] &gt;= DATE(2022,2,1),"Grammys",TRUE,"Grammys TRA")</f>
        <v>Grammys TRA</v>
      </c>
      <c r="I563">
        <f>_xlfn.XLOOKUP(Grammys[[#This Row],[date]],mobile_visits[date],mobile_visits[mobile_visitors],0)</f>
        <v>0</v>
      </c>
    </row>
    <row r="564" spans="1:9">
      <c r="A564" s="1">
        <v>43298</v>
      </c>
      <c r="B564">
        <v>16345</v>
      </c>
      <c r="C564">
        <v>23123</v>
      </c>
      <c r="D564">
        <v>16655</v>
      </c>
      <c r="E564">
        <v>7928</v>
      </c>
      <c r="F564">
        <v>264</v>
      </c>
      <c r="G564" t="s">
        <v>9</v>
      </c>
      <c r="H564" t="str" cm="1">
        <f t="array" ref="H564">_xlfn.IFS(Grammys[[#This Row],[date]] &gt;= DATE(2022,2,1),"Grammys",TRUE,"Grammys TRA")</f>
        <v>Grammys TRA</v>
      </c>
      <c r="I564">
        <f>_xlfn.XLOOKUP(Grammys[[#This Row],[date]],mobile_visits[date],mobile_visits[mobile_visitors],0)</f>
        <v>0</v>
      </c>
    </row>
    <row r="565" spans="1:9">
      <c r="A565" s="1">
        <v>43299</v>
      </c>
      <c r="B565">
        <v>15970</v>
      </c>
      <c r="C565">
        <v>21344</v>
      </c>
      <c r="D565">
        <v>16284</v>
      </c>
      <c r="E565">
        <v>9911</v>
      </c>
      <c r="F565">
        <v>231</v>
      </c>
      <c r="G565" t="s">
        <v>9</v>
      </c>
      <c r="H565" t="str" cm="1">
        <f t="array" ref="H565">_xlfn.IFS(Grammys[[#This Row],[date]] &gt;= DATE(2022,2,1),"Grammys",TRUE,"Grammys TRA")</f>
        <v>Grammys TRA</v>
      </c>
      <c r="I565">
        <f>_xlfn.XLOOKUP(Grammys[[#This Row],[date]],mobile_visits[date],mobile_visits[mobile_visitors],0)</f>
        <v>0</v>
      </c>
    </row>
    <row r="566" spans="1:9">
      <c r="A566" s="1">
        <v>43300</v>
      </c>
      <c r="B566">
        <v>9734</v>
      </c>
      <c r="C566">
        <v>14262</v>
      </c>
      <c r="D566">
        <v>9946</v>
      </c>
      <c r="E566">
        <v>5626</v>
      </c>
      <c r="F566">
        <v>287</v>
      </c>
      <c r="G566" t="s">
        <v>9</v>
      </c>
      <c r="H566" t="str" cm="1">
        <f t="array" ref="H566">_xlfn.IFS(Grammys[[#This Row],[date]] &gt;= DATE(2022,2,1),"Grammys",TRUE,"Grammys TRA")</f>
        <v>Grammys TRA</v>
      </c>
      <c r="I566">
        <f>_xlfn.XLOOKUP(Grammys[[#This Row],[date]],mobile_visits[date],mobile_visits[mobile_visitors],0)</f>
        <v>0</v>
      </c>
    </row>
    <row r="567" spans="1:9">
      <c r="A567" s="1">
        <v>43301</v>
      </c>
      <c r="B567">
        <v>9257</v>
      </c>
      <c r="C567">
        <v>13378</v>
      </c>
      <c r="D567">
        <v>9375</v>
      </c>
      <c r="E567">
        <v>5270</v>
      </c>
      <c r="F567">
        <v>258</v>
      </c>
      <c r="G567" t="s">
        <v>9</v>
      </c>
      <c r="H567" t="str" cm="1">
        <f t="array" ref="H567">_xlfn.IFS(Grammys[[#This Row],[date]] &gt;= DATE(2022,2,1),"Grammys",TRUE,"Grammys TRA")</f>
        <v>Grammys TRA</v>
      </c>
      <c r="I567">
        <f>_xlfn.XLOOKUP(Grammys[[#This Row],[date]],mobile_visits[date],mobile_visits[mobile_visitors],0)</f>
        <v>0</v>
      </c>
    </row>
    <row r="568" spans="1:9">
      <c r="A568" s="1">
        <v>43302</v>
      </c>
      <c r="B568">
        <v>9987</v>
      </c>
      <c r="C568">
        <v>14081</v>
      </c>
      <c r="D568">
        <v>9965</v>
      </c>
      <c r="E568">
        <v>5170</v>
      </c>
      <c r="F568">
        <v>279</v>
      </c>
      <c r="G568" t="s">
        <v>9</v>
      </c>
      <c r="H568" t="str" cm="1">
        <f t="array" ref="H568">_xlfn.IFS(Grammys[[#This Row],[date]] &gt;= DATE(2022,2,1),"Grammys",TRUE,"Grammys TRA")</f>
        <v>Grammys TRA</v>
      </c>
      <c r="I568">
        <f>_xlfn.XLOOKUP(Grammys[[#This Row],[date]],mobile_visits[date],mobile_visits[mobile_visitors],0)</f>
        <v>0</v>
      </c>
    </row>
    <row r="569" spans="1:9">
      <c r="A569" s="1">
        <v>43303</v>
      </c>
      <c r="B569">
        <v>14751</v>
      </c>
      <c r="C569">
        <v>22115</v>
      </c>
      <c r="D569">
        <v>15158</v>
      </c>
      <c r="E569">
        <v>7232</v>
      </c>
      <c r="F569">
        <v>266</v>
      </c>
      <c r="G569" t="s">
        <v>9</v>
      </c>
      <c r="H569" t="str" cm="1">
        <f t="array" ref="H569">_xlfn.IFS(Grammys[[#This Row],[date]] &gt;= DATE(2022,2,1),"Grammys",TRUE,"Grammys TRA")</f>
        <v>Grammys TRA</v>
      </c>
      <c r="I569">
        <f>_xlfn.XLOOKUP(Grammys[[#This Row],[date]],mobile_visits[date],mobile_visits[mobile_visitors],0)</f>
        <v>0</v>
      </c>
    </row>
    <row r="570" spans="1:9">
      <c r="A570" s="1">
        <v>43304</v>
      </c>
      <c r="B570">
        <v>11891</v>
      </c>
      <c r="C570">
        <v>18826</v>
      </c>
      <c r="D570">
        <v>12264</v>
      </c>
      <c r="E570">
        <v>6064</v>
      </c>
      <c r="F570">
        <v>318</v>
      </c>
      <c r="G570" t="s">
        <v>9</v>
      </c>
      <c r="H570" t="str" cm="1">
        <f t="array" ref="H570">_xlfn.IFS(Grammys[[#This Row],[date]] &gt;= DATE(2022,2,1),"Grammys",TRUE,"Grammys TRA")</f>
        <v>Grammys TRA</v>
      </c>
      <c r="I570">
        <f>_xlfn.XLOOKUP(Grammys[[#This Row],[date]],mobile_visits[date],mobile_visits[mobile_visitors],0)</f>
        <v>0</v>
      </c>
    </row>
    <row r="571" spans="1:9">
      <c r="A571" s="1">
        <v>43305</v>
      </c>
      <c r="B571">
        <v>9892</v>
      </c>
      <c r="C571">
        <v>15171</v>
      </c>
      <c r="D571">
        <v>9910</v>
      </c>
      <c r="E571">
        <v>5237</v>
      </c>
      <c r="F571">
        <v>320</v>
      </c>
      <c r="G571" t="s">
        <v>9</v>
      </c>
      <c r="H571" t="str" cm="1">
        <f t="array" ref="H571">_xlfn.IFS(Grammys[[#This Row],[date]] &gt;= DATE(2022,2,1),"Grammys",TRUE,"Grammys TRA")</f>
        <v>Grammys TRA</v>
      </c>
      <c r="I571">
        <f>_xlfn.XLOOKUP(Grammys[[#This Row],[date]],mobile_visits[date],mobile_visits[mobile_visitors],0)</f>
        <v>0</v>
      </c>
    </row>
    <row r="572" spans="1:9">
      <c r="A572" s="1">
        <v>43306</v>
      </c>
      <c r="B572">
        <v>8862</v>
      </c>
      <c r="C572">
        <v>13174</v>
      </c>
      <c r="D572">
        <v>8920</v>
      </c>
      <c r="E572">
        <v>4972</v>
      </c>
      <c r="F572">
        <v>333</v>
      </c>
      <c r="G572" t="s">
        <v>9</v>
      </c>
      <c r="H572" t="str" cm="1">
        <f t="array" ref="H572">_xlfn.IFS(Grammys[[#This Row],[date]] &gt;= DATE(2022,2,1),"Grammys",TRUE,"Grammys TRA")</f>
        <v>Grammys TRA</v>
      </c>
      <c r="I572">
        <f>_xlfn.XLOOKUP(Grammys[[#This Row],[date]],mobile_visits[date],mobile_visits[mobile_visitors],0)</f>
        <v>0</v>
      </c>
    </row>
    <row r="573" spans="1:9">
      <c r="A573" s="1">
        <v>43307</v>
      </c>
      <c r="B573">
        <v>10174</v>
      </c>
      <c r="C573">
        <v>14910</v>
      </c>
      <c r="D573">
        <v>10313</v>
      </c>
      <c r="E573">
        <v>5358</v>
      </c>
      <c r="F573">
        <v>265</v>
      </c>
      <c r="G573" t="s">
        <v>9</v>
      </c>
      <c r="H573" t="str" cm="1">
        <f t="array" ref="H573">_xlfn.IFS(Grammys[[#This Row],[date]] &gt;= DATE(2022,2,1),"Grammys",TRUE,"Grammys TRA")</f>
        <v>Grammys TRA</v>
      </c>
      <c r="I573">
        <f>_xlfn.XLOOKUP(Grammys[[#This Row],[date]],mobile_visits[date],mobile_visits[mobile_visitors],0)</f>
        <v>0</v>
      </c>
    </row>
    <row r="574" spans="1:9">
      <c r="A574" s="1">
        <v>43308</v>
      </c>
      <c r="B574">
        <v>9225</v>
      </c>
      <c r="C574">
        <v>13393</v>
      </c>
      <c r="D574">
        <v>9374</v>
      </c>
      <c r="E574">
        <v>5077</v>
      </c>
      <c r="F574">
        <v>308</v>
      </c>
      <c r="G574" t="s">
        <v>9</v>
      </c>
      <c r="H574" t="str" cm="1">
        <f t="array" ref="H574">_xlfn.IFS(Grammys[[#This Row],[date]] &gt;= DATE(2022,2,1),"Grammys",TRUE,"Grammys TRA")</f>
        <v>Grammys TRA</v>
      </c>
      <c r="I574">
        <f>_xlfn.XLOOKUP(Grammys[[#This Row],[date]],mobile_visits[date],mobile_visits[mobile_visitors],0)</f>
        <v>0</v>
      </c>
    </row>
    <row r="575" spans="1:9">
      <c r="A575" s="1">
        <v>43309</v>
      </c>
      <c r="B575">
        <v>9197</v>
      </c>
      <c r="C575">
        <v>13075</v>
      </c>
      <c r="D575">
        <v>9385</v>
      </c>
      <c r="E575">
        <v>4804</v>
      </c>
      <c r="F575">
        <v>281</v>
      </c>
      <c r="G575" t="s">
        <v>9</v>
      </c>
      <c r="H575" t="str" cm="1">
        <f t="array" ref="H575">_xlfn.IFS(Grammys[[#This Row],[date]] &gt;= DATE(2022,2,1),"Grammys",TRUE,"Grammys TRA")</f>
        <v>Grammys TRA</v>
      </c>
      <c r="I575">
        <f>_xlfn.XLOOKUP(Grammys[[#This Row],[date]],mobile_visits[date],mobile_visits[mobile_visitors],0)</f>
        <v>0</v>
      </c>
    </row>
    <row r="576" spans="1:9">
      <c r="A576" s="1">
        <v>43310</v>
      </c>
      <c r="B576">
        <v>8828</v>
      </c>
      <c r="C576">
        <v>12721</v>
      </c>
      <c r="D576">
        <v>8845</v>
      </c>
      <c r="E576">
        <v>4700</v>
      </c>
      <c r="F576">
        <v>289</v>
      </c>
      <c r="G576" t="s">
        <v>9</v>
      </c>
      <c r="H576" t="str" cm="1">
        <f t="array" ref="H576">_xlfn.IFS(Grammys[[#This Row],[date]] &gt;= DATE(2022,2,1),"Grammys",TRUE,"Grammys TRA")</f>
        <v>Grammys TRA</v>
      </c>
      <c r="I576">
        <f>_xlfn.XLOOKUP(Grammys[[#This Row],[date]],mobile_visits[date],mobile_visits[mobile_visitors],0)</f>
        <v>0</v>
      </c>
    </row>
    <row r="577" spans="1:9">
      <c r="A577" s="1">
        <v>43311</v>
      </c>
      <c r="B577">
        <v>9379</v>
      </c>
      <c r="C577">
        <v>13757</v>
      </c>
      <c r="D577">
        <v>9448</v>
      </c>
      <c r="E577">
        <v>5095</v>
      </c>
      <c r="F577">
        <v>320</v>
      </c>
      <c r="G577" t="s">
        <v>9</v>
      </c>
      <c r="H577" t="str" cm="1">
        <f t="array" ref="H577">_xlfn.IFS(Grammys[[#This Row],[date]] &gt;= DATE(2022,2,1),"Grammys",TRUE,"Grammys TRA")</f>
        <v>Grammys TRA</v>
      </c>
      <c r="I577">
        <f>_xlfn.XLOOKUP(Grammys[[#This Row],[date]],mobile_visits[date],mobile_visits[mobile_visitors],0)</f>
        <v>0</v>
      </c>
    </row>
    <row r="578" spans="1:9">
      <c r="A578" s="1">
        <v>43312</v>
      </c>
      <c r="B578">
        <v>11026</v>
      </c>
      <c r="C578">
        <v>15377</v>
      </c>
      <c r="D578">
        <v>11083</v>
      </c>
      <c r="E578">
        <v>5518</v>
      </c>
      <c r="F578">
        <v>297</v>
      </c>
      <c r="G578" t="s">
        <v>9</v>
      </c>
      <c r="H578" t="str" cm="1">
        <f t="array" ref="H578">_xlfn.IFS(Grammys[[#This Row],[date]] &gt;= DATE(2022,2,1),"Grammys",TRUE,"Grammys TRA")</f>
        <v>Grammys TRA</v>
      </c>
      <c r="I578">
        <f>_xlfn.XLOOKUP(Grammys[[#This Row],[date]],mobile_visits[date],mobile_visits[mobile_visitors],0)</f>
        <v>0</v>
      </c>
    </row>
    <row r="579" spans="1:9">
      <c r="A579" s="1">
        <v>43313</v>
      </c>
      <c r="B579">
        <v>10924</v>
      </c>
      <c r="C579">
        <v>14813</v>
      </c>
      <c r="D579">
        <v>11003</v>
      </c>
      <c r="E579">
        <v>5258</v>
      </c>
      <c r="F579">
        <v>295</v>
      </c>
      <c r="G579" t="s">
        <v>9</v>
      </c>
      <c r="H579" t="str" cm="1">
        <f t="array" ref="H579">_xlfn.IFS(Grammys[[#This Row],[date]] &gt;= DATE(2022,2,1),"Grammys",TRUE,"Grammys TRA")</f>
        <v>Grammys TRA</v>
      </c>
      <c r="I579">
        <f>_xlfn.XLOOKUP(Grammys[[#This Row],[date]],mobile_visits[date],mobile_visits[mobile_visitors],0)</f>
        <v>0</v>
      </c>
    </row>
    <row r="580" spans="1:9">
      <c r="A580" s="1">
        <v>43314</v>
      </c>
      <c r="B580">
        <v>9393</v>
      </c>
      <c r="C580">
        <v>13447</v>
      </c>
      <c r="D580">
        <v>9506</v>
      </c>
      <c r="E580">
        <v>4875</v>
      </c>
      <c r="F580">
        <v>298</v>
      </c>
      <c r="G580" t="s">
        <v>9</v>
      </c>
      <c r="H580" t="str" cm="1">
        <f t="array" ref="H580">_xlfn.IFS(Grammys[[#This Row],[date]] &gt;= DATE(2022,2,1),"Grammys",TRUE,"Grammys TRA")</f>
        <v>Grammys TRA</v>
      </c>
      <c r="I580">
        <f>_xlfn.XLOOKUP(Grammys[[#This Row],[date]],mobile_visits[date],mobile_visits[mobile_visitors],0)</f>
        <v>0</v>
      </c>
    </row>
    <row r="581" spans="1:9">
      <c r="A581" s="1">
        <v>43315</v>
      </c>
      <c r="B581">
        <v>8612</v>
      </c>
      <c r="C581">
        <v>12808</v>
      </c>
      <c r="D581">
        <v>8770</v>
      </c>
      <c r="E581">
        <v>4811</v>
      </c>
      <c r="F581">
        <v>301</v>
      </c>
      <c r="G581" t="s">
        <v>9</v>
      </c>
      <c r="H581" t="str" cm="1">
        <f t="array" ref="H581">_xlfn.IFS(Grammys[[#This Row],[date]] &gt;= DATE(2022,2,1),"Grammys",TRUE,"Grammys TRA")</f>
        <v>Grammys TRA</v>
      </c>
      <c r="I581">
        <f>_xlfn.XLOOKUP(Grammys[[#This Row],[date]],mobile_visits[date],mobile_visits[mobile_visitors],0)</f>
        <v>0</v>
      </c>
    </row>
    <row r="582" spans="1:9">
      <c r="A582" s="1">
        <v>43316</v>
      </c>
      <c r="B582">
        <v>8130</v>
      </c>
      <c r="C582">
        <v>11814</v>
      </c>
      <c r="D582">
        <v>8172</v>
      </c>
      <c r="E582">
        <v>4640</v>
      </c>
      <c r="F582">
        <v>255</v>
      </c>
      <c r="G582" t="s">
        <v>9</v>
      </c>
      <c r="H582" t="str" cm="1">
        <f t="array" ref="H582">_xlfn.IFS(Grammys[[#This Row],[date]] &gt;= DATE(2022,2,1),"Grammys",TRUE,"Grammys TRA")</f>
        <v>Grammys TRA</v>
      </c>
      <c r="I582">
        <f>_xlfn.XLOOKUP(Grammys[[#This Row],[date]],mobile_visits[date],mobile_visits[mobile_visitors],0)</f>
        <v>0</v>
      </c>
    </row>
    <row r="583" spans="1:9">
      <c r="A583" s="1">
        <v>43317</v>
      </c>
      <c r="B583">
        <v>9189</v>
      </c>
      <c r="C583">
        <v>12984</v>
      </c>
      <c r="D583">
        <v>9302</v>
      </c>
      <c r="E583">
        <v>4905</v>
      </c>
      <c r="F583">
        <v>271</v>
      </c>
      <c r="G583" t="s">
        <v>9</v>
      </c>
      <c r="H583" t="str" cm="1">
        <f t="array" ref="H583">_xlfn.IFS(Grammys[[#This Row],[date]] &gt;= DATE(2022,2,1),"Grammys",TRUE,"Grammys TRA")</f>
        <v>Grammys TRA</v>
      </c>
      <c r="I583">
        <f>_xlfn.XLOOKUP(Grammys[[#This Row],[date]],mobile_visits[date],mobile_visits[mobile_visitors],0)</f>
        <v>0</v>
      </c>
    </row>
    <row r="584" spans="1:9">
      <c r="A584" s="1">
        <v>43318</v>
      </c>
      <c r="B584">
        <v>8193</v>
      </c>
      <c r="C584">
        <v>11929</v>
      </c>
      <c r="D584">
        <v>8238</v>
      </c>
      <c r="E584">
        <v>4652</v>
      </c>
      <c r="F584">
        <v>310</v>
      </c>
      <c r="G584" t="s">
        <v>9</v>
      </c>
      <c r="H584" t="str" cm="1">
        <f t="array" ref="H584">_xlfn.IFS(Grammys[[#This Row],[date]] &gt;= DATE(2022,2,1),"Grammys",TRUE,"Grammys TRA")</f>
        <v>Grammys TRA</v>
      </c>
      <c r="I584">
        <f>_xlfn.XLOOKUP(Grammys[[#This Row],[date]],mobile_visits[date],mobile_visits[mobile_visitors],0)</f>
        <v>0</v>
      </c>
    </row>
    <row r="585" spans="1:9">
      <c r="A585" s="1">
        <v>43319</v>
      </c>
      <c r="B585">
        <v>8916</v>
      </c>
      <c r="C585">
        <v>12945</v>
      </c>
      <c r="D585">
        <v>9027</v>
      </c>
      <c r="E585">
        <v>4849</v>
      </c>
      <c r="F585">
        <v>293</v>
      </c>
      <c r="G585" t="s">
        <v>9</v>
      </c>
      <c r="H585" t="str" cm="1">
        <f t="array" ref="H585">_xlfn.IFS(Grammys[[#This Row],[date]] &gt;= DATE(2022,2,1),"Grammys",TRUE,"Grammys TRA")</f>
        <v>Grammys TRA</v>
      </c>
      <c r="I585">
        <f>_xlfn.XLOOKUP(Grammys[[#This Row],[date]],mobile_visits[date],mobile_visits[mobile_visitors],0)</f>
        <v>0</v>
      </c>
    </row>
    <row r="586" spans="1:9">
      <c r="A586" s="1">
        <v>43320</v>
      </c>
      <c r="B586">
        <v>9225</v>
      </c>
      <c r="C586">
        <v>13631</v>
      </c>
      <c r="D586">
        <v>9342</v>
      </c>
      <c r="E586">
        <v>5097</v>
      </c>
      <c r="F586">
        <v>330</v>
      </c>
      <c r="G586" t="s">
        <v>9</v>
      </c>
      <c r="H586" t="str" cm="1">
        <f t="array" ref="H586">_xlfn.IFS(Grammys[[#This Row],[date]] &gt;= DATE(2022,2,1),"Grammys",TRUE,"Grammys TRA")</f>
        <v>Grammys TRA</v>
      </c>
      <c r="I586">
        <f>_xlfn.XLOOKUP(Grammys[[#This Row],[date]],mobile_visits[date],mobile_visits[mobile_visitors],0)</f>
        <v>0</v>
      </c>
    </row>
    <row r="587" spans="1:9">
      <c r="A587" s="1">
        <v>43321</v>
      </c>
      <c r="B587">
        <v>24499</v>
      </c>
      <c r="C587">
        <v>31433</v>
      </c>
      <c r="D587">
        <v>25040</v>
      </c>
      <c r="E587">
        <v>10572</v>
      </c>
      <c r="F587">
        <v>225</v>
      </c>
      <c r="G587" t="s">
        <v>9</v>
      </c>
      <c r="H587" t="str" cm="1">
        <f t="array" ref="H587">_xlfn.IFS(Grammys[[#This Row],[date]] &gt;= DATE(2022,2,1),"Grammys",TRUE,"Grammys TRA")</f>
        <v>Grammys TRA</v>
      </c>
      <c r="I587">
        <f>_xlfn.XLOOKUP(Grammys[[#This Row],[date]],mobile_visits[date],mobile_visits[mobile_visitors],0)</f>
        <v>0</v>
      </c>
    </row>
    <row r="588" spans="1:9">
      <c r="A588" s="1">
        <v>43322</v>
      </c>
      <c r="B588">
        <v>16517</v>
      </c>
      <c r="C588">
        <v>22140</v>
      </c>
      <c r="D588">
        <v>16832</v>
      </c>
      <c r="E588">
        <v>7779</v>
      </c>
      <c r="F588">
        <v>282</v>
      </c>
      <c r="G588" t="s">
        <v>9</v>
      </c>
      <c r="H588" t="str" cm="1">
        <f t="array" ref="H588">_xlfn.IFS(Grammys[[#This Row],[date]] &gt;= DATE(2022,2,1),"Grammys",TRUE,"Grammys TRA")</f>
        <v>Grammys TRA</v>
      </c>
      <c r="I588">
        <f>_xlfn.XLOOKUP(Grammys[[#This Row],[date]],mobile_visits[date],mobile_visits[mobile_visitors],0)</f>
        <v>0</v>
      </c>
    </row>
    <row r="589" spans="1:9">
      <c r="A589" s="1">
        <v>43323</v>
      </c>
      <c r="B589">
        <v>11421</v>
      </c>
      <c r="C589">
        <v>16046</v>
      </c>
      <c r="D589">
        <v>11629</v>
      </c>
      <c r="E589">
        <v>5781</v>
      </c>
      <c r="F589">
        <v>286</v>
      </c>
      <c r="G589" t="s">
        <v>9</v>
      </c>
      <c r="H589" t="str" cm="1">
        <f t="array" ref="H589">_xlfn.IFS(Grammys[[#This Row],[date]] &gt;= DATE(2022,2,1),"Grammys",TRUE,"Grammys TRA")</f>
        <v>Grammys TRA</v>
      </c>
      <c r="I589">
        <f>_xlfn.XLOOKUP(Grammys[[#This Row],[date]],mobile_visits[date],mobile_visits[mobile_visitors],0)</f>
        <v>0</v>
      </c>
    </row>
    <row r="590" spans="1:9">
      <c r="A590" s="1">
        <v>43324</v>
      </c>
      <c r="B590">
        <v>10167</v>
      </c>
      <c r="C590">
        <v>14776</v>
      </c>
      <c r="D590">
        <v>10476</v>
      </c>
      <c r="E590">
        <v>5173</v>
      </c>
      <c r="F590">
        <v>283</v>
      </c>
      <c r="G590" t="s">
        <v>9</v>
      </c>
      <c r="H590" t="str" cm="1">
        <f t="array" ref="H590">_xlfn.IFS(Grammys[[#This Row],[date]] &gt;= DATE(2022,2,1),"Grammys",TRUE,"Grammys TRA")</f>
        <v>Grammys TRA</v>
      </c>
      <c r="I590">
        <f>_xlfn.XLOOKUP(Grammys[[#This Row],[date]],mobile_visits[date],mobile_visits[mobile_visitors],0)</f>
        <v>0</v>
      </c>
    </row>
    <row r="591" spans="1:9">
      <c r="A591" s="1">
        <v>43325</v>
      </c>
      <c r="B591">
        <v>10238</v>
      </c>
      <c r="C591">
        <v>15782</v>
      </c>
      <c r="D591">
        <v>10413</v>
      </c>
      <c r="E591">
        <v>5747</v>
      </c>
      <c r="F591">
        <v>348</v>
      </c>
      <c r="G591" t="s">
        <v>9</v>
      </c>
      <c r="H591" t="str" cm="1">
        <f t="array" ref="H591">_xlfn.IFS(Grammys[[#This Row],[date]] &gt;= DATE(2022,2,1),"Grammys",TRUE,"Grammys TRA")</f>
        <v>Grammys TRA</v>
      </c>
      <c r="I591">
        <f>_xlfn.XLOOKUP(Grammys[[#This Row],[date]],mobile_visits[date],mobile_visits[mobile_visitors],0)</f>
        <v>0</v>
      </c>
    </row>
    <row r="592" spans="1:9">
      <c r="A592" s="1">
        <v>43326</v>
      </c>
      <c r="B592">
        <v>10163</v>
      </c>
      <c r="C592">
        <v>15071</v>
      </c>
      <c r="D592">
        <v>10301</v>
      </c>
      <c r="E592">
        <v>5799</v>
      </c>
      <c r="F592">
        <v>292</v>
      </c>
      <c r="G592" t="s">
        <v>9</v>
      </c>
      <c r="H592" t="str" cm="1">
        <f t="array" ref="H592">_xlfn.IFS(Grammys[[#This Row],[date]] &gt;= DATE(2022,2,1),"Grammys",TRUE,"Grammys TRA")</f>
        <v>Grammys TRA</v>
      </c>
      <c r="I592">
        <f>_xlfn.XLOOKUP(Grammys[[#This Row],[date]],mobile_visits[date],mobile_visits[mobile_visitors],0)</f>
        <v>0</v>
      </c>
    </row>
    <row r="593" spans="1:9">
      <c r="A593" s="1">
        <v>43327</v>
      </c>
      <c r="B593">
        <v>9199</v>
      </c>
      <c r="C593">
        <v>13865</v>
      </c>
      <c r="D593">
        <v>9330</v>
      </c>
      <c r="E593">
        <v>5199</v>
      </c>
      <c r="F593">
        <v>291</v>
      </c>
      <c r="G593" t="s">
        <v>9</v>
      </c>
      <c r="H593" t="str" cm="1">
        <f t="array" ref="H593">_xlfn.IFS(Grammys[[#This Row],[date]] &gt;= DATE(2022,2,1),"Grammys",TRUE,"Grammys TRA")</f>
        <v>Grammys TRA</v>
      </c>
      <c r="I593">
        <f>_xlfn.XLOOKUP(Grammys[[#This Row],[date]],mobile_visits[date],mobile_visits[mobile_visitors],0)</f>
        <v>0</v>
      </c>
    </row>
    <row r="594" spans="1:9">
      <c r="A594" s="1">
        <v>43328</v>
      </c>
      <c r="B594">
        <v>15712</v>
      </c>
      <c r="C594">
        <v>23476</v>
      </c>
      <c r="D594">
        <v>16046</v>
      </c>
      <c r="E594">
        <v>9177</v>
      </c>
      <c r="F594">
        <v>247</v>
      </c>
      <c r="G594" t="s">
        <v>9</v>
      </c>
      <c r="H594" t="str" cm="1">
        <f t="array" ref="H594">_xlfn.IFS(Grammys[[#This Row],[date]] &gt;= DATE(2022,2,1),"Grammys",TRUE,"Grammys TRA")</f>
        <v>Grammys TRA</v>
      </c>
      <c r="I594">
        <f>_xlfn.XLOOKUP(Grammys[[#This Row],[date]],mobile_visits[date],mobile_visits[mobile_visitors],0)</f>
        <v>0</v>
      </c>
    </row>
    <row r="595" spans="1:9">
      <c r="A595" s="1">
        <v>43329</v>
      </c>
      <c r="B595">
        <v>11571</v>
      </c>
      <c r="C595">
        <v>17293</v>
      </c>
      <c r="D595">
        <v>11787</v>
      </c>
      <c r="E595">
        <v>6877</v>
      </c>
      <c r="F595">
        <v>256</v>
      </c>
      <c r="G595" t="s">
        <v>9</v>
      </c>
      <c r="H595" t="str" cm="1">
        <f t="array" ref="H595">_xlfn.IFS(Grammys[[#This Row],[date]] &gt;= DATE(2022,2,1),"Grammys",TRUE,"Grammys TRA")</f>
        <v>Grammys TRA</v>
      </c>
      <c r="I595">
        <f>_xlfn.XLOOKUP(Grammys[[#This Row],[date]],mobile_visits[date],mobile_visits[mobile_visitors],0)</f>
        <v>0</v>
      </c>
    </row>
    <row r="596" spans="1:9">
      <c r="A596" s="1">
        <v>43330</v>
      </c>
      <c r="B596">
        <v>9539</v>
      </c>
      <c r="C596">
        <v>14508</v>
      </c>
      <c r="D596">
        <v>9642</v>
      </c>
      <c r="E596">
        <v>5405</v>
      </c>
      <c r="F596">
        <v>284</v>
      </c>
      <c r="G596" t="s">
        <v>9</v>
      </c>
      <c r="H596" t="str" cm="1">
        <f t="array" ref="H596">_xlfn.IFS(Grammys[[#This Row],[date]] &gt;= DATE(2022,2,1),"Grammys",TRUE,"Grammys TRA")</f>
        <v>Grammys TRA</v>
      </c>
      <c r="I596">
        <f>_xlfn.XLOOKUP(Grammys[[#This Row],[date]],mobile_visits[date],mobile_visits[mobile_visitors],0)</f>
        <v>0</v>
      </c>
    </row>
    <row r="597" spans="1:9">
      <c r="A597" s="1">
        <v>43331</v>
      </c>
      <c r="B597">
        <v>8731</v>
      </c>
      <c r="C597">
        <v>13394</v>
      </c>
      <c r="D597">
        <v>8809</v>
      </c>
      <c r="E597">
        <v>4890</v>
      </c>
      <c r="F597">
        <v>288</v>
      </c>
      <c r="G597" t="s">
        <v>9</v>
      </c>
      <c r="H597" t="str" cm="1">
        <f t="array" ref="H597">_xlfn.IFS(Grammys[[#This Row],[date]] &gt;= DATE(2022,2,1),"Grammys",TRUE,"Grammys TRA")</f>
        <v>Grammys TRA</v>
      </c>
      <c r="I597">
        <f>_xlfn.XLOOKUP(Grammys[[#This Row],[date]],mobile_visits[date],mobile_visits[mobile_visitors],0)</f>
        <v>0</v>
      </c>
    </row>
    <row r="598" spans="1:9">
      <c r="A598" s="1">
        <v>43332</v>
      </c>
      <c r="B598">
        <v>9854</v>
      </c>
      <c r="C598">
        <v>15232</v>
      </c>
      <c r="D598">
        <v>9871</v>
      </c>
      <c r="E598">
        <v>5566</v>
      </c>
      <c r="F598">
        <v>300</v>
      </c>
      <c r="G598" t="s">
        <v>9</v>
      </c>
      <c r="H598" t="str" cm="1">
        <f t="array" ref="H598">_xlfn.IFS(Grammys[[#This Row],[date]] &gt;= DATE(2022,2,1),"Grammys",TRUE,"Grammys TRA")</f>
        <v>Grammys TRA</v>
      </c>
      <c r="I598">
        <f>_xlfn.XLOOKUP(Grammys[[#This Row],[date]],mobile_visits[date],mobile_visits[mobile_visitors],0)</f>
        <v>0</v>
      </c>
    </row>
    <row r="599" spans="1:9">
      <c r="A599" s="1">
        <v>43333</v>
      </c>
      <c r="B599">
        <v>11491</v>
      </c>
      <c r="C599">
        <v>17676</v>
      </c>
      <c r="D599">
        <v>11565</v>
      </c>
      <c r="E599">
        <v>6263</v>
      </c>
      <c r="F599">
        <v>299</v>
      </c>
      <c r="G599" t="s">
        <v>9</v>
      </c>
      <c r="H599" t="str" cm="1">
        <f t="array" ref="H599">_xlfn.IFS(Grammys[[#This Row],[date]] &gt;= DATE(2022,2,1),"Grammys",TRUE,"Grammys TRA")</f>
        <v>Grammys TRA</v>
      </c>
      <c r="I599">
        <f>_xlfn.XLOOKUP(Grammys[[#This Row],[date]],mobile_visits[date],mobile_visits[mobile_visitors],0)</f>
        <v>0</v>
      </c>
    </row>
    <row r="600" spans="1:9">
      <c r="A600" s="1">
        <v>43334</v>
      </c>
      <c r="B600">
        <v>9866</v>
      </c>
      <c r="C600">
        <v>14917</v>
      </c>
      <c r="D600">
        <v>10002</v>
      </c>
      <c r="E600">
        <v>5556</v>
      </c>
      <c r="F600">
        <v>319</v>
      </c>
      <c r="G600" t="s">
        <v>9</v>
      </c>
      <c r="H600" t="str" cm="1">
        <f t="array" ref="H600">_xlfn.IFS(Grammys[[#This Row],[date]] &gt;= DATE(2022,2,1),"Grammys",TRUE,"Grammys TRA")</f>
        <v>Grammys TRA</v>
      </c>
      <c r="I600">
        <f>_xlfn.XLOOKUP(Grammys[[#This Row],[date]],mobile_visits[date],mobile_visits[mobile_visitors],0)</f>
        <v>0</v>
      </c>
    </row>
    <row r="601" spans="1:9">
      <c r="A601" s="1">
        <v>43335</v>
      </c>
      <c r="B601">
        <v>9532</v>
      </c>
      <c r="C601">
        <v>14272</v>
      </c>
      <c r="D601">
        <v>9681</v>
      </c>
      <c r="E601">
        <v>5356</v>
      </c>
      <c r="F601">
        <v>269</v>
      </c>
      <c r="G601" t="s">
        <v>9</v>
      </c>
      <c r="H601" t="str" cm="1">
        <f t="array" ref="H601">_xlfn.IFS(Grammys[[#This Row],[date]] &gt;= DATE(2022,2,1),"Grammys",TRUE,"Grammys TRA")</f>
        <v>Grammys TRA</v>
      </c>
      <c r="I601">
        <f>_xlfn.XLOOKUP(Grammys[[#This Row],[date]],mobile_visits[date],mobile_visits[mobile_visitors],0)</f>
        <v>0</v>
      </c>
    </row>
    <row r="602" spans="1:9">
      <c r="A602" s="1">
        <v>43336</v>
      </c>
      <c r="B602">
        <v>12500</v>
      </c>
      <c r="C602">
        <v>18400</v>
      </c>
      <c r="D602">
        <v>12641</v>
      </c>
      <c r="E602">
        <v>6368</v>
      </c>
      <c r="F602">
        <v>247</v>
      </c>
      <c r="G602" t="s">
        <v>9</v>
      </c>
      <c r="H602" t="str" cm="1">
        <f t="array" ref="H602">_xlfn.IFS(Grammys[[#This Row],[date]] &gt;= DATE(2022,2,1),"Grammys",TRUE,"Grammys TRA")</f>
        <v>Grammys TRA</v>
      </c>
      <c r="I602">
        <f>_xlfn.XLOOKUP(Grammys[[#This Row],[date]],mobile_visits[date],mobile_visits[mobile_visitors],0)</f>
        <v>0</v>
      </c>
    </row>
    <row r="603" spans="1:9">
      <c r="A603" s="1">
        <v>43337</v>
      </c>
      <c r="B603">
        <v>10492</v>
      </c>
      <c r="C603">
        <v>16080</v>
      </c>
      <c r="D603">
        <v>10578</v>
      </c>
      <c r="E603">
        <v>5364</v>
      </c>
      <c r="F603">
        <v>281</v>
      </c>
      <c r="G603" t="s">
        <v>9</v>
      </c>
      <c r="H603" t="str" cm="1">
        <f t="array" ref="H603">_xlfn.IFS(Grammys[[#This Row],[date]] &gt;= DATE(2022,2,1),"Grammys",TRUE,"Grammys TRA")</f>
        <v>Grammys TRA</v>
      </c>
      <c r="I603">
        <f>_xlfn.XLOOKUP(Grammys[[#This Row],[date]],mobile_visits[date],mobile_visits[mobile_visitors],0)</f>
        <v>0</v>
      </c>
    </row>
    <row r="604" spans="1:9">
      <c r="A604" s="1">
        <v>43338</v>
      </c>
      <c r="B604">
        <v>10211</v>
      </c>
      <c r="C604">
        <v>15215</v>
      </c>
      <c r="D604">
        <v>10368</v>
      </c>
      <c r="E604">
        <v>5229</v>
      </c>
      <c r="F604">
        <v>255</v>
      </c>
      <c r="G604" t="s">
        <v>9</v>
      </c>
      <c r="H604" t="str" cm="1">
        <f t="array" ref="H604">_xlfn.IFS(Grammys[[#This Row],[date]] &gt;= DATE(2022,2,1),"Grammys",TRUE,"Grammys TRA")</f>
        <v>Grammys TRA</v>
      </c>
      <c r="I604">
        <f>_xlfn.XLOOKUP(Grammys[[#This Row],[date]],mobile_visits[date],mobile_visits[mobile_visitors],0)</f>
        <v>0</v>
      </c>
    </row>
    <row r="605" spans="1:9">
      <c r="A605" s="1">
        <v>43339</v>
      </c>
      <c r="B605">
        <v>9868</v>
      </c>
      <c r="C605">
        <v>15578</v>
      </c>
      <c r="D605">
        <v>10002</v>
      </c>
      <c r="E605">
        <v>5456</v>
      </c>
      <c r="F605">
        <v>296</v>
      </c>
      <c r="G605" t="s">
        <v>9</v>
      </c>
      <c r="H605" t="str" cm="1">
        <f t="array" ref="H605">_xlfn.IFS(Grammys[[#This Row],[date]] &gt;= DATE(2022,2,1),"Grammys",TRUE,"Grammys TRA")</f>
        <v>Grammys TRA</v>
      </c>
      <c r="I605">
        <f>_xlfn.XLOOKUP(Grammys[[#This Row],[date]],mobile_visits[date],mobile_visits[mobile_visitors],0)</f>
        <v>0</v>
      </c>
    </row>
    <row r="606" spans="1:9">
      <c r="A606" s="1">
        <v>43340</v>
      </c>
      <c r="B606">
        <v>11417</v>
      </c>
      <c r="C606">
        <v>17155</v>
      </c>
      <c r="D606">
        <v>11434</v>
      </c>
      <c r="E606">
        <v>6604</v>
      </c>
      <c r="F606">
        <v>264</v>
      </c>
      <c r="G606" t="s">
        <v>9</v>
      </c>
      <c r="H606" t="str" cm="1">
        <f t="array" ref="H606">_xlfn.IFS(Grammys[[#This Row],[date]] &gt;= DATE(2022,2,1),"Grammys",TRUE,"Grammys TRA")</f>
        <v>Grammys TRA</v>
      </c>
      <c r="I606">
        <f>_xlfn.XLOOKUP(Grammys[[#This Row],[date]],mobile_visits[date],mobile_visits[mobile_visitors],0)</f>
        <v>0</v>
      </c>
    </row>
    <row r="607" spans="1:9">
      <c r="A607" s="1">
        <v>43341</v>
      </c>
      <c r="B607">
        <v>9398</v>
      </c>
      <c r="C607">
        <v>14372</v>
      </c>
      <c r="D607">
        <v>9476</v>
      </c>
      <c r="E607">
        <v>5474</v>
      </c>
      <c r="F607">
        <v>275</v>
      </c>
      <c r="G607" t="s">
        <v>9</v>
      </c>
      <c r="H607" t="str" cm="1">
        <f t="array" ref="H607">_xlfn.IFS(Grammys[[#This Row],[date]] &gt;= DATE(2022,2,1),"Grammys",TRUE,"Grammys TRA")</f>
        <v>Grammys TRA</v>
      </c>
      <c r="I607">
        <f>_xlfn.XLOOKUP(Grammys[[#This Row],[date]],mobile_visits[date],mobile_visits[mobile_visitors],0)</f>
        <v>0</v>
      </c>
    </row>
    <row r="608" spans="1:9">
      <c r="A608" s="1">
        <v>43342</v>
      </c>
      <c r="B608">
        <v>8888</v>
      </c>
      <c r="C608">
        <v>13367</v>
      </c>
      <c r="D608">
        <v>8876</v>
      </c>
      <c r="E608">
        <v>5288</v>
      </c>
      <c r="F608">
        <v>280</v>
      </c>
      <c r="G608" t="s">
        <v>9</v>
      </c>
      <c r="H608" t="str" cm="1">
        <f t="array" ref="H608">_xlfn.IFS(Grammys[[#This Row],[date]] &gt;= DATE(2022,2,1),"Grammys",TRUE,"Grammys TRA")</f>
        <v>Grammys TRA</v>
      </c>
      <c r="I608">
        <f>_xlfn.XLOOKUP(Grammys[[#This Row],[date]],mobile_visits[date],mobile_visits[mobile_visitors],0)</f>
        <v>0</v>
      </c>
    </row>
    <row r="609" spans="1:9">
      <c r="A609" s="1">
        <v>43343</v>
      </c>
      <c r="B609">
        <v>10104</v>
      </c>
      <c r="C609">
        <v>15053</v>
      </c>
      <c r="D609">
        <v>10166</v>
      </c>
      <c r="E609">
        <v>6113</v>
      </c>
      <c r="F609">
        <v>233</v>
      </c>
      <c r="G609" t="s">
        <v>9</v>
      </c>
      <c r="H609" t="str" cm="1">
        <f t="array" ref="H609">_xlfn.IFS(Grammys[[#This Row],[date]] &gt;= DATE(2022,2,1),"Grammys",TRUE,"Grammys TRA")</f>
        <v>Grammys TRA</v>
      </c>
      <c r="I609">
        <f>_xlfn.XLOOKUP(Grammys[[#This Row],[date]],mobile_visits[date],mobile_visits[mobile_visitors],0)</f>
        <v>0</v>
      </c>
    </row>
    <row r="610" spans="1:9">
      <c r="A610" s="1">
        <v>43344</v>
      </c>
      <c r="B610">
        <v>8068</v>
      </c>
      <c r="C610">
        <v>12752</v>
      </c>
      <c r="D610">
        <v>8130</v>
      </c>
      <c r="E610">
        <v>4791</v>
      </c>
      <c r="F610">
        <v>276</v>
      </c>
      <c r="G610" t="s">
        <v>9</v>
      </c>
      <c r="H610" t="str" cm="1">
        <f t="array" ref="H610">_xlfn.IFS(Grammys[[#This Row],[date]] &gt;= DATE(2022,2,1),"Grammys",TRUE,"Grammys TRA")</f>
        <v>Grammys TRA</v>
      </c>
      <c r="I610">
        <f>_xlfn.XLOOKUP(Grammys[[#This Row],[date]],mobile_visits[date],mobile_visits[mobile_visitors],0)</f>
        <v>0</v>
      </c>
    </row>
    <row r="611" spans="1:9">
      <c r="A611" s="1">
        <v>43345</v>
      </c>
      <c r="B611">
        <v>8418</v>
      </c>
      <c r="C611">
        <v>13215</v>
      </c>
      <c r="D611">
        <v>8518</v>
      </c>
      <c r="E611">
        <v>4924</v>
      </c>
      <c r="F611">
        <v>267</v>
      </c>
      <c r="G611" t="s">
        <v>9</v>
      </c>
      <c r="H611" t="str" cm="1">
        <f t="array" ref="H611">_xlfn.IFS(Grammys[[#This Row],[date]] &gt;= DATE(2022,2,1),"Grammys",TRUE,"Grammys TRA")</f>
        <v>Grammys TRA</v>
      </c>
      <c r="I611">
        <f>_xlfn.XLOOKUP(Grammys[[#This Row],[date]],mobile_visits[date],mobile_visits[mobile_visitors],0)</f>
        <v>0</v>
      </c>
    </row>
    <row r="612" spans="1:9">
      <c r="A612" s="1">
        <v>43346</v>
      </c>
      <c r="B612">
        <v>8811</v>
      </c>
      <c r="C612">
        <v>13675</v>
      </c>
      <c r="D612">
        <v>8878</v>
      </c>
      <c r="E612">
        <v>5194</v>
      </c>
      <c r="F612">
        <v>253</v>
      </c>
      <c r="G612" t="s">
        <v>9</v>
      </c>
      <c r="H612" t="str" cm="1">
        <f t="array" ref="H612">_xlfn.IFS(Grammys[[#This Row],[date]] &gt;= DATE(2022,2,1),"Grammys",TRUE,"Grammys TRA")</f>
        <v>Grammys TRA</v>
      </c>
      <c r="I612">
        <f>_xlfn.XLOOKUP(Grammys[[#This Row],[date]],mobile_visits[date],mobile_visits[mobile_visitors],0)</f>
        <v>0</v>
      </c>
    </row>
    <row r="613" spans="1:9">
      <c r="A613" s="1">
        <v>43347</v>
      </c>
      <c r="B613">
        <v>9484</v>
      </c>
      <c r="C613">
        <v>14242</v>
      </c>
      <c r="D613">
        <v>9360</v>
      </c>
      <c r="E613">
        <v>5578</v>
      </c>
      <c r="F613">
        <v>278</v>
      </c>
      <c r="G613" t="s">
        <v>9</v>
      </c>
      <c r="H613" t="str" cm="1">
        <f t="array" ref="H613">_xlfn.IFS(Grammys[[#This Row],[date]] &gt;= DATE(2022,2,1),"Grammys",TRUE,"Grammys TRA")</f>
        <v>Grammys TRA</v>
      </c>
      <c r="I613">
        <f>_xlfn.XLOOKUP(Grammys[[#This Row],[date]],mobile_visits[date],mobile_visits[mobile_visitors],0)</f>
        <v>0</v>
      </c>
    </row>
    <row r="614" spans="1:9">
      <c r="A614" s="1">
        <v>43348</v>
      </c>
      <c r="B614">
        <v>9866</v>
      </c>
      <c r="C614">
        <v>14843</v>
      </c>
      <c r="D614">
        <v>9928</v>
      </c>
      <c r="E614">
        <v>6065</v>
      </c>
      <c r="F614">
        <v>249</v>
      </c>
      <c r="G614" t="s">
        <v>9</v>
      </c>
      <c r="H614" t="str" cm="1">
        <f t="array" ref="H614">_xlfn.IFS(Grammys[[#This Row],[date]] &gt;= DATE(2022,2,1),"Grammys",TRUE,"Grammys TRA")</f>
        <v>Grammys TRA</v>
      </c>
      <c r="I614">
        <f>_xlfn.XLOOKUP(Grammys[[#This Row],[date]],mobile_visits[date],mobile_visits[mobile_visitors],0)</f>
        <v>0</v>
      </c>
    </row>
    <row r="615" spans="1:9">
      <c r="A615" s="1">
        <v>43349</v>
      </c>
      <c r="B615">
        <v>9203</v>
      </c>
      <c r="C615">
        <v>14189</v>
      </c>
      <c r="D615">
        <v>9303</v>
      </c>
      <c r="E615">
        <v>5654</v>
      </c>
      <c r="F615">
        <v>255</v>
      </c>
      <c r="G615" t="s">
        <v>9</v>
      </c>
      <c r="H615" t="str" cm="1">
        <f t="array" ref="H615">_xlfn.IFS(Grammys[[#This Row],[date]] &gt;= DATE(2022,2,1),"Grammys",TRUE,"Grammys TRA")</f>
        <v>Grammys TRA</v>
      </c>
      <c r="I615">
        <f>_xlfn.XLOOKUP(Grammys[[#This Row],[date]],mobile_visits[date],mobile_visits[mobile_visitors],0)</f>
        <v>0</v>
      </c>
    </row>
    <row r="616" spans="1:9">
      <c r="A616" s="1">
        <v>43350</v>
      </c>
      <c r="B616">
        <v>9303</v>
      </c>
      <c r="C616">
        <v>14019</v>
      </c>
      <c r="D616">
        <v>9401</v>
      </c>
      <c r="E616">
        <v>5526</v>
      </c>
      <c r="F616">
        <v>256</v>
      </c>
      <c r="G616" t="s">
        <v>9</v>
      </c>
      <c r="H616" t="str" cm="1">
        <f t="array" ref="H616">_xlfn.IFS(Grammys[[#This Row],[date]] &gt;= DATE(2022,2,1),"Grammys",TRUE,"Grammys TRA")</f>
        <v>Grammys TRA</v>
      </c>
      <c r="I616">
        <f>_xlfn.XLOOKUP(Grammys[[#This Row],[date]],mobile_visits[date],mobile_visits[mobile_visitors],0)</f>
        <v>0</v>
      </c>
    </row>
    <row r="617" spans="1:9">
      <c r="A617" s="1">
        <v>43351</v>
      </c>
      <c r="B617">
        <v>8487</v>
      </c>
      <c r="C617">
        <v>12870</v>
      </c>
      <c r="D617">
        <v>8483</v>
      </c>
      <c r="E617">
        <v>4999</v>
      </c>
      <c r="F617">
        <v>243</v>
      </c>
      <c r="G617" t="s">
        <v>9</v>
      </c>
      <c r="H617" t="str" cm="1">
        <f t="array" ref="H617">_xlfn.IFS(Grammys[[#This Row],[date]] &gt;= DATE(2022,2,1),"Grammys",TRUE,"Grammys TRA")</f>
        <v>Grammys TRA</v>
      </c>
      <c r="I617">
        <f>_xlfn.XLOOKUP(Grammys[[#This Row],[date]],mobile_visits[date],mobile_visits[mobile_visitors],0)</f>
        <v>0</v>
      </c>
    </row>
    <row r="618" spans="1:9">
      <c r="A618" s="1">
        <v>43352</v>
      </c>
      <c r="B618">
        <v>8107</v>
      </c>
      <c r="C618">
        <v>12271</v>
      </c>
      <c r="D618">
        <v>8111</v>
      </c>
      <c r="E618">
        <v>4770</v>
      </c>
      <c r="F618">
        <v>295</v>
      </c>
      <c r="G618" t="s">
        <v>9</v>
      </c>
      <c r="H618" t="str" cm="1">
        <f t="array" ref="H618">_xlfn.IFS(Grammys[[#This Row],[date]] &gt;= DATE(2022,2,1),"Grammys",TRUE,"Grammys TRA")</f>
        <v>Grammys TRA</v>
      </c>
      <c r="I618">
        <f>_xlfn.XLOOKUP(Grammys[[#This Row],[date]],mobile_visits[date],mobile_visits[mobile_visitors],0)</f>
        <v>0</v>
      </c>
    </row>
    <row r="619" spans="1:9">
      <c r="A619" s="1">
        <v>43353</v>
      </c>
      <c r="B619">
        <v>9589</v>
      </c>
      <c r="C619">
        <v>14836</v>
      </c>
      <c r="D619">
        <v>9686</v>
      </c>
      <c r="E619">
        <v>5561</v>
      </c>
      <c r="F619">
        <v>256</v>
      </c>
      <c r="G619" t="s">
        <v>9</v>
      </c>
      <c r="H619" t="str" cm="1">
        <f t="array" ref="H619">_xlfn.IFS(Grammys[[#This Row],[date]] &gt;= DATE(2022,2,1),"Grammys",TRUE,"Grammys TRA")</f>
        <v>Grammys TRA</v>
      </c>
      <c r="I619">
        <f>_xlfn.XLOOKUP(Grammys[[#This Row],[date]],mobile_visits[date],mobile_visits[mobile_visitors],0)</f>
        <v>0</v>
      </c>
    </row>
    <row r="620" spans="1:9">
      <c r="A620" s="1">
        <v>43354</v>
      </c>
      <c r="B620">
        <v>11365</v>
      </c>
      <c r="C620">
        <v>18947</v>
      </c>
      <c r="D620">
        <v>11575</v>
      </c>
      <c r="E620">
        <v>6493</v>
      </c>
      <c r="F620">
        <v>312</v>
      </c>
      <c r="G620" t="s">
        <v>9</v>
      </c>
      <c r="H620" t="str" cm="1">
        <f t="array" ref="H620">_xlfn.IFS(Grammys[[#This Row],[date]] &gt;= DATE(2022,2,1),"Grammys",TRUE,"Grammys TRA")</f>
        <v>Grammys TRA</v>
      </c>
      <c r="I620">
        <f>_xlfn.XLOOKUP(Grammys[[#This Row],[date]],mobile_visits[date],mobile_visits[mobile_visitors],0)</f>
        <v>0</v>
      </c>
    </row>
    <row r="621" spans="1:9">
      <c r="A621" s="1">
        <v>43355</v>
      </c>
      <c r="B621">
        <v>34804</v>
      </c>
      <c r="C621">
        <v>45342</v>
      </c>
      <c r="D621">
        <v>35866</v>
      </c>
      <c r="E621">
        <v>14067</v>
      </c>
      <c r="F621">
        <v>234</v>
      </c>
      <c r="G621" t="s">
        <v>9</v>
      </c>
      <c r="H621" t="str" cm="1">
        <f t="array" ref="H621">_xlfn.IFS(Grammys[[#This Row],[date]] &gt;= DATE(2022,2,1),"Grammys",TRUE,"Grammys TRA")</f>
        <v>Grammys TRA</v>
      </c>
      <c r="I621">
        <f>_xlfn.XLOOKUP(Grammys[[#This Row],[date]],mobile_visits[date],mobile_visits[mobile_visitors],0)</f>
        <v>0</v>
      </c>
    </row>
    <row r="622" spans="1:9">
      <c r="A622" s="1">
        <v>43356</v>
      </c>
      <c r="B622">
        <v>38017</v>
      </c>
      <c r="C622">
        <v>51866</v>
      </c>
      <c r="D622">
        <v>39928</v>
      </c>
      <c r="E622">
        <v>17114</v>
      </c>
      <c r="F622">
        <v>269</v>
      </c>
      <c r="G622" t="s">
        <v>9</v>
      </c>
      <c r="H622" t="str" cm="1">
        <f t="array" ref="H622">_xlfn.IFS(Grammys[[#This Row],[date]] &gt;= DATE(2022,2,1),"Grammys",TRUE,"Grammys TRA")</f>
        <v>Grammys TRA</v>
      </c>
      <c r="I622">
        <f>_xlfn.XLOOKUP(Grammys[[#This Row],[date]],mobile_visits[date],mobile_visits[mobile_visitors],0)</f>
        <v>0</v>
      </c>
    </row>
    <row r="623" spans="1:9">
      <c r="A623" s="1">
        <v>43357</v>
      </c>
      <c r="B623">
        <v>22600</v>
      </c>
      <c r="C623">
        <v>32157</v>
      </c>
      <c r="D623">
        <v>23539</v>
      </c>
      <c r="E623">
        <v>11979</v>
      </c>
      <c r="F623">
        <v>300</v>
      </c>
      <c r="G623" t="s">
        <v>9</v>
      </c>
      <c r="H623" t="str" cm="1">
        <f t="array" ref="H623">_xlfn.IFS(Grammys[[#This Row],[date]] &gt;= DATE(2022,2,1),"Grammys",TRUE,"Grammys TRA")</f>
        <v>Grammys TRA</v>
      </c>
      <c r="I623">
        <f>_xlfn.XLOOKUP(Grammys[[#This Row],[date]],mobile_visits[date],mobile_visits[mobile_visitors],0)</f>
        <v>0</v>
      </c>
    </row>
    <row r="624" spans="1:9">
      <c r="A624" s="1">
        <v>43358</v>
      </c>
      <c r="B624">
        <v>17046</v>
      </c>
      <c r="C624">
        <v>24855</v>
      </c>
      <c r="D624">
        <v>17446</v>
      </c>
      <c r="E624">
        <v>9256</v>
      </c>
      <c r="F624">
        <v>264</v>
      </c>
      <c r="G624" t="s">
        <v>9</v>
      </c>
      <c r="H624" t="str" cm="1">
        <f t="array" ref="H624">_xlfn.IFS(Grammys[[#This Row],[date]] &gt;= DATE(2022,2,1),"Grammys",TRUE,"Grammys TRA")</f>
        <v>Grammys TRA</v>
      </c>
      <c r="I624">
        <f>_xlfn.XLOOKUP(Grammys[[#This Row],[date]],mobile_visits[date],mobile_visits[mobile_visitors],0)</f>
        <v>0</v>
      </c>
    </row>
    <row r="625" spans="1:9">
      <c r="A625" s="1">
        <v>43359</v>
      </c>
      <c r="B625">
        <v>10883</v>
      </c>
      <c r="C625">
        <v>16956</v>
      </c>
      <c r="D625">
        <v>11197</v>
      </c>
      <c r="E625">
        <v>6234</v>
      </c>
      <c r="F625">
        <v>335</v>
      </c>
      <c r="G625" t="s">
        <v>9</v>
      </c>
      <c r="H625" t="str" cm="1">
        <f t="array" ref="H625">_xlfn.IFS(Grammys[[#This Row],[date]] &gt;= DATE(2022,2,1),"Grammys",TRUE,"Grammys TRA")</f>
        <v>Grammys TRA</v>
      </c>
      <c r="I625">
        <f>_xlfn.XLOOKUP(Grammys[[#This Row],[date]],mobile_visits[date],mobile_visits[mobile_visitors],0)</f>
        <v>0</v>
      </c>
    </row>
    <row r="626" spans="1:9">
      <c r="A626" s="1">
        <v>43360</v>
      </c>
      <c r="B626">
        <v>11636</v>
      </c>
      <c r="C626">
        <v>18299</v>
      </c>
      <c r="D626">
        <v>11737</v>
      </c>
      <c r="E626">
        <v>6788</v>
      </c>
      <c r="F626">
        <v>296</v>
      </c>
      <c r="G626" t="s">
        <v>9</v>
      </c>
      <c r="H626" t="str" cm="1">
        <f t="array" ref="H626">_xlfn.IFS(Grammys[[#This Row],[date]] &gt;= DATE(2022,2,1),"Grammys",TRUE,"Grammys TRA")</f>
        <v>Grammys TRA</v>
      </c>
      <c r="I626">
        <f>_xlfn.XLOOKUP(Grammys[[#This Row],[date]],mobile_visits[date],mobile_visits[mobile_visitors],0)</f>
        <v>0</v>
      </c>
    </row>
    <row r="627" spans="1:9">
      <c r="A627" s="1">
        <v>43361</v>
      </c>
      <c r="B627">
        <v>12115</v>
      </c>
      <c r="C627">
        <v>18369</v>
      </c>
      <c r="D627">
        <v>12050</v>
      </c>
      <c r="E627">
        <v>6988</v>
      </c>
      <c r="F627">
        <v>288</v>
      </c>
      <c r="G627" t="s">
        <v>9</v>
      </c>
      <c r="H627" t="str" cm="1">
        <f t="array" ref="H627">_xlfn.IFS(Grammys[[#This Row],[date]] &gt;= DATE(2022,2,1),"Grammys",TRUE,"Grammys TRA")</f>
        <v>Grammys TRA</v>
      </c>
      <c r="I627">
        <f>_xlfn.XLOOKUP(Grammys[[#This Row],[date]],mobile_visits[date],mobile_visits[mobile_visitors],0)</f>
        <v>0</v>
      </c>
    </row>
    <row r="628" spans="1:9">
      <c r="A628" s="1">
        <v>43362</v>
      </c>
      <c r="B628">
        <v>12838</v>
      </c>
      <c r="C628">
        <v>19122</v>
      </c>
      <c r="D628">
        <v>12950</v>
      </c>
      <c r="E628">
        <v>6860</v>
      </c>
      <c r="F628">
        <v>313</v>
      </c>
      <c r="G628" t="s">
        <v>9</v>
      </c>
      <c r="H628" t="str" cm="1">
        <f t="array" ref="H628">_xlfn.IFS(Grammys[[#This Row],[date]] &gt;= DATE(2022,2,1),"Grammys",TRUE,"Grammys TRA")</f>
        <v>Grammys TRA</v>
      </c>
      <c r="I628">
        <f>_xlfn.XLOOKUP(Grammys[[#This Row],[date]],mobile_visits[date],mobile_visits[mobile_visitors],0)</f>
        <v>0</v>
      </c>
    </row>
    <row r="629" spans="1:9">
      <c r="A629" s="1">
        <v>43363</v>
      </c>
      <c r="B629">
        <v>13749</v>
      </c>
      <c r="C629">
        <v>22108</v>
      </c>
      <c r="D629">
        <v>14144</v>
      </c>
      <c r="E629">
        <v>7628</v>
      </c>
      <c r="F629">
        <v>268</v>
      </c>
      <c r="G629" t="s">
        <v>9</v>
      </c>
      <c r="H629" t="str" cm="1">
        <f t="array" ref="H629">_xlfn.IFS(Grammys[[#This Row],[date]] &gt;= DATE(2022,2,1),"Grammys",TRUE,"Grammys TRA")</f>
        <v>Grammys TRA</v>
      </c>
      <c r="I629">
        <f>_xlfn.XLOOKUP(Grammys[[#This Row],[date]],mobile_visits[date],mobile_visits[mobile_visitors],0)</f>
        <v>0</v>
      </c>
    </row>
    <row r="630" spans="1:9">
      <c r="A630" s="1">
        <v>43364</v>
      </c>
      <c r="B630">
        <v>11174</v>
      </c>
      <c r="C630">
        <v>17922</v>
      </c>
      <c r="D630">
        <v>11356</v>
      </c>
      <c r="E630">
        <v>6334</v>
      </c>
      <c r="F630">
        <v>277</v>
      </c>
      <c r="G630" t="s">
        <v>9</v>
      </c>
      <c r="H630" t="str" cm="1">
        <f t="array" ref="H630">_xlfn.IFS(Grammys[[#This Row],[date]] &gt;= DATE(2022,2,1),"Grammys",TRUE,"Grammys TRA")</f>
        <v>Grammys TRA</v>
      </c>
      <c r="I630">
        <f>_xlfn.XLOOKUP(Grammys[[#This Row],[date]],mobile_visits[date],mobile_visits[mobile_visitors],0)</f>
        <v>0</v>
      </c>
    </row>
    <row r="631" spans="1:9">
      <c r="A631" s="1">
        <v>43365</v>
      </c>
      <c r="B631">
        <v>9108</v>
      </c>
      <c r="C631">
        <v>14240</v>
      </c>
      <c r="D631">
        <v>9151</v>
      </c>
      <c r="E631">
        <v>5232</v>
      </c>
      <c r="F631">
        <v>290</v>
      </c>
      <c r="G631" t="s">
        <v>9</v>
      </c>
      <c r="H631" t="str" cm="1">
        <f t="array" ref="H631">_xlfn.IFS(Grammys[[#This Row],[date]] &gt;= DATE(2022,2,1),"Grammys",TRUE,"Grammys TRA")</f>
        <v>Grammys TRA</v>
      </c>
      <c r="I631">
        <f>_xlfn.XLOOKUP(Grammys[[#This Row],[date]],mobile_visits[date],mobile_visits[mobile_visitors],0)</f>
        <v>0</v>
      </c>
    </row>
    <row r="632" spans="1:9">
      <c r="A632" s="1">
        <v>43366</v>
      </c>
      <c r="B632">
        <v>9115</v>
      </c>
      <c r="C632">
        <v>13905</v>
      </c>
      <c r="D632">
        <v>9162</v>
      </c>
      <c r="E632">
        <v>5347</v>
      </c>
      <c r="F632">
        <v>290</v>
      </c>
      <c r="G632" t="s">
        <v>9</v>
      </c>
      <c r="H632" t="str" cm="1">
        <f t="array" ref="H632">_xlfn.IFS(Grammys[[#This Row],[date]] &gt;= DATE(2022,2,1),"Grammys",TRUE,"Grammys TRA")</f>
        <v>Grammys TRA</v>
      </c>
      <c r="I632">
        <f>_xlfn.XLOOKUP(Grammys[[#This Row],[date]],mobile_visits[date],mobile_visits[mobile_visitors],0)</f>
        <v>0</v>
      </c>
    </row>
    <row r="633" spans="1:9">
      <c r="A633" s="1">
        <v>43367</v>
      </c>
      <c r="B633">
        <v>10172</v>
      </c>
      <c r="C633">
        <v>15820</v>
      </c>
      <c r="D633">
        <v>10368</v>
      </c>
      <c r="E633">
        <v>5860</v>
      </c>
      <c r="F633">
        <v>275</v>
      </c>
      <c r="G633" t="s">
        <v>9</v>
      </c>
      <c r="H633" t="str" cm="1">
        <f t="array" ref="H633">_xlfn.IFS(Grammys[[#This Row],[date]] &gt;= DATE(2022,2,1),"Grammys",TRUE,"Grammys TRA")</f>
        <v>Grammys TRA</v>
      </c>
      <c r="I633">
        <f>_xlfn.XLOOKUP(Grammys[[#This Row],[date]],mobile_visits[date],mobile_visits[mobile_visitors],0)</f>
        <v>0</v>
      </c>
    </row>
    <row r="634" spans="1:9">
      <c r="A634" s="1">
        <v>43368</v>
      </c>
      <c r="B634">
        <v>10572</v>
      </c>
      <c r="C634">
        <v>16927</v>
      </c>
      <c r="D634">
        <v>10863</v>
      </c>
      <c r="E634">
        <v>6260</v>
      </c>
      <c r="F634">
        <v>278</v>
      </c>
      <c r="G634" t="s">
        <v>9</v>
      </c>
      <c r="H634" t="str" cm="1">
        <f t="array" ref="H634">_xlfn.IFS(Grammys[[#This Row],[date]] &gt;= DATE(2022,2,1),"Grammys",TRUE,"Grammys TRA")</f>
        <v>Grammys TRA</v>
      </c>
      <c r="I634">
        <f>_xlfn.XLOOKUP(Grammys[[#This Row],[date]],mobile_visits[date],mobile_visits[mobile_visitors],0)</f>
        <v>0</v>
      </c>
    </row>
    <row r="635" spans="1:9">
      <c r="A635" s="1">
        <v>43369</v>
      </c>
      <c r="B635">
        <v>11873</v>
      </c>
      <c r="C635">
        <v>18343</v>
      </c>
      <c r="D635">
        <v>11970</v>
      </c>
      <c r="E635">
        <v>6993</v>
      </c>
      <c r="F635">
        <v>290</v>
      </c>
      <c r="G635" t="s">
        <v>9</v>
      </c>
      <c r="H635" t="str" cm="1">
        <f t="array" ref="H635">_xlfn.IFS(Grammys[[#This Row],[date]] &gt;= DATE(2022,2,1),"Grammys",TRUE,"Grammys TRA")</f>
        <v>Grammys TRA</v>
      </c>
      <c r="I635">
        <f>_xlfn.XLOOKUP(Grammys[[#This Row],[date]],mobile_visits[date],mobile_visits[mobile_visitors],0)</f>
        <v>0</v>
      </c>
    </row>
    <row r="636" spans="1:9">
      <c r="A636" s="1">
        <v>43370</v>
      </c>
      <c r="B636">
        <v>12056</v>
      </c>
      <c r="C636">
        <v>18037</v>
      </c>
      <c r="D636">
        <v>12121</v>
      </c>
      <c r="E636">
        <v>7017</v>
      </c>
      <c r="F636">
        <v>277</v>
      </c>
      <c r="G636" t="s">
        <v>9</v>
      </c>
      <c r="H636" t="str" cm="1">
        <f t="array" ref="H636">_xlfn.IFS(Grammys[[#This Row],[date]] &gt;= DATE(2022,2,1),"Grammys",TRUE,"Grammys TRA")</f>
        <v>Grammys TRA</v>
      </c>
      <c r="I636">
        <f>_xlfn.XLOOKUP(Grammys[[#This Row],[date]],mobile_visits[date],mobile_visits[mobile_visitors],0)</f>
        <v>0</v>
      </c>
    </row>
    <row r="637" spans="1:9">
      <c r="A637" s="1">
        <v>43371</v>
      </c>
      <c r="B637">
        <v>10128</v>
      </c>
      <c r="C637">
        <v>15767</v>
      </c>
      <c r="D637">
        <v>10243</v>
      </c>
      <c r="E637">
        <v>6049</v>
      </c>
      <c r="F637">
        <v>303</v>
      </c>
      <c r="G637" t="s">
        <v>9</v>
      </c>
      <c r="H637" t="str" cm="1">
        <f t="array" ref="H637">_xlfn.IFS(Grammys[[#This Row],[date]] &gt;= DATE(2022,2,1),"Grammys",TRUE,"Grammys TRA")</f>
        <v>Grammys TRA</v>
      </c>
      <c r="I637">
        <f>_xlfn.XLOOKUP(Grammys[[#This Row],[date]],mobile_visits[date],mobile_visits[mobile_visitors],0)</f>
        <v>0</v>
      </c>
    </row>
    <row r="638" spans="1:9">
      <c r="A638" s="1">
        <v>43372</v>
      </c>
      <c r="B638">
        <v>9150</v>
      </c>
      <c r="C638">
        <v>14105</v>
      </c>
      <c r="D638">
        <v>9216</v>
      </c>
      <c r="E638">
        <v>5345</v>
      </c>
      <c r="F638">
        <v>272</v>
      </c>
      <c r="G638" t="s">
        <v>9</v>
      </c>
      <c r="H638" t="str" cm="1">
        <f t="array" ref="H638">_xlfn.IFS(Grammys[[#This Row],[date]] &gt;= DATE(2022,2,1),"Grammys",TRUE,"Grammys TRA")</f>
        <v>Grammys TRA</v>
      </c>
      <c r="I638">
        <f>_xlfn.XLOOKUP(Grammys[[#This Row],[date]],mobile_visits[date],mobile_visits[mobile_visitors],0)</f>
        <v>0</v>
      </c>
    </row>
    <row r="639" spans="1:9">
      <c r="A639" s="1">
        <v>43373</v>
      </c>
      <c r="B639">
        <v>9987</v>
      </c>
      <c r="C639">
        <v>15655</v>
      </c>
      <c r="D639">
        <v>10145</v>
      </c>
      <c r="E639">
        <v>5931</v>
      </c>
      <c r="F639">
        <v>282</v>
      </c>
      <c r="G639" t="s">
        <v>9</v>
      </c>
      <c r="H639" t="str" cm="1">
        <f t="array" ref="H639">_xlfn.IFS(Grammys[[#This Row],[date]] &gt;= DATE(2022,2,1),"Grammys",TRUE,"Grammys TRA")</f>
        <v>Grammys TRA</v>
      </c>
      <c r="I639">
        <f>_xlfn.XLOOKUP(Grammys[[#This Row],[date]],mobile_visits[date],mobile_visits[mobile_visitors],0)</f>
        <v>0</v>
      </c>
    </row>
    <row r="640" spans="1:9">
      <c r="A640" s="1">
        <v>43374</v>
      </c>
      <c r="B640">
        <v>10623</v>
      </c>
      <c r="C640">
        <v>16516</v>
      </c>
      <c r="D640">
        <v>10725</v>
      </c>
      <c r="E640">
        <v>6215</v>
      </c>
      <c r="F640">
        <v>264</v>
      </c>
      <c r="G640" t="s">
        <v>9</v>
      </c>
      <c r="H640" t="str" cm="1">
        <f t="array" ref="H640">_xlfn.IFS(Grammys[[#This Row],[date]] &gt;= DATE(2022,2,1),"Grammys",TRUE,"Grammys TRA")</f>
        <v>Grammys TRA</v>
      </c>
      <c r="I640">
        <f>_xlfn.XLOOKUP(Grammys[[#This Row],[date]],mobile_visits[date],mobile_visits[mobile_visitors],0)</f>
        <v>0</v>
      </c>
    </row>
    <row r="641" spans="1:9">
      <c r="A641" s="1">
        <v>43375</v>
      </c>
      <c r="B641">
        <v>11575</v>
      </c>
      <c r="C641">
        <v>17267</v>
      </c>
      <c r="D641">
        <v>11682</v>
      </c>
      <c r="E641">
        <v>6622</v>
      </c>
      <c r="F641">
        <v>286</v>
      </c>
      <c r="G641" t="s">
        <v>9</v>
      </c>
      <c r="H641" t="str" cm="1">
        <f t="array" ref="H641">_xlfn.IFS(Grammys[[#This Row],[date]] &gt;= DATE(2022,2,1),"Grammys",TRUE,"Grammys TRA")</f>
        <v>Grammys TRA</v>
      </c>
      <c r="I641">
        <f>_xlfn.XLOOKUP(Grammys[[#This Row],[date]],mobile_visits[date],mobile_visits[mobile_visitors],0)</f>
        <v>0</v>
      </c>
    </row>
    <row r="642" spans="1:9">
      <c r="A642" s="1">
        <v>43376</v>
      </c>
      <c r="B642">
        <v>11211</v>
      </c>
      <c r="C642">
        <v>16801</v>
      </c>
      <c r="D642">
        <v>11193</v>
      </c>
      <c r="E642">
        <v>6396</v>
      </c>
      <c r="F642">
        <v>262</v>
      </c>
      <c r="G642" t="s">
        <v>9</v>
      </c>
      <c r="H642" t="str" cm="1">
        <f t="array" ref="H642">_xlfn.IFS(Grammys[[#This Row],[date]] &gt;= DATE(2022,2,1),"Grammys",TRUE,"Grammys TRA")</f>
        <v>Grammys TRA</v>
      </c>
      <c r="I642">
        <f>_xlfn.XLOOKUP(Grammys[[#This Row],[date]],mobile_visits[date],mobile_visits[mobile_visitors],0)</f>
        <v>0</v>
      </c>
    </row>
    <row r="643" spans="1:9">
      <c r="A643" s="1">
        <v>43377</v>
      </c>
      <c r="B643">
        <v>11693</v>
      </c>
      <c r="C643">
        <v>16939</v>
      </c>
      <c r="D643">
        <v>11467</v>
      </c>
      <c r="E643">
        <v>6594</v>
      </c>
      <c r="F643">
        <v>259</v>
      </c>
      <c r="G643" t="s">
        <v>9</v>
      </c>
      <c r="H643" t="str" cm="1">
        <f t="array" ref="H643">_xlfn.IFS(Grammys[[#This Row],[date]] &gt;= DATE(2022,2,1),"Grammys",TRUE,"Grammys TRA")</f>
        <v>Grammys TRA</v>
      </c>
      <c r="I643">
        <f>_xlfn.XLOOKUP(Grammys[[#This Row],[date]],mobile_visits[date],mobile_visits[mobile_visitors],0)</f>
        <v>0</v>
      </c>
    </row>
    <row r="644" spans="1:9">
      <c r="A644" s="1">
        <v>43378</v>
      </c>
      <c r="B644">
        <v>11749</v>
      </c>
      <c r="C644">
        <v>18060</v>
      </c>
      <c r="D644">
        <v>11737</v>
      </c>
      <c r="E644">
        <v>6587</v>
      </c>
      <c r="F644">
        <v>255</v>
      </c>
      <c r="G644" t="s">
        <v>9</v>
      </c>
      <c r="H644" t="str" cm="1">
        <f t="array" ref="H644">_xlfn.IFS(Grammys[[#This Row],[date]] &gt;= DATE(2022,2,1),"Grammys",TRUE,"Grammys TRA")</f>
        <v>Grammys TRA</v>
      </c>
      <c r="I644">
        <f>_xlfn.XLOOKUP(Grammys[[#This Row],[date]],mobile_visits[date],mobile_visits[mobile_visitors],0)</f>
        <v>0</v>
      </c>
    </row>
    <row r="645" spans="1:9">
      <c r="A645" s="1">
        <v>43379</v>
      </c>
      <c r="B645">
        <v>9752</v>
      </c>
      <c r="C645">
        <v>14806</v>
      </c>
      <c r="D645">
        <v>9731</v>
      </c>
      <c r="E645">
        <v>5717</v>
      </c>
      <c r="F645">
        <v>284</v>
      </c>
      <c r="G645" t="s">
        <v>9</v>
      </c>
      <c r="H645" t="str" cm="1">
        <f t="array" ref="H645">_xlfn.IFS(Grammys[[#This Row],[date]] &gt;= DATE(2022,2,1),"Grammys",TRUE,"Grammys TRA")</f>
        <v>Grammys TRA</v>
      </c>
      <c r="I645">
        <f>_xlfn.XLOOKUP(Grammys[[#This Row],[date]],mobile_visits[date],mobile_visits[mobile_visitors],0)</f>
        <v>0</v>
      </c>
    </row>
    <row r="646" spans="1:9">
      <c r="A646" s="1">
        <v>43380</v>
      </c>
      <c r="B646">
        <v>9552</v>
      </c>
      <c r="C646">
        <v>14551</v>
      </c>
      <c r="D646">
        <v>9646</v>
      </c>
      <c r="E646">
        <v>5599</v>
      </c>
      <c r="F646">
        <v>271</v>
      </c>
      <c r="G646" t="s">
        <v>9</v>
      </c>
      <c r="H646" t="str" cm="1">
        <f t="array" ref="H646">_xlfn.IFS(Grammys[[#This Row],[date]] &gt;= DATE(2022,2,1),"Grammys",TRUE,"Grammys TRA")</f>
        <v>Grammys TRA</v>
      </c>
      <c r="I646">
        <f>_xlfn.XLOOKUP(Grammys[[#This Row],[date]],mobile_visits[date],mobile_visits[mobile_visitors],0)</f>
        <v>0</v>
      </c>
    </row>
    <row r="647" spans="1:9">
      <c r="A647" s="1">
        <v>43381</v>
      </c>
      <c r="B647">
        <v>12069</v>
      </c>
      <c r="C647">
        <v>17962</v>
      </c>
      <c r="D647">
        <v>12161</v>
      </c>
      <c r="E647">
        <v>6497</v>
      </c>
      <c r="F647">
        <v>253</v>
      </c>
      <c r="G647" t="s">
        <v>9</v>
      </c>
      <c r="H647" t="str" cm="1">
        <f t="array" ref="H647">_xlfn.IFS(Grammys[[#This Row],[date]] &gt;= DATE(2022,2,1),"Grammys",TRUE,"Grammys TRA")</f>
        <v>Grammys TRA</v>
      </c>
      <c r="I647">
        <f>_xlfn.XLOOKUP(Grammys[[#This Row],[date]],mobile_visits[date],mobile_visits[mobile_visitors],0)</f>
        <v>0</v>
      </c>
    </row>
    <row r="648" spans="1:9">
      <c r="A648" s="1">
        <v>43382</v>
      </c>
      <c r="B648">
        <v>14755</v>
      </c>
      <c r="C648">
        <v>22843</v>
      </c>
      <c r="D648">
        <v>14954</v>
      </c>
      <c r="E648">
        <v>7904</v>
      </c>
      <c r="F648">
        <v>326</v>
      </c>
      <c r="G648" t="s">
        <v>9</v>
      </c>
      <c r="H648" t="str" cm="1">
        <f t="array" ref="H648">_xlfn.IFS(Grammys[[#This Row],[date]] &gt;= DATE(2022,2,1),"Grammys",TRUE,"Grammys TRA")</f>
        <v>Grammys TRA</v>
      </c>
      <c r="I648">
        <f>_xlfn.XLOOKUP(Grammys[[#This Row],[date]],mobile_visits[date],mobile_visits[mobile_visitors],0)</f>
        <v>0</v>
      </c>
    </row>
    <row r="649" spans="1:9">
      <c r="A649" s="1">
        <v>43383</v>
      </c>
      <c r="B649">
        <v>14698</v>
      </c>
      <c r="C649">
        <v>22695</v>
      </c>
      <c r="D649">
        <v>14922</v>
      </c>
      <c r="E649">
        <v>7885</v>
      </c>
      <c r="F649">
        <v>292</v>
      </c>
      <c r="G649" t="s">
        <v>9</v>
      </c>
      <c r="H649" t="str" cm="1">
        <f t="array" ref="H649">_xlfn.IFS(Grammys[[#This Row],[date]] &gt;= DATE(2022,2,1),"Grammys",TRUE,"Grammys TRA")</f>
        <v>Grammys TRA</v>
      </c>
      <c r="I649">
        <f>_xlfn.XLOOKUP(Grammys[[#This Row],[date]],mobile_visits[date],mobile_visits[mobile_visitors],0)</f>
        <v>0</v>
      </c>
    </row>
    <row r="650" spans="1:9">
      <c r="A650" s="1">
        <v>43384</v>
      </c>
      <c r="B650">
        <v>17087</v>
      </c>
      <c r="C650">
        <v>24788</v>
      </c>
      <c r="D650">
        <v>17238</v>
      </c>
      <c r="E650">
        <v>9019</v>
      </c>
      <c r="F650">
        <v>265</v>
      </c>
      <c r="G650" t="s">
        <v>9</v>
      </c>
      <c r="H650" t="str" cm="1">
        <f t="array" ref="H650">_xlfn.IFS(Grammys[[#This Row],[date]] &gt;= DATE(2022,2,1),"Grammys",TRUE,"Grammys TRA")</f>
        <v>Grammys TRA</v>
      </c>
      <c r="I650">
        <f>_xlfn.XLOOKUP(Grammys[[#This Row],[date]],mobile_visits[date],mobile_visits[mobile_visitors],0)</f>
        <v>0</v>
      </c>
    </row>
    <row r="651" spans="1:9">
      <c r="A651" s="1">
        <v>43385</v>
      </c>
      <c r="B651">
        <v>13107</v>
      </c>
      <c r="C651">
        <v>19372</v>
      </c>
      <c r="D651">
        <v>13348</v>
      </c>
      <c r="E651">
        <v>7685</v>
      </c>
      <c r="F651">
        <v>282</v>
      </c>
      <c r="G651" t="s">
        <v>9</v>
      </c>
      <c r="H651" t="str" cm="1">
        <f t="array" ref="H651">_xlfn.IFS(Grammys[[#This Row],[date]] &gt;= DATE(2022,2,1),"Grammys",TRUE,"Grammys TRA")</f>
        <v>Grammys TRA</v>
      </c>
      <c r="I651">
        <f>_xlfn.XLOOKUP(Grammys[[#This Row],[date]],mobile_visits[date],mobile_visits[mobile_visitors],0)</f>
        <v>0</v>
      </c>
    </row>
    <row r="652" spans="1:9">
      <c r="A652" s="1">
        <v>43386</v>
      </c>
      <c r="B652">
        <v>9656</v>
      </c>
      <c r="C652">
        <v>15072</v>
      </c>
      <c r="D652">
        <v>9868</v>
      </c>
      <c r="E652">
        <v>5688</v>
      </c>
      <c r="F652">
        <v>276</v>
      </c>
      <c r="G652" t="s">
        <v>9</v>
      </c>
      <c r="H652" t="str" cm="1">
        <f t="array" ref="H652">_xlfn.IFS(Grammys[[#This Row],[date]] &gt;= DATE(2022,2,1),"Grammys",TRUE,"Grammys TRA")</f>
        <v>Grammys TRA</v>
      </c>
      <c r="I652">
        <f>_xlfn.XLOOKUP(Grammys[[#This Row],[date]],mobile_visits[date],mobile_visits[mobile_visitors],0)</f>
        <v>0</v>
      </c>
    </row>
    <row r="653" spans="1:9">
      <c r="A653" s="1">
        <v>43387</v>
      </c>
      <c r="B653">
        <v>9806</v>
      </c>
      <c r="C653">
        <v>15620</v>
      </c>
      <c r="D653">
        <v>11992</v>
      </c>
      <c r="E653">
        <v>7424</v>
      </c>
      <c r="F653">
        <v>18</v>
      </c>
      <c r="G653" t="s">
        <v>9</v>
      </c>
      <c r="H653" t="str" cm="1">
        <f t="array" ref="H653">_xlfn.IFS(Grammys[[#This Row],[date]] &gt;= DATE(2022,2,1),"Grammys",TRUE,"Grammys TRA")</f>
        <v>Grammys TRA</v>
      </c>
      <c r="I653">
        <f>_xlfn.XLOOKUP(Grammys[[#This Row],[date]],mobile_visits[date],mobile_visits[mobile_visitors],0)</f>
        <v>0</v>
      </c>
    </row>
    <row r="654" spans="1:9">
      <c r="A654" s="1">
        <v>43388</v>
      </c>
      <c r="B654">
        <v>11399</v>
      </c>
      <c r="C654">
        <v>18164</v>
      </c>
      <c r="D654">
        <v>14149</v>
      </c>
      <c r="E654">
        <v>8527</v>
      </c>
      <c r="F654">
        <v>18</v>
      </c>
      <c r="G654" t="s">
        <v>9</v>
      </c>
      <c r="H654" t="str" cm="1">
        <f t="array" ref="H654">_xlfn.IFS(Grammys[[#This Row],[date]] &gt;= DATE(2022,2,1),"Grammys",TRUE,"Grammys TRA")</f>
        <v>Grammys TRA</v>
      </c>
      <c r="I654">
        <f>_xlfn.XLOOKUP(Grammys[[#This Row],[date]],mobile_visits[date],mobile_visits[mobile_visitors],0)</f>
        <v>0</v>
      </c>
    </row>
    <row r="655" spans="1:9">
      <c r="A655" s="1">
        <v>43389</v>
      </c>
      <c r="B655">
        <v>11089</v>
      </c>
      <c r="C655">
        <v>17435</v>
      </c>
      <c r="D655">
        <v>13719</v>
      </c>
      <c r="E655">
        <v>8188</v>
      </c>
      <c r="F655">
        <v>18</v>
      </c>
      <c r="G655" t="s">
        <v>9</v>
      </c>
      <c r="H655" t="str" cm="1">
        <f t="array" ref="H655">_xlfn.IFS(Grammys[[#This Row],[date]] &gt;= DATE(2022,2,1),"Grammys",TRUE,"Grammys TRA")</f>
        <v>Grammys TRA</v>
      </c>
      <c r="I655">
        <f>_xlfn.XLOOKUP(Grammys[[#This Row],[date]],mobile_visits[date],mobile_visits[mobile_visitors],0)</f>
        <v>0</v>
      </c>
    </row>
    <row r="656" spans="1:9">
      <c r="A656" s="1">
        <v>43390</v>
      </c>
      <c r="B656">
        <v>14046</v>
      </c>
      <c r="C656">
        <v>24466</v>
      </c>
      <c r="D656">
        <v>17660</v>
      </c>
      <c r="E656">
        <v>9459</v>
      </c>
      <c r="F656">
        <v>21</v>
      </c>
      <c r="G656" t="s">
        <v>9</v>
      </c>
      <c r="H656" t="str" cm="1">
        <f t="array" ref="H656">_xlfn.IFS(Grammys[[#This Row],[date]] &gt;= DATE(2022,2,1),"Grammys",TRUE,"Grammys TRA")</f>
        <v>Grammys TRA</v>
      </c>
      <c r="I656">
        <f>_xlfn.XLOOKUP(Grammys[[#This Row],[date]],mobile_visits[date],mobile_visits[mobile_visitors],0)</f>
        <v>0</v>
      </c>
    </row>
    <row r="657" spans="1:9">
      <c r="A657" s="1">
        <v>43391</v>
      </c>
      <c r="B657">
        <v>15779</v>
      </c>
      <c r="C657">
        <v>27970</v>
      </c>
      <c r="D657">
        <v>19366</v>
      </c>
      <c r="E657">
        <v>10867</v>
      </c>
      <c r="F657">
        <v>20</v>
      </c>
      <c r="G657" t="s">
        <v>9</v>
      </c>
      <c r="H657" t="str" cm="1">
        <f t="array" ref="H657">_xlfn.IFS(Grammys[[#This Row],[date]] &gt;= DATE(2022,2,1),"Grammys",TRUE,"Grammys TRA")</f>
        <v>Grammys TRA</v>
      </c>
      <c r="I657">
        <f>_xlfn.XLOOKUP(Grammys[[#This Row],[date]],mobile_visits[date],mobile_visits[mobile_visitors],0)</f>
        <v>0</v>
      </c>
    </row>
    <row r="658" spans="1:9">
      <c r="A658" s="1">
        <v>43392</v>
      </c>
      <c r="B658">
        <v>14546</v>
      </c>
      <c r="C658">
        <v>25714</v>
      </c>
      <c r="D658">
        <v>17821</v>
      </c>
      <c r="E658">
        <v>9843</v>
      </c>
      <c r="F658">
        <v>21</v>
      </c>
      <c r="G658" t="s">
        <v>9</v>
      </c>
      <c r="H658" t="str" cm="1">
        <f t="array" ref="H658">_xlfn.IFS(Grammys[[#This Row],[date]] &gt;= DATE(2022,2,1),"Grammys",TRUE,"Grammys TRA")</f>
        <v>Grammys TRA</v>
      </c>
      <c r="I658">
        <f>_xlfn.XLOOKUP(Grammys[[#This Row],[date]],mobile_visits[date],mobile_visits[mobile_visitors],0)</f>
        <v>0</v>
      </c>
    </row>
    <row r="659" spans="1:9">
      <c r="A659" s="1">
        <v>43393</v>
      </c>
      <c r="B659">
        <v>12101</v>
      </c>
      <c r="C659">
        <v>21293</v>
      </c>
      <c r="D659">
        <v>14783</v>
      </c>
      <c r="E659">
        <v>8193</v>
      </c>
      <c r="F659">
        <v>21</v>
      </c>
      <c r="G659" t="s">
        <v>9</v>
      </c>
      <c r="H659" t="str" cm="1">
        <f t="array" ref="H659">_xlfn.IFS(Grammys[[#This Row],[date]] &gt;= DATE(2022,2,1),"Grammys",TRUE,"Grammys TRA")</f>
        <v>Grammys TRA</v>
      </c>
      <c r="I659">
        <f>_xlfn.XLOOKUP(Grammys[[#This Row],[date]],mobile_visits[date],mobile_visits[mobile_visitors],0)</f>
        <v>0</v>
      </c>
    </row>
    <row r="660" spans="1:9">
      <c r="A660" s="1">
        <v>43394</v>
      </c>
      <c r="B660">
        <v>12445</v>
      </c>
      <c r="C660">
        <v>20525</v>
      </c>
      <c r="D660">
        <v>12774</v>
      </c>
      <c r="E660">
        <v>6163</v>
      </c>
      <c r="F660">
        <v>259</v>
      </c>
      <c r="G660" t="s">
        <v>9</v>
      </c>
      <c r="H660" t="str" cm="1">
        <f t="array" ref="H660">_xlfn.IFS(Grammys[[#This Row],[date]] &gt;= DATE(2022,2,1),"Grammys",TRUE,"Grammys TRA")</f>
        <v>Grammys TRA</v>
      </c>
      <c r="I660">
        <f>_xlfn.XLOOKUP(Grammys[[#This Row],[date]],mobile_visits[date],mobile_visits[mobile_visitors],0)</f>
        <v>0</v>
      </c>
    </row>
    <row r="661" spans="1:9">
      <c r="A661" s="1">
        <v>43395</v>
      </c>
      <c r="B661">
        <v>15770</v>
      </c>
      <c r="C661">
        <v>24647</v>
      </c>
      <c r="D661">
        <v>18560</v>
      </c>
      <c r="E661">
        <v>9841</v>
      </c>
      <c r="F661">
        <v>20</v>
      </c>
      <c r="G661" t="s">
        <v>9</v>
      </c>
      <c r="H661" t="str" cm="1">
        <f t="array" ref="H661">_xlfn.IFS(Grammys[[#This Row],[date]] &gt;= DATE(2022,2,1),"Grammys",TRUE,"Grammys TRA")</f>
        <v>Grammys TRA</v>
      </c>
      <c r="I661">
        <f>_xlfn.XLOOKUP(Grammys[[#This Row],[date]],mobile_visits[date],mobile_visits[mobile_visitors],0)</f>
        <v>0</v>
      </c>
    </row>
    <row r="662" spans="1:9">
      <c r="A662" s="1">
        <v>43396</v>
      </c>
      <c r="B662">
        <v>13986</v>
      </c>
      <c r="C662">
        <v>23469</v>
      </c>
      <c r="D662">
        <v>17127</v>
      </c>
      <c r="E662">
        <v>9662</v>
      </c>
      <c r="F662">
        <v>20</v>
      </c>
      <c r="G662" t="s">
        <v>9</v>
      </c>
      <c r="H662" t="str" cm="1">
        <f t="array" ref="H662">_xlfn.IFS(Grammys[[#This Row],[date]] &gt;= DATE(2022,2,1),"Grammys",TRUE,"Grammys TRA")</f>
        <v>Grammys TRA</v>
      </c>
      <c r="I662">
        <f>_xlfn.XLOOKUP(Grammys[[#This Row],[date]],mobile_visits[date],mobile_visits[mobile_visitors],0)</f>
        <v>0</v>
      </c>
    </row>
    <row r="663" spans="1:9">
      <c r="A663" s="1">
        <v>43397</v>
      </c>
      <c r="B663">
        <v>13059</v>
      </c>
      <c r="C663">
        <v>21149</v>
      </c>
      <c r="D663">
        <v>15620</v>
      </c>
      <c r="E663">
        <v>9221</v>
      </c>
      <c r="F663">
        <v>19</v>
      </c>
      <c r="G663" t="s">
        <v>9</v>
      </c>
      <c r="H663" t="str" cm="1">
        <f t="array" ref="H663">_xlfn.IFS(Grammys[[#This Row],[date]] &gt;= DATE(2022,2,1),"Grammys",TRUE,"Grammys TRA")</f>
        <v>Grammys TRA</v>
      </c>
      <c r="I663">
        <f>_xlfn.XLOOKUP(Grammys[[#This Row],[date]],mobile_visits[date],mobile_visits[mobile_visitors],0)</f>
        <v>0</v>
      </c>
    </row>
    <row r="664" spans="1:9">
      <c r="A664" s="1">
        <v>43398</v>
      </c>
      <c r="B664">
        <v>12552</v>
      </c>
      <c r="C664">
        <v>20583</v>
      </c>
      <c r="D664">
        <v>15317</v>
      </c>
      <c r="E664">
        <v>9391</v>
      </c>
      <c r="F664">
        <v>17</v>
      </c>
      <c r="G664" t="s">
        <v>9</v>
      </c>
      <c r="H664" t="str" cm="1">
        <f t="array" ref="H664">_xlfn.IFS(Grammys[[#This Row],[date]] &gt;= DATE(2022,2,1),"Grammys",TRUE,"Grammys TRA")</f>
        <v>Grammys TRA</v>
      </c>
      <c r="I664">
        <f>_xlfn.XLOOKUP(Grammys[[#This Row],[date]],mobile_visits[date],mobile_visits[mobile_visitors],0)</f>
        <v>0</v>
      </c>
    </row>
    <row r="665" spans="1:9">
      <c r="A665" s="1">
        <v>43399</v>
      </c>
      <c r="B665">
        <v>12348</v>
      </c>
      <c r="C665">
        <v>19645</v>
      </c>
      <c r="D665">
        <v>14655</v>
      </c>
      <c r="E665">
        <v>8971</v>
      </c>
      <c r="F665">
        <v>17</v>
      </c>
      <c r="G665" t="s">
        <v>9</v>
      </c>
      <c r="H665" t="str" cm="1">
        <f t="array" ref="H665">_xlfn.IFS(Grammys[[#This Row],[date]] &gt;= DATE(2022,2,1),"Grammys",TRUE,"Grammys TRA")</f>
        <v>Grammys TRA</v>
      </c>
      <c r="I665">
        <f>_xlfn.XLOOKUP(Grammys[[#This Row],[date]],mobile_visits[date],mobile_visits[mobile_visitors],0)</f>
        <v>0</v>
      </c>
    </row>
    <row r="666" spans="1:9">
      <c r="A666" s="1">
        <v>43400</v>
      </c>
      <c r="B666">
        <v>10442</v>
      </c>
      <c r="C666">
        <v>16872</v>
      </c>
      <c r="D666">
        <v>12581</v>
      </c>
      <c r="E666">
        <v>7665</v>
      </c>
      <c r="F666">
        <v>18</v>
      </c>
      <c r="G666" t="s">
        <v>9</v>
      </c>
      <c r="H666" t="str" cm="1">
        <f t="array" ref="H666">_xlfn.IFS(Grammys[[#This Row],[date]] &gt;= DATE(2022,2,1),"Grammys",TRUE,"Grammys TRA")</f>
        <v>Grammys TRA</v>
      </c>
      <c r="I666">
        <f>_xlfn.XLOOKUP(Grammys[[#This Row],[date]],mobile_visits[date],mobile_visits[mobile_visitors],0)</f>
        <v>0</v>
      </c>
    </row>
    <row r="667" spans="1:9">
      <c r="A667" s="1">
        <v>43401</v>
      </c>
      <c r="B667">
        <v>9750</v>
      </c>
      <c r="C667">
        <v>15950</v>
      </c>
      <c r="D667">
        <v>12018</v>
      </c>
      <c r="E667">
        <v>7557</v>
      </c>
      <c r="F667">
        <v>17</v>
      </c>
      <c r="G667" t="s">
        <v>9</v>
      </c>
      <c r="H667" t="str" cm="1">
        <f t="array" ref="H667">_xlfn.IFS(Grammys[[#This Row],[date]] &gt;= DATE(2022,2,1),"Grammys",TRUE,"Grammys TRA")</f>
        <v>Grammys TRA</v>
      </c>
      <c r="I667">
        <f>_xlfn.XLOOKUP(Grammys[[#This Row],[date]],mobile_visits[date],mobile_visits[mobile_visitors],0)</f>
        <v>0</v>
      </c>
    </row>
    <row r="668" spans="1:9">
      <c r="A668" s="1">
        <v>43402</v>
      </c>
      <c r="B668">
        <v>12609</v>
      </c>
      <c r="C668">
        <v>20919</v>
      </c>
      <c r="D668">
        <v>15208</v>
      </c>
      <c r="E668">
        <v>8648</v>
      </c>
      <c r="F668">
        <v>19</v>
      </c>
      <c r="G668" t="s">
        <v>9</v>
      </c>
      <c r="H668" t="str" cm="1">
        <f t="array" ref="H668">_xlfn.IFS(Grammys[[#This Row],[date]] &gt;= DATE(2022,2,1),"Grammys",TRUE,"Grammys TRA")</f>
        <v>Grammys TRA</v>
      </c>
      <c r="I668">
        <f>_xlfn.XLOOKUP(Grammys[[#This Row],[date]],mobile_visits[date],mobile_visits[mobile_visitors],0)</f>
        <v>0</v>
      </c>
    </row>
    <row r="669" spans="1:9">
      <c r="A669" s="1">
        <v>43403</v>
      </c>
      <c r="B669">
        <v>12068</v>
      </c>
      <c r="C669">
        <v>19818</v>
      </c>
      <c r="D669">
        <v>14388</v>
      </c>
      <c r="E669">
        <v>8394</v>
      </c>
      <c r="F669">
        <v>19</v>
      </c>
      <c r="G669" t="s">
        <v>9</v>
      </c>
      <c r="H669" t="str" cm="1">
        <f t="array" ref="H669">_xlfn.IFS(Grammys[[#This Row],[date]] &gt;= DATE(2022,2,1),"Grammys",TRUE,"Grammys TRA")</f>
        <v>Grammys TRA</v>
      </c>
      <c r="I669">
        <f>_xlfn.XLOOKUP(Grammys[[#This Row],[date]],mobile_visits[date],mobile_visits[mobile_visitors],0)</f>
        <v>0</v>
      </c>
    </row>
    <row r="670" spans="1:9">
      <c r="A670" s="1">
        <v>43404</v>
      </c>
      <c r="B670">
        <v>12904</v>
      </c>
      <c r="C670">
        <v>20528</v>
      </c>
      <c r="D670">
        <v>15621</v>
      </c>
      <c r="E670">
        <v>8031</v>
      </c>
      <c r="F670">
        <v>19</v>
      </c>
      <c r="G670" t="s">
        <v>9</v>
      </c>
      <c r="H670" t="str" cm="1">
        <f t="array" ref="H670">_xlfn.IFS(Grammys[[#This Row],[date]] &gt;= DATE(2022,2,1),"Grammys",TRUE,"Grammys TRA")</f>
        <v>Grammys TRA</v>
      </c>
      <c r="I670">
        <f>_xlfn.XLOOKUP(Grammys[[#This Row],[date]],mobile_visits[date],mobile_visits[mobile_visitors],0)</f>
        <v>0</v>
      </c>
    </row>
    <row r="671" spans="1:9">
      <c r="A671" s="1">
        <v>43405</v>
      </c>
      <c r="B671">
        <v>11369</v>
      </c>
      <c r="C671">
        <v>17448</v>
      </c>
      <c r="D671">
        <v>13505</v>
      </c>
      <c r="E671">
        <v>8324</v>
      </c>
      <c r="F671">
        <v>16</v>
      </c>
      <c r="G671" t="s">
        <v>9</v>
      </c>
      <c r="H671" t="str" cm="1">
        <f t="array" ref="H671">_xlfn.IFS(Grammys[[#This Row],[date]] &gt;= DATE(2022,2,1),"Grammys",TRUE,"Grammys TRA")</f>
        <v>Grammys TRA</v>
      </c>
      <c r="I671">
        <f>_xlfn.XLOOKUP(Grammys[[#This Row],[date]],mobile_visits[date],mobile_visits[mobile_visitors],0)</f>
        <v>0</v>
      </c>
    </row>
    <row r="672" spans="1:9">
      <c r="A672" s="1">
        <v>43406</v>
      </c>
      <c r="B672">
        <v>10765</v>
      </c>
      <c r="C672">
        <v>16969</v>
      </c>
      <c r="D672">
        <v>12763</v>
      </c>
      <c r="E672">
        <v>8101</v>
      </c>
      <c r="F672">
        <v>17</v>
      </c>
      <c r="G672" t="s">
        <v>9</v>
      </c>
      <c r="H672" t="str" cm="1">
        <f t="array" ref="H672">_xlfn.IFS(Grammys[[#This Row],[date]] &gt;= DATE(2022,2,1),"Grammys",TRUE,"Grammys TRA")</f>
        <v>Grammys TRA</v>
      </c>
      <c r="I672">
        <f>_xlfn.XLOOKUP(Grammys[[#This Row],[date]],mobile_visits[date],mobile_visits[mobile_visitors],0)</f>
        <v>0</v>
      </c>
    </row>
    <row r="673" spans="1:9">
      <c r="A673" s="1">
        <v>43407</v>
      </c>
      <c r="B673">
        <v>9907</v>
      </c>
      <c r="C673">
        <v>15391</v>
      </c>
      <c r="D673">
        <v>11562</v>
      </c>
      <c r="E673">
        <v>7394</v>
      </c>
      <c r="F673">
        <v>18</v>
      </c>
      <c r="G673" t="s">
        <v>9</v>
      </c>
      <c r="H673" t="str" cm="1">
        <f t="array" ref="H673">_xlfn.IFS(Grammys[[#This Row],[date]] &gt;= DATE(2022,2,1),"Grammys",TRUE,"Grammys TRA")</f>
        <v>Grammys TRA</v>
      </c>
      <c r="I673">
        <f>_xlfn.XLOOKUP(Grammys[[#This Row],[date]],mobile_visits[date],mobile_visits[mobile_visitors],0)</f>
        <v>0</v>
      </c>
    </row>
    <row r="674" spans="1:9">
      <c r="A674" s="1">
        <v>43408</v>
      </c>
      <c r="B674">
        <v>10296</v>
      </c>
      <c r="C674">
        <v>16757</v>
      </c>
      <c r="D674">
        <v>12356</v>
      </c>
      <c r="E674">
        <v>7849</v>
      </c>
      <c r="F674">
        <v>18</v>
      </c>
      <c r="G674" t="s">
        <v>9</v>
      </c>
      <c r="H674" t="str" cm="1">
        <f t="array" ref="H674">_xlfn.IFS(Grammys[[#This Row],[date]] &gt;= DATE(2022,2,1),"Grammys",TRUE,"Grammys TRA")</f>
        <v>Grammys TRA</v>
      </c>
      <c r="I674">
        <f>_xlfn.XLOOKUP(Grammys[[#This Row],[date]],mobile_visits[date],mobile_visits[mobile_visitors],0)</f>
        <v>0</v>
      </c>
    </row>
    <row r="675" spans="1:9">
      <c r="A675" s="1">
        <v>43409</v>
      </c>
      <c r="B675">
        <v>10967</v>
      </c>
      <c r="C675">
        <v>16957</v>
      </c>
      <c r="D675">
        <v>11205</v>
      </c>
      <c r="E675">
        <v>6741</v>
      </c>
      <c r="F675">
        <v>73</v>
      </c>
      <c r="G675" t="s">
        <v>9</v>
      </c>
      <c r="H675" t="str" cm="1">
        <f t="array" ref="H675">_xlfn.IFS(Grammys[[#This Row],[date]] &gt;= DATE(2022,2,1),"Grammys",TRUE,"Grammys TRA")</f>
        <v>Grammys TRA</v>
      </c>
      <c r="I675">
        <f>_xlfn.XLOOKUP(Grammys[[#This Row],[date]],mobile_visits[date],mobile_visits[mobile_visitors],0)</f>
        <v>0</v>
      </c>
    </row>
    <row r="676" spans="1:9">
      <c r="A676" s="1">
        <v>43410</v>
      </c>
      <c r="B676">
        <v>10920</v>
      </c>
      <c r="C676">
        <v>17389</v>
      </c>
      <c r="D676">
        <v>11398</v>
      </c>
      <c r="E676">
        <v>6869</v>
      </c>
      <c r="F676">
        <v>72</v>
      </c>
      <c r="G676" t="s">
        <v>9</v>
      </c>
      <c r="H676" t="str" cm="1">
        <f t="array" ref="H676">_xlfn.IFS(Grammys[[#This Row],[date]] &gt;= DATE(2022,2,1),"Grammys",TRUE,"Grammys TRA")</f>
        <v>Grammys TRA</v>
      </c>
      <c r="I676">
        <f>_xlfn.XLOOKUP(Grammys[[#This Row],[date]],mobile_visits[date],mobile_visits[mobile_visitors],0)</f>
        <v>0</v>
      </c>
    </row>
    <row r="677" spans="1:9">
      <c r="A677" s="1">
        <v>43411</v>
      </c>
      <c r="B677">
        <v>10030</v>
      </c>
      <c r="C677">
        <v>15838</v>
      </c>
      <c r="D677">
        <v>10534</v>
      </c>
      <c r="E677">
        <v>6468</v>
      </c>
      <c r="F677">
        <v>72</v>
      </c>
      <c r="G677" t="s">
        <v>9</v>
      </c>
      <c r="H677" t="str" cm="1">
        <f t="array" ref="H677">_xlfn.IFS(Grammys[[#This Row],[date]] &gt;= DATE(2022,2,1),"Grammys",TRUE,"Grammys TRA")</f>
        <v>Grammys TRA</v>
      </c>
      <c r="I677">
        <f>_xlfn.XLOOKUP(Grammys[[#This Row],[date]],mobile_visits[date],mobile_visits[mobile_visitors],0)</f>
        <v>0</v>
      </c>
    </row>
    <row r="678" spans="1:9">
      <c r="A678" s="1">
        <v>43412</v>
      </c>
      <c r="B678">
        <v>10093</v>
      </c>
      <c r="C678">
        <v>15361</v>
      </c>
      <c r="D678">
        <v>10469</v>
      </c>
      <c r="E678">
        <v>6430</v>
      </c>
      <c r="F678">
        <v>65</v>
      </c>
      <c r="G678" t="s">
        <v>9</v>
      </c>
      <c r="H678" t="str" cm="1">
        <f t="array" ref="H678">_xlfn.IFS(Grammys[[#This Row],[date]] &gt;= DATE(2022,2,1),"Grammys",TRUE,"Grammys TRA")</f>
        <v>Grammys TRA</v>
      </c>
      <c r="I678">
        <f>_xlfn.XLOOKUP(Grammys[[#This Row],[date]],mobile_visits[date],mobile_visits[mobile_visitors],0)</f>
        <v>0</v>
      </c>
    </row>
    <row r="679" spans="1:9">
      <c r="A679" s="1">
        <v>43413</v>
      </c>
      <c r="B679">
        <v>10185</v>
      </c>
      <c r="C679">
        <v>15312</v>
      </c>
      <c r="D679">
        <v>10605</v>
      </c>
      <c r="E679">
        <v>6600</v>
      </c>
      <c r="F679">
        <v>68</v>
      </c>
      <c r="G679" t="s">
        <v>9</v>
      </c>
      <c r="H679" t="str" cm="1">
        <f t="array" ref="H679">_xlfn.IFS(Grammys[[#This Row],[date]] &gt;= DATE(2022,2,1),"Grammys",TRUE,"Grammys TRA")</f>
        <v>Grammys TRA</v>
      </c>
      <c r="I679">
        <f>_xlfn.XLOOKUP(Grammys[[#This Row],[date]],mobile_visits[date],mobile_visits[mobile_visitors],0)</f>
        <v>0</v>
      </c>
    </row>
    <row r="680" spans="1:9">
      <c r="A680" s="1">
        <v>43414</v>
      </c>
      <c r="B680">
        <v>9468</v>
      </c>
      <c r="C680">
        <v>14203</v>
      </c>
      <c r="D680">
        <v>9841</v>
      </c>
      <c r="E680">
        <v>5933</v>
      </c>
      <c r="F680">
        <v>64</v>
      </c>
      <c r="G680" t="s">
        <v>9</v>
      </c>
      <c r="H680" t="str" cm="1">
        <f t="array" ref="H680">_xlfn.IFS(Grammys[[#This Row],[date]] &gt;= DATE(2022,2,1),"Grammys",TRUE,"Grammys TRA")</f>
        <v>Grammys TRA</v>
      </c>
      <c r="I680">
        <f>_xlfn.XLOOKUP(Grammys[[#This Row],[date]],mobile_visits[date],mobile_visits[mobile_visitors],0)</f>
        <v>0</v>
      </c>
    </row>
    <row r="681" spans="1:9">
      <c r="A681" s="1">
        <v>43415</v>
      </c>
      <c r="B681">
        <v>9835</v>
      </c>
      <c r="C681">
        <v>15279</v>
      </c>
      <c r="D681">
        <v>10139</v>
      </c>
      <c r="E681">
        <v>6147</v>
      </c>
      <c r="F681">
        <v>72</v>
      </c>
      <c r="G681" t="s">
        <v>9</v>
      </c>
      <c r="H681" t="str" cm="1">
        <f t="array" ref="H681">_xlfn.IFS(Grammys[[#This Row],[date]] &gt;= DATE(2022,2,1),"Grammys",TRUE,"Grammys TRA")</f>
        <v>Grammys TRA</v>
      </c>
      <c r="I681">
        <f>_xlfn.XLOOKUP(Grammys[[#This Row],[date]],mobile_visits[date],mobile_visits[mobile_visitors],0)</f>
        <v>0</v>
      </c>
    </row>
    <row r="682" spans="1:9">
      <c r="A682" s="1">
        <v>43416</v>
      </c>
      <c r="B682">
        <v>10946</v>
      </c>
      <c r="C682">
        <v>16954</v>
      </c>
      <c r="D682">
        <v>11292</v>
      </c>
      <c r="E682">
        <v>6760</v>
      </c>
      <c r="F682">
        <v>72</v>
      </c>
      <c r="G682" t="s">
        <v>9</v>
      </c>
      <c r="H682" t="str" cm="1">
        <f t="array" ref="H682">_xlfn.IFS(Grammys[[#This Row],[date]] &gt;= DATE(2022,2,1),"Grammys",TRUE,"Grammys TRA")</f>
        <v>Grammys TRA</v>
      </c>
      <c r="I682">
        <f>_xlfn.XLOOKUP(Grammys[[#This Row],[date]],mobile_visits[date],mobile_visits[mobile_visitors],0)</f>
        <v>0</v>
      </c>
    </row>
    <row r="683" spans="1:9">
      <c r="A683" s="1">
        <v>43417</v>
      </c>
      <c r="B683">
        <v>11421</v>
      </c>
      <c r="C683">
        <v>17693</v>
      </c>
      <c r="D683">
        <v>11809</v>
      </c>
      <c r="E683">
        <v>6993</v>
      </c>
      <c r="F683">
        <v>73</v>
      </c>
      <c r="G683" t="s">
        <v>9</v>
      </c>
      <c r="H683" t="str" cm="1">
        <f t="array" ref="H683">_xlfn.IFS(Grammys[[#This Row],[date]] &gt;= DATE(2022,2,1),"Grammys",TRUE,"Grammys TRA")</f>
        <v>Grammys TRA</v>
      </c>
      <c r="I683">
        <f>_xlfn.XLOOKUP(Grammys[[#This Row],[date]],mobile_visits[date],mobile_visits[mobile_visitors],0)</f>
        <v>0</v>
      </c>
    </row>
    <row r="684" spans="1:9">
      <c r="A684" s="1">
        <v>43418</v>
      </c>
      <c r="B684">
        <v>13338</v>
      </c>
      <c r="C684">
        <v>20119</v>
      </c>
      <c r="D684">
        <v>13845</v>
      </c>
      <c r="E684">
        <v>8021</v>
      </c>
      <c r="F684">
        <v>72</v>
      </c>
      <c r="G684" t="s">
        <v>9</v>
      </c>
      <c r="H684" t="str" cm="1">
        <f t="array" ref="H684">_xlfn.IFS(Grammys[[#This Row],[date]] &gt;= DATE(2022,2,1),"Grammys",TRUE,"Grammys TRA")</f>
        <v>Grammys TRA</v>
      </c>
      <c r="I684">
        <f>_xlfn.XLOOKUP(Grammys[[#This Row],[date]],mobile_visits[date],mobile_visits[mobile_visitors],0)</f>
        <v>0</v>
      </c>
    </row>
    <row r="685" spans="1:9">
      <c r="A685" s="1">
        <v>43419</v>
      </c>
      <c r="B685">
        <v>23750</v>
      </c>
      <c r="C685">
        <v>34995</v>
      </c>
      <c r="D685">
        <v>24659</v>
      </c>
      <c r="E685">
        <v>13094</v>
      </c>
      <c r="F685">
        <v>70</v>
      </c>
      <c r="G685" t="s">
        <v>9</v>
      </c>
      <c r="H685" t="str" cm="1">
        <f t="array" ref="H685">_xlfn.IFS(Grammys[[#This Row],[date]] &gt;= DATE(2022,2,1),"Grammys",TRUE,"Grammys TRA")</f>
        <v>Grammys TRA</v>
      </c>
      <c r="I685">
        <f>_xlfn.XLOOKUP(Grammys[[#This Row],[date]],mobile_visits[date],mobile_visits[mobile_visitors],0)</f>
        <v>0</v>
      </c>
    </row>
    <row r="686" spans="1:9">
      <c r="A686" s="1">
        <v>43420</v>
      </c>
      <c r="B686">
        <v>19538</v>
      </c>
      <c r="C686">
        <v>29465</v>
      </c>
      <c r="D686">
        <v>20116</v>
      </c>
      <c r="E686">
        <v>10815</v>
      </c>
      <c r="F686">
        <v>69</v>
      </c>
      <c r="G686" t="s">
        <v>9</v>
      </c>
      <c r="H686" t="str" cm="1">
        <f t="array" ref="H686">_xlfn.IFS(Grammys[[#This Row],[date]] &gt;= DATE(2022,2,1),"Grammys",TRUE,"Grammys TRA")</f>
        <v>Grammys TRA</v>
      </c>
      <c r="I686">
        <f>_xlfn.XLOOKUP(Grammys[[#This Row],[date]],mobile_visits[date],mobile_visits[mobile_visitors],0)</f>
        <v>0</v>
      </c>
    </row>
    <row r="687" spans="1:9">
      <c r="A687" s="1">
        <v>43421</v>
      </c>
      <c r="B687">
        <v>12206</v>
      </c>
      <c r="C687">
        <v>18615</v>
      </c>
      <c r="D687">
        <v>12648</v>
      </c>
      <c r="E687">
        <v>7416</v>
      </c>
      <c r="F687">
        <v>68</v>
      </c>
      <c r="G687" t="s">
        <v>9</v>
      </c>
      <c r="H687" t="str" cm="1">
        <f t="array" ref="H687">_xlfn.IFS(Grammys[[#This Row],[date]] &gt;= DATE(2022,2,1),"Grammys",TRUE,"Grammys TRA")</f>
        <v>Grammys TRA</v>
      </c>
      <c r="I687">
        <f>_xlfn.XLOOKUP(Grammys[[#This Row],[date]],mobile_visits[date],mobile_visits[mobile_visitors],0)</f>
        <v>0</v>
      </c>
    </row>
    <row r="688" spans="1:9">
      <c r="A688" s="1">
        <v>43422</v>
      </c>
      <c r="B688">
        <v>11053</v>
      </c>
      <c r="C688">
        <v>16901</v>
      </c>
      <c r="D688">
        <v>11547</v>
      </c>
      <c r="E688">
        <v>6794</v>
      </c>
      <c r="F688">
        <v>70</v>
      </c>
      <c r="G688" t="s">
        <v>9</v>
      </c>
      <c r="H688" t="str" cm="1">
        <f t="array" ref="H688">_xlfn.IFS(Grammys[[#This Row],[date]] &gt;= DATE(2022,2,1),"Grammys",TRUE,"Grammys TRA")</f>
        <v>Grammys TRA</v>
      </c>
      <c r="I688">
        <f>_xlfn.XLOOKUP(Grammys[[#This Row],[date]],mobile_visits[date],mobile_visits[mobile_visitors],0)</f>
        <v>0</v>
      </c>
    </row>
    <row r="689" spans="1:9">
      <c r="A689" s="1">
        <v>43423</v>
      </c>
      <c r="B689">
        <v>10408</v>
      </c>
      <c r="C689">
        <v>16562</v>
      </c>
      <c r="D689">
        <v>10820</v>
      </c>
      <c r="E689">
        <v>6560</v>
      </c>
      <c r="F689">
        <v>75</v>
      </c>
      <c r="G689" t="s">
        <v>9</v>
      </c>
      <c r="H689" t="str" cm="1">
        <f t="array" ref="H689">_xlfn.IFS(Grammys[[#This Row],[date]] &gt;= DATE(2022,2,1),"Grammys",TRUE,"Grammys TRA")</f>
        <v>Grammys TRA</v>
      </c>
      <c r="I689">
        <f>_xlfn.XLOOKUP(Grammys[[#This Row],[date]],mobile_visits[date],mobile_visits[mobile_visitors],0)</f>
        <v>0</v>
      </c>
    </row>
    <row r="690" spans="1:9">
      <c r="A690" s="1">
        <v>43424</v>
      </c>
      <c r="B690">
        <v>12144</v>
      </c>
      <c r="C690">
        <v>18093</v>
      </c>
      <c r="D690">
        <v>12486</v>
      </c>
      <c r="E690">
        <v>7302</v>
      </c>
      <c r="F690">
        <v>66</v>
      </c>
      <c r="G690" t="s">
        <v>9</v>
      </c>
      <c r="H690" t="str" cm="1">
        <f t="array" ref="H690">_xlfn.IFS(Grammys[[#This Row],[date]] &gt;= DATE(2022,2,1),"Grammys",TRUE,"Grammys TRA")</f>
        <v>Grammys TRA</v>
      </c>
      <c r="I690">
        <f>_xlfn.XLOOKUP(Grammys[[#This Row],[date]],mobile_visits[date],mobile_visits[mobile_visitors],0)</f>
        <v>0</v>
      </c>
    </row>
    <row r="691" spans="1:9">
      <c r="A691" s="1">
        <v>43425</v>
      </c>
      <c r="B691">
        <v>9468</v>
      </c>
      <c r="C691">
        <v>14668</v>
      </c>
      <c r="D691">
        <v>9828</v>
      </c>
      <c r="E691">
        <v>5818</v>
      </c>
      <c r="F691">
        <v>73</v>
      </c>
      <c r="G691" t="s">
        <v>9</v>
      </c>
      <c r="H691" t="str" cm="1">
        <f t="array" ref="H691">_xlfn.IFS(Grammys[[#This Row],[date]] &gt;= DATE(2022,2,1),"Grammys",TRUE,"Grammys TRA")</f>
        <v>Grammys TRA</v>
      </c>
      <c r="I691">
        <f>_xlfn.XLOOKUP(Grammys[[#This Row],[date]],mobile_visits[date],mobile_visits[mobile_visitors],0)</f>
        <v>0</v>
      </c>
    </row>
    <row r="692" spans="1:9">
      <c r="A692" s="1">
        <v>43426</v>
      </c>
      <c r="B692">
        <v>8124</v>
      </c>
      <c r="C692">
        <v>12263</v>
      </c>
      <c r="D692">
        <v>8309</v>
      </c>
      <c r="E692">
        <v>5063</v>
      </c>
      <c r="F692">
        <v>70</v>
      </c>
      <c r="G692" t="s">
        <v>9</v>
      </c>
      <c r="H692" t="str" cm="1">
        <f t="array" ref="H692">_xlfn.IFS(Grammys[[#This Row],[date]] &gt;= DATE(2022,2,1),"Grammys",TRUE,"Grammys TRA")</f>
        <v>Grammys TRA</v>
      </c>
      <c r="I692">
        <f>_xlfn.XLOOKUP(Grammys[[#This Row],[date]],mobile_visits[date],mobile_visits[mobile_visitors],0)</f>
        <v>0</v>
      </c>
    </row>
    <row r="693" spans="1:9">
      <c r="A693" s="1">
        <v>43427</v>
      </c>
      <c r="B693">
        <v>7855</v>
      </c>
      <c r="C693">
        <v>12233</v>
      </c>
      <c r="D693">
        <v>8093</v>
      </c>
      <c r="E693">
        <v>4772</v>
      </c>
      <c r="F693">
        <v>74</v>
      </c>
      <c r="G693" t="s">
        <v>9</v>
      </c>
      <c r="H693" t="str" cm="1">
        <f t="array" ref="H693">_xlfn.IFS(Grammys[[#This Row],[date]] &gt;= DATE(2022,2,1),"Grammys",TRUE,"Grammys TRA")</f>
        <v>Grammys TRA</v>
      </c>
      <c r="I693">
        <f>_xlfn.XLOOKUP(Grammys[[#This Row],[date]],mobile_visits[date],mobile_visits[mobile_visitors],0)</f>
        <v>0</v>
      </c>
    </row>
    <row r="694" spans="1:9">
      <c r="A694" s="1">
        <v>43428</v>
      </c>
      <c r="B694">
        <v>8017</v>
      </c>
      <c r="C694">
        <v>12899</v>
      </c>
      <c r="D694">
        <v>8262</v>
      </c>
      <c r="E694">
        <v>4725</v>
      </c>
      <c r="F694">
        <v>79</v>
      </c>
      <c r="G694" t="s">
        <v>9</v>
      </c>
      <c r="H694" t="str" cm="1">
        <f t="array" ref="H694">_xlfn.IFS(Grammys[[#This Row],[date]] &gt;= DATE(2022,2,1),"Grammys",TRUE,"Grammys TRA")</f>
        <v>Grammys TRA</v>
      </c>
      <c r="I694">
        <f>_xlfn.XLOOKUP(Grammys[[#This Row],[date]],mobile_visits[date],mobile_visits[mobile_visitors],0)</f>
        <v>0</v>
      </c>
    </row>
    <row r="695" spans="1:9">
      <c r="A695" s="1">
        <v>43429</v>
      </c>
      <c r="B695">
        <v>9007</v>
      </c>
      <c r="C695">
        <v>14057</v>
      </c>
      <c r="D695">
        <v>9384</v>
      </c>
      <c r="E695">
        <v>5397</v>
      </c>
      <c r="F695">
        <v>79</v>
      </c>
      <c r="G695" t="s">
        <v>9</v>
      </c>
      <c r="H695" t="str" cm="1">
        <f t="array" ref="H695">_xlfn.IFS(Grammys[[#This Row],[date]] &gt;= DATE(2022,2,1),"Grammys",TRUE,"Grammys TRA")</f>
        <v>Grammys TRA</v>
      </c>
      <c r="I695">
        <f>_xlfn.XLOOKUP(Grammys[[#This Row],[date]],mobile_visits[date],mobile_visits[mobile_visitors],0)</f>
        <v>0</v>
      </c>
    </row>
    <row r="696" spans="1:9">
      <c r="A696" s="1">
        <v>43430</v>
      </c>
      <c r="B696">
        <v>11403</v>
      </c>
      <c r="C696">
        <v>17785</v>
      </c>
      <c r="D696">
        <v>11801</v>
      </c>
      <c r="E696">
        <v>6688</v>
      </c>
      <c r="F696">
        <v>82</v>
      </c>
      <c r="G696" t="s">
        <v>9</v>
      </c>
      <c r="H696" t="str" cm="1">
        <f t="array" ref="H696">_xlfn.IFS(Grammys[[#This Row],[date]] &gt;= DATE(2022,2,1),"Grammys",TRUE,"Grammys TRA")</f>
        <v>Grammys TRA</v>
      </c>
      <c r="I696">
        <f>_xlfn.XLOOKUP(Grammys[[#This Row],[date]],mobile_visits[date],mobile_visits[mobile_visitors],0)</f>
        <v>0</v>
      </c>
    </row>
    <row r="697" spans="1:9">
      <c r="A697" s="1">
        <v>43431</v>
      </c>
      <c r="B697">
        <v>10513</v>
      </c>
      <c r="C697">
        <v>17045</v>
      </c>
      <c r="D697">
        <v>11050</v>
      </c>
      <c r="E697">
        <v>6312</v>
      </c>
      <c r="F697">
        <v>84</v>
      </c>
      <c r="G697" t="s">
        <v>9</v>
      </c>
      <c r="H697" t="str" cm="1">
        <f t="array" ref="H697">_xlfn.IFS(Grammys[[#This Row],[date]] &gt;= DATE(2022,2,1),"Grammys",TRUE,"Grammys TRA")</f>
        <v>Grammys TRA</v>
      </c>
      <c r="I697">
        <f>_xlfn.XLOOKUP(Grammys[[#This Row],[date]],mobile_visits[date],mobile_visits[mobile_visitors],0)</f>
        <v>0</v>
      </c>
    </row>
    <row r="698" spans="1:9">
      <c r="A698" s="1">
        <v>43432</v>
      </c>
      <c r="B698">
        <v>11261</v>
      </c>
      <c r="C698">
        <v>18229</v>
      </c>
      <c r="D698">
        <v>11658</v>
      </c>
      <c r="E698">
        <v>6705</v>
      </c>
      <c r="F698">
        <v>85</v>
      </c>
      <c r="G698" t="s">
        <v>9</v>
      </c>
      <c r="H698" t="str" cm="1">
        <f t="array" ref="H698">_xlfn.IFS(Grammys[[#This Row],[date]] &gt;= DATE(2022,2,1),"Grammys",TRUE,"Grammys TRA")</f>
        <v>Grammys TRA</v>
      </c>
      <c r="I698">
        <f>_xlfn.XLOOKUP(Grammys[[#This Row],[date]],mobile_visits[date],mobile_visits[mobile_visitors],0)</f>
        <v>0</v>
      </c>
    </row>
    <row r="699" spans="1:9">
      <c r="A699" s="1">
        <v>43433</v>
      </c>
      <c r="B699">
        <v>14385</v>
      </c>
      <c r="C699">
        <v>22312</v>
      </c>
      <c r="D699">
        <v>15066</v>
      </c>
      <c r="E699">
        <v>8439</v>
      </c>
      <c r="F699">
        <v>72</v>
      </c>
      <c r="G699" t="s">
        <v>9</v>
      </c>
      <c r="H699" t="str" cm="1">
        <f t="array" ref="H699">_xlfn.IFS(Grammys[[#This Row],[date]] &gt;= DATE(2022,2,1),"Grammys",TRUE,"Grammys TRA")</f>
        <v>Grammys TRA</v>
      </c>
      <c r="I699">
        <f>_xlfn.XLOOKUP(Grammys[[#This Row],[date]],mobile_visits[date],mobile_visits[mobile_visitors],0)</f>
        <v>0</v>
      </c>
    </row>
    <row r="700" spans="1:9">
      <c r="A700" s="1">
        <v>43434</v>
      </c>
      <c r="B700">
        <v>17001</v>
      </c>
      <c r="C700">
        <v>24996</v>
      </c>
      <c r="D700">
        <v>17661</v>
      </c>
      <c r="E700">
        <v>9601</v>
      </c>
      <c r="F700">
        <v>68</v>
      </c>
      <c r="G700" t="s">
        <v>9</v>
      </c>
      <c r="H700" t="str" cm="1">
        <f t="array" ref="H700">_xlfn.IFS(Grammys[[#This Row],[date]] &gt;= DATE(2022,2,1),"Grammys",TRUE,"Grammys TRA")</f>
        <v>Grammys TRA</v>
      </c>
      <c r="I700">
        <f>_xlfn.XLOOKUP(Grammys[[#This Row],[date]],mobile_visits[date],mobile_visits[mobile_visitors],0)</f>
        <v>0</v>
      </c>
    </row>
    <row r="701" spans="1:9">
      <c r="A701" s="1">
        <v>43435</v>
      </c>
      <c r="B701">
        <v>12955</v>
      </c>
      <c r="C701">
        <v>19490</v>
      </c>
      <c r="D701">
        <v>13588</v>
      </c>
      <c r="E701">
        <v>8368</v>
      </c>
      <c r="F701">
        <v>65</v>
      </c>
      <c r="G701" t="s">
        <v>9</v>
      </c>
      <c r="H701" t="str" cm="1">
        <f t="array" ref="H701">_xlfn.IFS(Grammys[[#This Row],[date]] &gt;= DATE(2022,2,1),"Grammys",TRUE,"Grammys TRA")</f>
        <v>Grammys TRA</v>
      </c>
      <c r="I701">
        <f>_xlfn.XLOOKUP(Grammys[[#This Row],[date]],mobile_visits[date],mobile_visits[mobile_visitors],0)</f>
        <v>0</v>
      </c>
    </row>
    <row r="702" spans="1:9">
      <c r="A702" s="1">
        <v>43436</v>
      </c>
      <c r="B702">
        <v>16595</v>
      </c>
      <c r="C702">
        <v>24702</v>
      </c>
      <c r="D702">
        <v>17368</v>
      </c>
      <c r="E702">
        <v>10140</v>
      </c>
      <c r="F702">
        <v>67</v>
      </c>
      <c r="G702" t="s">
        <v>9</v>
      </c>
      <c r="H702" t="str" cm="1">
        <f t="array" ref="H702">_xlfn.IFS(Grammys[[#This Row],[date]] &gt;= DATE(2022,2,1),"Grammys",TRUE,"Grammys TRA")</f>
        <v>Grammys TRA</v>
      </c>
      <c r="I702">
        <f>_xlfn.XLOOKUP(Grammys[[#This Row],[date]],mobile_visits[date],mobile_visits[mobile_visitors],0)</f>
        <v>0</v>
      </c>
    </row>
    <row r="703" spans="1:9">
      <c r="A703" s="1">
        <v>43437</v>
      </c>
      <c r="B703">
        <v>16837</v>
      </c>
      <c r="C703">
        <v>27294</v>
      </c>
      <c r="D703">
        <v>17774</v>
      </c>
      <c r="E703">
        <v>10473</v>
      </c>
      <c r="F703">
        <v>80</v>
      </c>
      <c r="G703" t="s">
        <v>9</v>
      </c>
      <c r="H703" t="str" cm="1">
        <f t="array" ref="H703">_xlfn.IFS(Grammys[[#This Row],[date]] &gt;= DATE(2022,2,1),"Grammys",TRUE,"Grammys TRA")</f>
        <v>Grammys TRA</v>
      </c>
      <c r="I703">
        <f>_xlfn.XLOOKUP(Grammys[[#This Row],[date]],mobile_visits[date],mobile_visits[mobile_visitors],0)</f>
        <v>0</v>
      </c>
    </row>
    <row r="704" spans="1:9">
      <c r="A704" s="1">
        <v>43438</v>
      </c>
      <c r="B704">
        <v>16334</v>
      </c>
      <c r="C704">
        <v>27024</v>
      </c>
      <c r="D704">
        <v>17194</v>
      </c>
      <c r="E704">
        <v>10394</v>
      </c>
      <c r="F704">
        <v>76</v>
      </c>
      <c r="G704" t="s">
        <v>9</v>
      </c>
      <c r="H704" t="str" cm="1">
        <f t="array" ref="H704">_xlfn.IFS(Grammys[[#This Row],[date]] &gt;= DATE(2022,2,1),"Grammys",TRUE,"Grammys TRA")</f>
        <v>Grammys TRA</v>
      </c>
      <c r="I704">
        <f>_xlfn.XLOOKUP(Grammys[[#This Row],[date]],mobile_visits[date],mobile_visits[mobile_visitors],0)</f>
        <v>0</v>
      </c>
    </row>
    <row r="705" spans="1:9">
      <c r="A705" s="1">
        <v>43439</v>
      </c>
      <c r="B705">
        <v>19303</v>
      </c>
      <c r="C705">
        <v>33537</v>
      </c>
      <c r="D705">
        <v>20831</v>
      </c>
      <c r="E705">
        <v>12474</v>
      </c>
      <c r="F705">
        <v>76</v>
      </c>
      <c r="G705" t="s">
        <v>9</v>
      </c>
      <c r="H705" t="str" cm="1">
        <f t="array" ref="H705">_xlfn.IFS(Grammys[[#This Row],[date]] &gt;= DATE(2022,2,1),"Grammys",TRUE,"Grammys TRA")</f>
        <v>Grammys TRA</v>
      </c>
      <c r="I705">
        <f>_xlfn.XLOOKUP(Grammys[[#This Row],[date]],mobile_visits[date],mobile_visits[mobile_visitors],0)</f>
        <v>0</v>
      </c>
    </row>
    <row r="706" spans="1:9">
      <c r="A706" s="1">
        <v>43440</v>
      </c>
      <c r="B706">
        <v>35466</v>
      </c>
      <c r="C706">
        <v>62256</v>
      </c>
      <c r="D706">
        <v>38093</v>
      </c>
      <c r="E706">
        <v>20544</v>
      </c>
      <c r="F706">
        <v>70</v>
      </c>
      <c r="G706" t="s">
        <v>9</v>
      </c>
      <c r="H706" t="str" cm="1">
        <f t="array" ref="H706">_xlfn.IFS(Grammys[[#This Row],[date]] &gt;= DATE(2022,2,1),"Grammys",TRUE,"Grammys TRA")</f>
        <v>Grammys TRA</v>
      </c>
      <c r="I706">
        <f>_xlfn.XLOOKUP(Grammys[[#This Row],[date]],mobile_visits[date],mobile_visits[mobile_visitors],0)</f>
        <v>0</v>
      </c>
    </row>
    <row r="707" spans="1:9">
      <c r="A707" s="1">
        <v>43441</v>
      </c>
      <c r="B707">
        <v>818792</v>
      </c>
      <c r="C707">
        <v>1572079</v>
      </c>
      <c r="D707">
        <v>940177</v>
      </c>
      <c r="E707">
        <v>363567</v>
      </c>
      <c r="F707">
        <v>113</v>
      </c>
      <c r="G707" t="s">
        <v>10</v>
      </c>
      <c r="H707" t="str" cm="1">
        <f t="array" ref="H707">_xlfn.IFS(Grammys[[#This Row],[date]] &gt;= DATE(2022,2,1),"Grammys",TRUE,"Grammys TRA")</f>
        <v>Grammys TRA</v>
      </c>
      <c r="I707">
        <f>_xlfn.XLOOKUP(Grammys[[#This Row],[date]],mobile_visits[date],mobile_visits[mobile_visitors],0)</f>
        <v>0</v>
      </c>
    </row>
    <row r="708" spans="1:9">
      <c r="A708" s="1">
        <v>43442</v>
      </c>
      <c r="B708">
        <v>236576</v>
      </c>
      <c r="C708">
        <v>440312</v>
      </c>
      <c r="D708">
        <v>262488</v>
      </c>
      <c r="E708">
        <v>140825</v>
      </c>
      <c r="F708">
        <v>87</v>
      </c>
      <c r="G708" t="s">
        <v>9</v>
      </c>
      <c r="H708" t="str" cm="1">
        <f t="array" ref="H708">_xlfn.IFS(Grammys[[#This Row],[date]] &gt;= DATE(2022,2,1),"Grammys",TRUE,"Grammys TRA")</f>
        <v>Grammys TRA</v>
      </c>
      <c r="I708">
        <f>_xlfn.XLOOKUP(Grammys[[#This Row],[date]],mobile_visits[date],mobile_visits[mobile_visitors],0)</f>
        <v>0</v>
      </c>
    </row>
    <row r="709" spans="1:9">
      <c r="A709" s="1">
        <v>43443</v>
      </c>
      <c r="B709">
        <v>112219</v>
      </c>
      <c r="C709">
        <v>214665</v>
      </c>
      <c r="D709">
        <v>123438</v>
      </c>
      <c r="E709">
        <v>65423</v>
      </c>
      <c r="F709">
        <v>91</v>
      </c>
      <c r="G709" t="s">
        <v>9</v>
      </c>
      <c r="H709" t="str" cm="1">
        <f t="array" ref="H709">_xlfn.IFS(Grammys[[#This Row],[date]] &gt;= DATE(2022,2,1),"Grammys",TRUE,"Grammys TRA")</f>
        <v>Grammys TRA</v>
      </c>
      <c r="I709">
        <f>_xlfn.XLOOKUP(Grammys[[#This Row],[date]],mobile_visits[date],mobile_visits[mobile_visitors],0)</f>
        <v>0</v>
      </c>
    </row>
    <row r="710" spans="1:9">
      <c r="A710" s="1">
        <v>43444</v>
      </c>
      <c r="B710">
        <v>91037</v>
      </c>
      <c r="C710">
        <v>166528</v>
      </c>
      <c r="D710">
        <v>99749</v>
      </c>
      <c r="E710">
        <v>52887</v>
      </c>
      <c r="F710">
        <v>96</v>
      </c>
      <c r="G710" t="s">
        <v>9</v>
      </c>
      <c r="H710" t="str" cm="1">
        <f t="array" ref="H710">_xlfn.IFS(Grammys[[#This Row],[date]] &gt;= DATE(2022,2,1),"Grammys",TRUE,"Grammys TRA")</f>
        <v>Grammys TRA</v>
      </c>
      <c r="I710">
        <f>_xlfn.XLOOKUP(Grammys[[#This Row],[date]],mobile_visits[date],mobile_visits[mobile_visitors],0)</f>
        <v>0</v>
      </c>
    </row>
    <row r="711" spans="1:9">
      <c r="A711" s="1">
        <v>43445</v>
      </c>
      <c r="B711">
        <v>66312</v>
      </c>
      <c r="C711">
        <v>117292</v>
      </c>
      <c r="D711">
        <v>71977</v>
      </c>
      <c r="E711">
        <v>38213</v>
      </c>
      <c r="F711">
        <v>100</v>
      </c>
      <c r="G711" t="s">
        <v>9</v>
      </c>
      <c r="H711" t="str" cm="1">
        <f t="array" ref="H711">_xlfn.IFS(Grammys[[#This Row],[date]] &gt;= DATE(2022,2,1),"Grammys",TRUE,"Grammys TRA")</f>
        <v>Grammys TRA</v>
      </c>
      <c r="I711">
        <f>_xlfn.XLOOKUP(Grammys[[#This Row],[date]],mobile_visits[date],mobile_visits[mobile_visitors],0)</f>
        <v>0</v>
      </c>
    </row>
    <row r="712" spans="1:9">
      <c r="A712" s="1">
        <v>43446</v>
      </c>
      <c r="B712">
        <v>53198</v>
      </c>
      <c r="C712">
        <v>95091</v>
      </c>
      <c r="D712">
        <v>58518</v>
      </c>
      <c r="E712">
        <v>27399</v>
      </c>
      <c r="F712">
        <v>109</v>
      </c>
      <c r="G712" t="s">
        <v>9</v>
      </c>
      <c r="H712" t="str" cm="1">
        <f t="array" ref="H712">_xlfn.IFS(Grammys[[#This Row],[date]] &gt;= DATE(2022,2,1),"Grammys",TRUE,"Grammys TRA")</f>
        <v>Grammys TRA</v>
      </c>
      <c r="I712">
        <f>_xlfn.XLOOKUP(Grammys[[#This Row],[date]],mobile_visits[date],mobile_visits[mobile_visitors],0)</f>
        <v>0</v>
      </c>
    </row>
    <row r="713" spans="1:9">
      <c r="A713" s="1">
        <v>43447</v>
      </c>
      <c r="B713">
        <v>44162</v>
      </c>
      <c r="C713">
        <v>80658</v>
      </c>
      <c r="D713">
        <v>48118</v>
      </c>
      <c r="E713">
        <v>19065</v>
      </c>
      <c r="F713">
        <v>123</v>
      </c>
      <c r="G713" t="s">
        <v>9</v>
      </c>
      <c r="H713" t="str" cm="1">
        <f t="array" ref="H713">_xlfn.IFS(Grammys[[#This Row],[date]] &gt;= DATE(2022,2,1),"Grammys",TRUE,"Grammys TRA")</f>
        <v>Grammys TRA</v>
      </c>
      <c r="I713">
        <f>_xlfn.XLOOKUP(Grammys[[#This Row],[date]],mobile_visits[date],mobile_visits[mobile_visitors],0)</f>
        <v>0</v>
      </c>
    </row>
    <row r="714" spans="1:9">
      <c r="A714" s="1">
        <v>43448</v>
      </c>
      <c r="B714">
        <v>34731</v>
      </c>
      <c r="C714">
        <v>62964</v>
      </c>
      <c r="D714">
        <v>37956</v>
      </c>
      <c r="E714">
        <v>15718</v>
      </c>
      <c r="F714">
        <v>116</v>
      </c>
      <c r="G714" t="s">
        <v>9</v>
      </c>
      <c r="H714" t="str" cm="1">
        <f t="array" ref="H714">_xlfn.IFS(Grammys[[#This Row],[date]] &gt;= DATE(2022,2,1),"Grammys",TRUE,"Grammys TRA")</f>
        <v>Grammys TRA</v>
      </c>
      <c r="I714">
        <f>_xlfn.XLOOKUP(Grammys[[#This Row],[date]],mobile_visits[date],mobile_visits[mobile_visitors],0)</f>
        <v>0</v>
      </c>
    </row>
    <row r="715" spans="1:9">
      <c r="A715" s="1">
        <v>43449</v>
      </c>
      <c r="B715">
        <v>28664</v>
      </c>
      <c r="C715">
        <v>50486</v>
      </c>
      <c r="D715">
        <v>31083</v>
      </c>
      <c r="E715">
        <v>12987</v>
      </c>
      <c r="F715">
        <v>115</v>
      </c>
      <c r="G715" t="s">
        <v>9</v>
      </c>
      <c r="H715" t="str" cm="1">
        <f t="array" ref="H715">_xlfn.IFS(Grammys[[#This Row],[date]] &gt;= DATE(2022,2,1),"Grammys",TRUE,"Grammys TRA")</f>
        <v>Grammys TRA</v>
      </c>
      <c r="I715">
        <f>_xlfn.XLOOKUP(Grammys[[#This Row],[date]],mobile_visits[date],mobile_visits[mobile_visitors],0)</f>
        <v>0</v>
      </c>
    </row>
    <row r="716" spans="1:9">
      <c r="A716" s="1">
        <v>43450</v>
      </c>
      <c r="B716">
        <v>28095</v>
      </c>
      <c r="C716">
        <v>49743</v>
      </c>
      <c r="D716">
        <v>30334</v>
      </c>
      <c r="E716">
        <v>12695</v>
      </c>
      <c r="F716">
        <v>114</v>
      </c>
      <c r="G716" t="s">
        <v>9</v>
      </c>
      <c r="H716" t="str" cm="1">
        <f t="array" ref="H716">_xlfn.IFS(Grammys[[#This Row],[date]] &gt;= DATE(2022,2,1),"Grammys",TRUE,"Grammys TRA")</f>
        <v>Grammys TRA</v>
      </c>
      <c r="I716">
        <f>_xlfn.XLOOKUP(Grammys[[#This Row],[date]],mobile_visits[date],mobile_visits[mobile_visitors],0)</f>
        <v>0</v>
      </c>
    </row>
    <row r="717" spans="1:9">
      <c r="A717" s="1">
        <v>43451</v>
      </c>
      <c r="B717">
        <v>27811</v>
      </c>
      <c r="C717">
        <v>49407</v>
      </c>
      <c r="D717">
        <v>29959</v>
      </c>
      <c r="E717">
        <v>12511</v>
      </c>
      <c r="F717">
        <v>116</v>
      </c>
      <c r="G717" t="s">
        <v>9</v>
      </c>
      <c r="H717" t="str" cm="1">
        <f t="array" ref="H717">_xlfn.IFS(Grammys[[#This Row],[date]] &gt;= DATE(2022,2,1),"Grammys",TRUE,"Grammys TRA")</f>
        <v>Grammys TRA</v>
      </c>
      <c r="I717">
        <f>_xlfn.XLOOKUP(Grammys[[#This Row],[date]],mobile_visits[date],mobile_visits[mobile_visitors],0)</f>
        <v>0</v>
      </c>
    </row>
    <row r="718" spans="1:9">
      <c r="A718" s="1">
        <v>43452</v>
      </c>
      <c r="B718">
        <v>29905</v>
      </c>
      <c r="C718">
        <v>50588</v>
      </c>
      <c r="D718">
        <v>31823</v>
      </c>
      <c r="E718">
        <v>12494</v>
      </c>
      <c r="F718">
        <v>123</v>
      </c>
      <c r="G718" t="s">
        <v>9</v>
      </c>
      <c r="H718" t="str" cm="1">
        <f t="array" ref="H718">_xlfn.IFS(Grammys[[#This Row],[date]] &gt;= DATE(2022,2,1),"Grammys",TRUE,"Grammys TRA")</f>
        <v>Grammys TRA</v>
      </c>
      <c r="I718">
        <f>_xlfn.XLOOKUP(Grammys[[#This Row],[date]],mobile_visits[date],mobile_visits[mobile_visitors],0)</f>
        <v>0</v>
      </c>
    </row>
    <row r="719" spans="1:9">
      <c r="A719" s="1">
        <v>43453</v>
      </c>
      <c r="B719">
        <v>32623</v>
      </c>
      <c r="C719">
        <v>55388</v>
      </c>
      <c r="D719">
        <v>34998</v>
      </c>
      <c r="E719">
        <v>12803</v>
      </c>
      <c r="F719">
        <v>127</v>
      </c>
      <c r="G719" t="s">
        <v>9</v>
      </c>
      <c r="H719" t="str" cm="1">
        <f t="array" ref="H719">_xlfn.IFS(Grammys[[#This Row],[date]] &gt;= DATE(2022,2,1),"Grammys",TRUE,"Grammys TRA")</f>
        <v>Grammys TRA</v>
      </c>
      <c r="I719">
        <f>_xlfn.XLOOKUP(Grammys[[#This Row],[date]],mobile_visits[date],mobile_visits[mobile_visitors],0)</f>
        <v>0</v>
      </c>
    </row>
    <row r="720" spans="1:9">
      <c r="A720" s="1">
        <v>43454</v>
      </c>
      <c r="B720">
        <v>25702</v>
      </c>
      <c r="C720">
        <v>44186</v>
      </c>
      <c r="D720">
        <v>27304</v>
      </c>
      <c r="E720">
        <v>10827</v>
      </c>
      <c r="F720">
        <v>107</v>
      </c>
      <c r="G720" t="s">
        <v>9</v>
      </c>
      <c r="H720" t="str" cm="1">
        <f t="array" ref="H720">_xlfn.IFS(Grammys[[#This Row],[date]] &gt;= DATE(2022,2,1),"Grammys",TRUE,"Grammys TRA")</f>
        <v>Grammys TRA</v>
      </c>
      <c r="I720">
        <f>_xlfn.XLOOKUP(Grammys[[#This Row],[date]],mobile_visits[date],mobile_visits[mobile_visitors],0)</f>
        <v>0</v>
      </c>
    </row>
    <row r="721" spans="1:9">
      <c r="A721" s="1">
        <v>43455</v>
      </c>
      <c r="B721">
        <v>25186</v>
      </c>
      <c r="C721">
        <v>44597</v>
      </c>
      <c r="D721">
        <v>26204</v>
      </c>
      <c r="E721">
        <v>10807</v>
      </c>
      <c r="F721">
        <v>103</v>
      </c>
      <c r="G721" t="s">
        <v>9</v>
      </c>
      <c r="H721" t="str" cm="1">
        <f t="array" ref="H721">_xlfn.IFS(Grammys[[#This Row],[date]] &gt;= DATE(2022,2,1),"Grammys",TRUE,"Grammys TRA")</f>
        <v>Grammys TRA</v>
      </c>
      <c r="I721">
        <f>_xlfn.XLOOKUP(Grammys[[#This Row],[date]],mobile_visits[date],mobile_visits[mobile_visitors],0)</f>
        <v>0</v>
      </c>
    </row>
    <row r="722" spans="1:9">
      <c r="A722" s="1">
        <v>43456</v>
      </c>
      <c r="B722">
        <v>21301</v>
      </c>
      <c r="C722">
        <v>38493</v>
      </c>
      <c r="D722">
        <v>22834</v>
      </c>
      <c r="E722">
        <v>9751</v>
      </c>
      <c r="F722">
        <v>105</v>
      </c>
      <c r="G722" t="s">
        <v>9</v>
      </c>
      <c r="H722" t="str" cm="1">
        <f t="array" ref="H722">_xlfn.IFS(Grammys[[#This Row],[date]] &gt;= DATE(2022,2,1),"Grammys",TRUE,"Grammys TRA")</f>
        <v>Grammys TRA</v>
      </c>
      <c r="I722">
        <f>_xlfn.XLOOKUP(Grammys[[#This Row],[date]],mobile_visits[date],mobile_visits[mobile_visitors],0)</f>
        <v>0</v>
      </c>
    </row>
    <row r="723" spans="1:9">
      <c r="A723" s="1">
        <v>43457</v>
      </c>
      <c r="B723">
        <v>22409</v>
      </c>
      <c r="C723">
        <v>39980</v>
      </c>
      <c r="D723">
        <v>24140</v>
      </c>
      <c r="E723">
        <v>10726</v>
      </c>
      <c r="F723">
        <v>98</v>
      </c>
      <c r="G723" t="s">
        <v>9</v>
      </c>
      <c r="H723" t="str" cm="1">
        <f t="array" ref="H723">_xlfn.IFS(Grammys[[#This Row],[date]] &gt;= DATE(2022,2,1),"Grammys",TRUE,"Grammys TRA")</f>
        <v>Grammys TRA</v>
      </c>
      <c r="I723">
        <f>_xlfn.XLOOKUP(Grammys[[#This Row],[date]],mobile_visits[date],mobile_visits[mobile_visitors],0)</f>
        <v>0</v>
      </c>
    </row>
    <row r="724" spans="1:9">
      <c r="A724" s="1">
        <v>43458</v>
      </c>
      <c r="B724">
        <v>18133</v>
      </c>
      <c r="C724">
        <v>31711</v>
      </c>
      <c r="D724">
        <v>19176</v>
      </c>
      <c r="E724">
        <v>8492</v>
      </c>
      <c r="F724">
        <v>99</v>
      </c>
      <c r="G724" t="s">
        <v>9</v>
      </c>
      <c r="H724" t="str" cm="1">
        <f t="array" ref="H724">_xlfn.IFS(Grammys[[#This Row],[date]] &gt;= DATE(2022,2,1),"Grammys",TRUE,"Grammys TRA")</f>
        <v>Grammys TRA</v>
      </c>
      <c r="I724">
        <f>_xlfn.XLOOKUP(Grammys[[#This Row],[date]],mobile_visits[date],mobile_visits[mobile_visitors],0)</f>
        <v>0</v>
      </c>
    </row>
    <row r="725" spans="1:9">
      <c r="A725" s="1">
        <v>43459</v>
      </c>
      <c r="B725">
        <v>17230</v>
      </c>
      <c r="C725">
        <v>30036</v>
      </c>
      <c r="D725">
        <v>18289</v>
      </c>
      <c r="E725">
        <v>7795</v>
      </c>
      <c r="F725">
        <v>107</v>
      </c>
      <c r="G725" t="s">
        <v>9</v>
      </c>
      <c r="H725" t="str" cm="1">
        <f t="array" ref="H725">_xlfn.IFS(Grammys[[#This Row],[date]] &gt;= DATE(2022,2,1),"Grammys",TRUE,"Grammys TRA")</f>
        <v>Grammys TRA</v>
      </c>
      <c r="I725">
        <f>_xlfn.XLOOKUP(Grammys[[#This Row],[date]],mobile_visits[date],mobile_visits[mobile_visitors],0)</f>
        <v>0</v>
      </c>
    </row>
    <row r="726" spans="1:9">
      <c r="A726" s="1">
        <v>43460</v>
      </c>
      <c r="B726">
        <v>24720</v>
      </c>
      <c r="C726">
        <v>40634</v>
      </c>
      <c r="D726">
        <v>26178</v>
      </c>
      <c r="E726">
        <v>9652</v>
      </c>
      <c r="F726">
        <v>109</v>
      </c>
      <c r="G726" t="s">
        <v>9</v>
      </c>
      <c r="H726" t="str" cm="1">
        <f t="array" ref="H726">_xlfn.IFS(Grammys[[#This Row],[date]] &gt;= DATE(2022,2,1),"Grammys",TRUE,"Grammys TRA")</f>
        <v>Grammys TRA</v>
      </c>
      <c r="I726">
        <f>_xlfn.XLOOKUP(Grammys[[#This Row],[date]],mobile_visits[date],mobile_visits[mobile_visitors],0)</f>
        <v>0</v>
      </c>
    </row>
    <row r="727" spans="1:9">
      <c r="A727" s="1">
        <v>43461</v>
      </c>
      <c r="B727">
        <v>26447</v>
      </c>
      <c r="C727">
        <v>44501</v>
      </c>
      <c r="D727">
        <v>28228</v>
      </c>
      <c r="E727">
        <v>10611</v>
      </c>
      <c r="F727">
        <v>104</v>
      </c>
      <c r="G727" t="s">
        <v>9</v>
      </c>
      <c r="H727" t="str" cm="1">
        <f t="array" ref="H727">_xlfn.IFS(Grammys[[#This Row],[date]] &gt;= DATE(2022,2,1),"Grammys",TRUE,"Grammys TRA")</f>
        <v>Grammys TRA</v>
      </c>
      <c r="I727">
        <f>_xlfn.XLOOKUP(Grammys[[#This Row],[date]],mobile_visits[date],mobile_visits[mobile_visitors],0)</f>
        <v>0</v>
      </c>
    </row>
    <row r="728" spans="1:9">
      <c r="A728" s="1">
        <v>43462</v>
      </c>
      <c r="B728">
        <v>21935</v>
      </c>
      <c r="C728">
        <v>39348</v>
      </c>
      <c r="D728">
        <v>23355</v>
      </c>
      <c r="E728">
        <v>9410</v>
      </c>
      <c r="F728">
        <v>111</v>
      </c>
      <c r="G728" t="s">
        <v>9</v>
      </c>
      <c r="H728" t="str" cm="1">
        <f t="array" ref="H728">_xlfn.IFS(Grammys[[#This Row],[date]] &gt;= DATE(2022,2,1),"Grammys",TRUE,"Grammys TRA")</f>
        <v>Grammys TRA</v>
      </c>
      <c r="I728">
        <f>_xlfn.XLOOKUP(Grammys[[#This Row],[date]],mobile_visits[date],mobile_visits[mobile_visitors],0)</f>
        <v>0</v>
      </c>
    </row>
    <row r="729" spans="1:9">
      <c r="A729" s="1">
        <v>43463</v>
      </c>
      <c r="B729">
        <v>22570</v>
      </c>
      <c r="C729">
        <v>40028</v>
      </c>
      <c r="D729">
        <v>24247</v>
      </c>
      <c r="E729">
        <v>9277</v>
      </c>
      <c r="F729">
        <v>110</v>
      </c>
      <c r="G729" t="s">
        <v>9</v>
      </c>
      <c r="H729" t="str" cm="1">
        <f t="array" ref="H729">_xlfn.IFS(Grammys[[#This Row],[date]] &gt;= DATE(2022,2,1),"Grammys",TRUE,"Grammys TRA")</f>
        <v>Grammys TRA</v>
      </c>
      <c r="I729">
        <f>_xlfn.XLOOKUP(Grammys[[#This Row],[date]],mobile_visits[date],mobile_visits[mobile_visitors],0)</f>
        <v>0</v>
      </c>
    </row>
    <row r="730" spans="1:9">
      <c r="A730" s="1">
        <v>43464</v>
      </c>
      <c r="B730">
        <v>22830</v>
      </c>
      <c r="C730">
        <v>40143</v>
      </c>
      <c r="D730">
        <v>24225</v>
      </c>
      <c r="E730">
        <v>9741</v>
      </c>
      <c r="F730">
        <v>107</v>
      </c>
      <c r="G730" t="s">
        <v>9</v>
      </c>
      <c r="H730" t="str" cm="1">
        <f t="array" ref="H730">_xlfn.IFS(Grammys[[#This Row],[date]] &gt;= DATE(2022,2,1),"Grammys",TRUE,"Grammys TRA")</f>
        <v>Grammys TRA</v>
      </c>
      <c r="I730">
        <f>_xlfn.XLOOKUP(Grammys[[#This Row],[date]],mobile_visits[date],mobile_visits[mobile_visitors],0)</f>
        <v>0</v>
      </c>
    </row>
    <row r="731" spans="1:9">
      <c r="A731" s="1">
        <v>43465</v>
      </c>
      <c r="B731">
        <v>31358</v>
      </c>
      <c r="C731">
        <v>49465</v>
      </c>
      <c r="D731">
        <v>33002</v>
      </c>
      <c r="E731">
        <v>11766</v>
      </c>
      <c r="F731">
        <v>87</v>
      </c>
      <c r="G731" t="s">
        <v>9</v>
      </c>
      <c r="H731" t="str" cm="1">
        <f t="array" ref="H731">_xlfn.IFS(Grammys[[#This Row],[date]] &gt;= DATE(2022,2,1),"Grammys",TRUE,"Grammys TRA")</f>
        <v>Grammys TRA</v>
      </c>
      <c r="I731">
        <f>_xlfn.XLOOKUP(Grammys[[#This Row],[date]],mobile_visits[date],mobile_visits[mobile_visitors],0)</f>
        <v>0</v>
      </c>
    </row>
    <row r="732" spans="1:9">
      <c r="A732" s="1">
        <v>43466</v>
      </c>
      <c r="B732">
        <v>21417</v>
      </c>
      <c r="C732">
        <v>38124</v>
      </c>
      <c r="D732">
        <v>22787</v>
      </c>
      <c r="E732">
        <v>9724</v>
      </c>
      <c r="F732">
        <v>108</v>
      </c>
      <c r="G732" t="s">
        <v>9</v>
      </c>
      <c r="H732" t="str" cm="1">
        <f t="array" ref="H732">_xlfn.IFS(Grammys[[#This Row],[date]] &gt;= DATE(2022,2,1),"Grammys",TRUE,"Grammys TRA")</f>
        <v>Grammys TRA</v>
      </c>
      <c r="I732">
        <f>_xlfn.XLOOKUP(Grammys[[#This Row],[date]],mobile_visits[date],mobile_visits[mobile_visitors],0)</f>
        <v>0</v>
      </c>
    </row>
    <row r="733" spans="1:9">
      <c r="A733" s="1">
        <v>43467</v>
      </c>
      <c r="B733">
        <v>24533</v>
      </c>
      <c r="C733">
        <v>44342</v>
      </c>
      <c r="D733">
        <v>26414</v>
      </c>
      <c r="E733">
        <v>10402</v>
      </c>
      <c r="F733">
        <v>114</v>
      </c>
      <c r="G733" t="s">
        <v>9</v>
      </c>
      <c r="H733" t="str" cm="1">
        <f t="array" ref="H733">_xlfn.IFS(Grammys[[#This Row],[date]] &gt;= DATE(2022,2,1),"Grammys",TRUE,"Grammys TRA")</f>
        <v>Grammys TRA</v>
      </c>
      <c r="I733">
        <f>_xlfn.XLOOKUP(Grammys[[#This Row],[date]],mobile_visits[date],mobile_visits[mobile_visitors],0)</f>
        <v>0</v>
      </c>
    </row>
    <row r="734" spans="1:9">
      <c r="A734" s="1">
        <v>43468</v>
      </c>
      <c r="B734">
        <v>24163</v>
      </c>
      <c r="C734">
        <v>44051</v>
      </c>
      <c r="D734">
        <v>26006</v>
      </c>
      <c r="E734">
        <v>10426</v>
      </c>
      <c r="F734">
        <v>111</v>
      </c>
      <c r="G734" t="s">
        <v>9</v>
      </c>
      <c r="H734" t="str" cm="1">
        <f t="array" ref="H734">_xlfn.IFS(Grammys[[#This Row],[date]] &gt;= DATE(2022,2,1),"Grammys",TRUE,"Grammys TRA")</f>
        <v>Grammys TRA</v>
      </c>
      <c r="I734">
        <f>_xlfn.XLOOKUP(Grammys[[#This Row],[date]],mobile_visits[date],mobile_visits[mobile_visitors],0)</f>
        <v>0</v>
      </c>
    </row>
    <row r="735" spans="1:9">
      <c r="A735" s="1">
        <v>43469</v>
      </c>
      <c r="B735">
        <v>25232</v>
      </c>
      <c r="C735">
        <v>46178</v>
      </c>
      <c r="D735">
        <v>27086</v>
      </c>
      <c r="E735">
        <v>11060</v>
      </c>
      <c r="F735">
        <v>116</v>
      </c>
      <c r="G735" t="s">
        <v>9</v>
      </c>
      <c r="H735" t="str" cm="1">
        <f t="array" ref="H735">_xlfn.IFS(Grammys[[#This Row],[date]] &gt;= DATE(2022,2,1),"Grammys",TRUE,"Grammys TRA")</f>
        <v>Grammys TRA</v>
      </c>
      <c r="I735">
        <f>_xlfn.XLOOKUP(Grammys[[#This Row],[date]],mobile_visits[date],mobile_visits[mobile_visitors],0)</f>
        <v>0</v>
      </c>
    </row>
    <row r="736" spans="1:9">
      <c r="A736" s="1">
        <v>43470</v>
      </c>
      <c r="B736">
        <v>20213</v>
      </c>
      <c r="C736">
        <v>37101</v>
      </c>
      <c r="D736">
        <v>21798</v>
      </c>
      <c r="E736">
        <v>9472</v>
      </c>
      <c r="F736">
        <v>110</v>
      </c>
      <c r="G736" t="s">
        <v>9</v>
      </c>
      <c r="H736" t="str" cm="1">
        <f t="array" ref="H736">_xlfn.IFS(Grammys[[#This Row],[date]] &gt;= DATE(2022,2,1),"Grammys",TRUE,"Grammys TRA")</f>
        <v>Grammys TRA</v>
      </c>
      <c r="I736">
        <f>_xlfn.XLOOKUP(Grammys[[#This Row],[date]],mobile_visits[date],mobile_visits[mobile_visitors],0)</f>
        <v>0</v>
      </c>
    </row>
    <row r="737" spans="1:9">
      <c r="A737" s="1">
        <v>43471</v>
      </c>
      <c r="B737">
        <v>31493</v>
      </c>
      <c r="C737">
        <v>63585</v>
      </c>
      <c r="D737">
        <v>33980</v>
      </c>
      <c r="E737">
        <v>13453</v>
      </c>
      <c r="F737">
        <v>115</v>
      </c>
      <c r="G737" t="s">
        <v>9</v>
      </c>
      <c r="H737" t="str" cm="1">
        <f t="array" ref="H737">_xlfn.IFS(Grammys[[#This Row],[date]] &gt;= DATE(2022,2,1),"Grammys",TRUE,"Grammys TRA")</f>
        <v>Grammys TRA</v>
      </c>
      <c r="I737">
        <f>_xlfn.XLOOKUP(Grammys[[#This Row],[date]],mobile_visits[date],mobile_visits[mobile_visitors],0)</f>
        <v>0</v>
      </c>
    </row>
    <row r="738" spans="1:9">
      <c r="A738" s="1">
        <v>43472</v>
      </c>
      <c r="B738">
        <v>29682</v>
      </c>
      <c r="C738">
        <v>55397</v>
      </c>
      <c r="D738">
        <v>31450</v>
      </c>
      <c r="E738">
        <v>13857</v>
      </c>
      <c r="F738">
        <v>105</v>
      </c>
      <c r="G738" t="s">
        <v>9</v>
      </c>
      <c r="H738" t="str" cm="1">
        <f t="array" ref="H738">_xlfn.IFS(Grammys[[#This Row],[date]] &gt;= DATE(2022,2,1),"Grammys",TRUE,"Grammys TRA")</f>
        <v>Grammys TRA</v>
      </c>
      <c r="I738">
        <f>_xlfn.XLOOKUP(Grammys[[#This Row],[date]],mobile_visits[date],mobile_visits[mobile_visitors],0)</f>
        <v>0</v>
      </c>
    </row>
    <row r="739" spans="1:9">
      <c r="A739" s="1">
        <v>43473</v>
      </c>
      <c r="B739">
        <v>26337</v>
      </c>
      <c r="C739">
        <v>46816</v>
      </c>
      <c r="D739">
        <v>27975</v>
      </c>
      <c r="E739">
        <v>11895</v>
      </c>
      <c r="F739">
        <v>111</v>
      </c>
      <c r="G739" t="s">
        <v>9</v>
      </c>
      <c r="H739" t="str" cm="1">
        <f t="array" ref="H739">_xlfn.IFS(Grammys[[#This Row],[date]] &gt;= DATE(2022,2,1),"Grammys",TRUE,"Grammys TRA")</f>
        <v>Grammys TRA</v>
      </c>
      <c r="I739">
        <f>_xlfn.XLOOKUP(Grammys[[#This Row],[date]],mobile_visits[date],mobile_visits[mobile_visitors],0)</f>
        <v>0</v>
      </c>
    </row>
    <row r="740" spans="1:9">
      <c r="A740" s="1">
        <v>43474</v>
      </c>
      <c r="B740">
        <v>31050</v>
      </c>
      <c r="C740">
        <v>55619</v>
      </c>
      <c r="D740">
        <v>33313</v>
      </c>
      <c r="E740">
        <v>12763</v>
      </c>
      <c r="F740">
        <v>111</v>
      </c>
      <c r="G740" t="s">
        <v>9</v>
      </c>
      <c r="H740" t="str" cm="1">
        <f t="array" ref="H740">_xlfn.IFS(Grammys[[#This Row],[date]] &gt;= DATE(2022,2,1),"Grammys",TRUE,"Grammys TRA")</f>
        <v>Grammys TRA</v>
      </c>
      <c r="I740">
        <f>_xlfn.XLOOKUP(Grammys[[#This Row],[date]],mobile_visits[date],mobile_visits[mobile_visitors],0)</f>
        <v>0</v>
      </c>
    </row>
    <row r="741" spans="1:9">
      <c r="A741" s="1">
        <v>43475</v>
      </c>
      <c r="B741">
        <v>34999</v>
      </c>
      <c r="C741">
        <v>56375</v>
      </c>
      <c r="D741">
        <v>37426</v>
      </c>
      <c r="E741">
        <v>13665</v>
      </c>
      <c r="F741">
        <v>95</v>
      </c>
      <c r="G741" t="s">
        <v>9</v>
      </c>
      <c r="H741" t="str" cm="1">
        <f t="array" ref="H741">_xlfn.IFS(Grammys[[#This Row],[date]] &gt;= DATE(2022,2,1),"Grammys",TRUE,"Grammys TRA")</f>
        <v>Grammys TRA</v>
      </c>
      <c r="I741">
        <f>_xlfn.XLOOKUP(Grammys[[#This Row],[date]],mobile_visits[date],mobile_visits[mobile_visitors],0)</f>
        <v>0</v>
      </c>
    </row>
    <row r="742" spans="1:9">
      <c r="A742" s="1">
        <v>43476</v>
      </c>
      <c r="B742">
        <v>31253</v>
      </c>
      <c r="C742">
        <v>50135</v>
      </c>
      <c r="D742">
        <v>33438</v>
      </c>
      <c r="E742">
        <v>12814</v>
      </c>
      <c r="F742">
        <v>96</v>
      </c>
      <c r="G742" t="s">
        <v>9</v>
      </c>
      <c r="H742" t="str" cm="1">
        <f t="array" ref="H742">_xlfn.IFS(Grammys[[#This Row],[date]] &gt;= DATE(2022,2,1),"Grammys",TRUE,"Grammys TRA")</f>
        <v>Grammys TRA</v>
      </c>
      <c r="I742">
        <f>_xlfn.XLOOKUP(Grammys[[#This Row],[date]],mobile_visits[date],mobile_visits[mobile_visitors],0)</f>
        <v>0</v>
      </c>
    </row>
    <row r="743" spans="1:9">
      <c r="A743" s="1">
        <v>43477</v>
      </c>
      <c r="B743">
        <v>26998</v>
      </c>
      <c r="C743">
        <v>43730</v>
      </c>
      <c r="D743">
        <v>28595</v>
      </c>
      <c r="E743">
        <v>11218</v>
      </c>
      <c r="F743">
        <v>100</v>
      </c>
      <c r="G743" t="s">
        <v>9</v>
      </c>
      <c r="H743" t="str" cm="1">
        <f t="array" ref="H743">_xlfn.IFS(Grammys[[#This Row],[date]] &gt;= DATE(2022,2,1),"Grammys",TRUE,"Grammys TRA")</f>
        <v>Grammys TRA</v>
      </c>
      <c r="I743">
        <f>_xlfn.XLOOKUP(Grammys[[#This Row],[date]],mobile_visits[date],mobile_visits[mobile_visitors],0)</f>
        <v>0</v>
      </c>
    </row>
    <row r="744" spans="1:9">
      <c r="A744" s="1">
        <v>43478</v>
      </c>
      <c r="B744">
        <v>34839</v>
      </c>
      <c r="C744">
        <v>55601</v>
      </c>
      <c r="D744">
        <v>37569</v>
      </c>
      <c r="E744">
        <v>14006</v>
      </c>
      <c r="F744">
        <v>111</v>
      </c>
      <c r="G744" t="s">
        <v>9</v>
      </c>
      <c r="H744" t="str" cm="1">
        <f t="array" ref="H744">_xlfn.IFS(Grammys[[#This Row],[date]] &gt;= DATE(2022,2,1),"Grammys",TRUE,"Grammys TRA")</f>
        <v>Grammys TRA</v>
      </c>
      <c r="I744">
        <f>_xlfn.XLOOKUP(Grammys[[#This Row],[date]],mobile_visits[date],mobile_visits[mobile_visitors],0)</f>
        <v>0</v>
      </c>
    </row>
    <row r="745" spans="1:9">
      <c r="A745" s="1">
        <v>43479</v>
      </c>
      <c r="B745">
        <v>26990</v>
      </c>
      <c r="C745">
        <v>44739</v>
      </c>
      <c r="D745">
        <v>29045</v>
      </c>
      <c r="E745">
        <v>11822</v>
      </c>
      <c r="F745">
        <v>107</v>
      </c>
      <c r="G745" t="s">
        <v>9</v>
      </c>
      <c r="H745" t="str" cm="1">
        <f t="array" ref="H745">_xlfn.IFS(Grammys[[#This Row],[date]] &gt;= DATE(2022,2,1),"Grammys",TRUE,"Grammys TRA")</f>
        <v>Grammys TRA</v>
      </c>
      <c r="I745">
        <f>_xlfn.XLOOKUP(Grammys[[#This Row],[date]],mobile_visits[date],mobile_visits[mobile_visitors],0)</f>
        <v>0</v>
      </c>
    </row>
    <row r="746" spans="1:9">
      <c r="A746" s="1">
        <v>43480</v>
      </c>
      <c r="B746">
        <v>29177</v>
      </c>
      <c r="C746">
        <v>50994</v>
      </c>
      <c r="D746">
        <v>31692</v>
      </c>
      <c r="E746">
        <v>13010</v>
      </c>
      <c r="F746">
        <v>121</v>
      </c>
      <c r="G746" t="s">
        <v>9</v>
      </c>
      <c r="H746" t="str" cm="1">
        <f t="array" ref="H746">_xlfn.IFS(Grammys[[#This Row],[date]] &gt;= DATE(2022,2,1),"Grammys",TRUE,"Grammys TRA")</f>
        <v>Grammys TRA</v>
      </c>
      <c r="I746">
        <f>_xlfn.XLOOKUP(Grammys[[#This Row],[date]],mobile_visits[date],mobile_visits[mobile_visitors],0)</f>
        <v>0</v>
      </c>
    </row>
    <row r="747" spans="1:9">
      <c r="A747" s="1">
        <v>43481</v>
      </c>
      <c r="B747">
        <v>31616</v>
      </c>
      <c r="C747">
        <v>53170</v>
      </c>
      <c r="D747">
        <v>34107</v>
      </c>
      <c r="E747">
        <v>13817</v>
      </c>
      <c r="F747">
        <v>116</v>
      </c>
      <c r="G747" t="s">
        <v>9</v>
      </c>
      <c r="H747" t="str" cm="1">
        <f t="array" ref="H747">_xlfn.IFS(Grammys[[#This Row],[date]] &gt;= DATE(2022,2,1),"Grammys",TRUE,"Grammys TRA")</f>
        <v>Grammys TRA</v>
      </c>
      <c r="I747">
        <f>_xlfn.XLOOKUP(Grammys[[#This Row],[date]],mobile_visits[date],mobile_visits[mobile_visitors],0)</f>
        <v>0</v>
      </c>
    </row>
    <row r="748" spans="1:9">
      <c r="A748" s="1">
        <v>43482</v>
      </c>
      <c r="B748">
        <v>58691</v>
      </c>
      <c r="C748">
        <v>88536</v>
      </c>
      <c r="D748">
        <v>62756</v>
      </c>
      <c r="E748">
        <v>20785</v>
      </c>
      <c r="F748">
        <v>83</v>
      </c>
      <c r="G748" t="s">
        <v>9</v>
      </c>
      <c r="H748" t="str" cm="1">
        <f t="array" ref="H748">_xlfn.IFS(Grammys[[#This Row],[date]] &gt;= DATE(2022,2,1),"Grammys",TRUE,"Grammys TRA")</f>
        <v>Grammys TRA</v>
      </c>
      <c r="I748">
        <f>_xlfn.XLOOKUP(Grammys[[#This Row],[date]],mobile_visits[date],mobile_visits[mobile_visitors],0)</f>
        <v>0</v>
      </c>
    </row>
    <row r="749" spans="1:9">
      <c r="A749" s="1">
        <v>43483</v>
      </c>
      <c r="B749">
        <v>34227</v>
      </c>
      <c r="C749">
        <v>54681</v>
      </c>
      <c r="D749">
        <v>36723</v>
      </c>
      <c r="E749">
        <v>14943</v>
      </c>
      <c r="F749">
        <v>94</v>
      </c>
      <c r="G749" t="s">
        <v>9</v>
      </c>
      <c r="H749" t="str" cm="1">
        <f t="array" ref="H749">_xlfn.IFS(Grammys[[#This Row],[date]] &gt;= DATE(2022,2,1),"Grammys",TRUE,"Grammys TRA")</f>
        <v>Grammys TRA</v>
      </c>
      <c r="I749">
        <f>_xlfn.XLOOKUP(Grammys[[#This Row],[date]],mobile_visits[date],mobile_visits[mobile_visitors],0)</f>
        <v>0</v>
      </c>
    </row>
    <row r="750" spans="1:9">
      <c r="A750" s="1">
        <v>43484</v>
      </c>
      <c r="B750">
        <v>26904</v>
      </c>
      <c r="C750">
        <v>44504</v>
      </c>
      <c r="D750">
        <v>28843</v>
      </c>
      <c r="E750">
        <v>12299</v>
      </c>
      <c r="F750">
        <v>102</v>
      </c>
      <c r="G750" t="s">
        <v>9</v>
      </c>
      <c r="H750" t="str" cm="1">
        <f t="array" ref="H750">_xlfn.IFS(Grammys[[#This Row],[date]] &gt;= DATE(2022,2,1),"Grammys",TRUE,"Grammys TRA")</f>
        <v>Grammys TRA</v>
      </c>
      <c r="I750">
        <f>_xlfn.XLOOKUP(Grammys[[#This Row],[date]],mobile_visits[date],mobile_visits[mobile_visitors],0)</f>
        <v>0</v>
      </c>
    </row>
    <row r="751" spans="1:9">
      <c r="A751" s="1">
        <v>43485</v>
      </c>
      <c r="B751">
        <v>29118</v>
      </c>
      <c r="C751">
        <v>48212</v>
      </c>
      <c r="D751">
        <v>30951</v>
      </c>
      <c r="E751">
        <v>13288</v>
      </c>
      <c r="F751">
        <v>102</v>
      </c>
      <c r="G751" t="s">
        <v>9</v>
      </c>
      <c r="H751" t="str" cm="1">
        <f t="array" ref="H751">_xlfn.IFS(Grammys[[#This Row],[date]] &gt;= DATE(2022,2,1),"Grammys",TRUE,"Grammys TRA")</f>
        <v>Grammys TRA</v>
      </c>
      <c r="I751">
        <f>_xlfn.XLOOKUP(Grammys[[#This Row],[date]],mobile_visits[date],mobile_visits[mobile_visitors],0)</f>
        <v>0</v>
      </c>
    </row>
    <row r="752" spans="1:9">
      <c r="A752" s="1">
        <v>43486</v>
      </c>
      <c r="B752">
        <v>29985</v>
      </c>
      <c r="C752">
        <v>49574</v>
      </c>
      <c r="D752">
        <v>32036</v>
      </c>
      <c r="E752">
        <v>14055</v>
      </c>
      <c r="F752">
        <v>106</v>
      </c>
      <c r="G752" t="s">
        <v>9</v>
      </c>
      <c r="H752" t="str" cm="1">
        <f t="array" ref="H752">_xlfn.IFS(Grammys[[#This Row],[date]] &gt;= DATE(2022,2,1),"Grammys",TRUE,"Grammys TRA")</f>
        <v>Grammys TRA</v>
      </c>
      <c r="I752">
        <f>_xlfn.XLOOKUP(Grammys[[#This Row],[date]],mobile_visits[date],mobile_visits[mobile_visitors],0)</f>
        <v>0</v>
      </c>
    </row>
    <row r="753" spans="1:9">
      <c r="A753" s="1">
        <v>43487</v>
      </c>
      <c r="B753">
        <v>37440</v>
      </c>
      <c r="C753">
        <v>63960</v>
      </c>
      <c r="D753">
        <v>39698</v>
      </c>
      <c r="E753">
        <v>16221</v>
      </c>
      <c r="F753">
        <v>115</v>
      </c>
      <c r="G753" t="s">
        <v>9</v>
      </c>
      <c r="H753" t="str" cm="1">
        <f t="array" ref="H753">_xlfn.IFS(Grammys[[#This Row],[date]] &gt;= DATE(2022,2,1),"Grammys",TRUE,"Grammys TRA")</f>
        <v>Grammys TRA</v>
      </c>
      <c r="I753">
        <f>_xlfn.XLOOKUP(Grammys[[#This Row],[date]],mobile_visits[date],mobile_visits[mobile_visitors],0)</f>
        <v>0</v>
      </c>
    </row>
    <row r="754" spans="1:9">
      <c r="A754" s="1">
        <v>43488</v>
      </c>
      <c r="B754">
        <v>31014</v>
      </c>
      <c r="C754">
        <v>53285</v>
      </c>
      <c r="D754">
        <v>32866</v>
      </c>
      <c r="E754">
        <v>13962</v>
      </c>
      <c r="F754">
        <v>113</v>
      </c>
      <c r="G754" t="s">
        <v>9</v>
      </c>
      <c r="H754" t="str" cm="1">
        <f t="array" ref="H754">_xlfn.IFS(Grammys[[#This Row],[date]] &gt;= DATE(2022,2,1),"Grammys",TRUE,"Grammys TRA")</f>
        <v>Grammys TRA</v>
      </c>
      <c r="I754">
        <f>_xlfn.XLOOKUP(Grammys[[#This Row],[date]],mobile_visits[date],mobile_visits[mobile_visitors],0)</f>
        <v>0</v>
      </c>
    </row>
    <row r="755" spans="1:9">
      <c r="A755" s="1">
        <v>43489</v>
      </c>
      <c r="B755">
        <v>36353</v>
      </c>
      <c r="C755">
        <v>59189</v>
      </c>
      <c r="D755">
        <v>38524</v>
      </c>
      <c r="E755">
        <v>15587</v>
      </c>
      <c r="F755">
        <v>102</v>
      </c>
      <c r="G755" t="s">
        <v>9</v>
      </c>
      <c r="H755" t="str" cm="1">
        <f t="array" ref="H755">_xlfn.IFS(Grammys[[#This Row],[date]] &gt;= DATE(2022,2,1),"Grammys",TRUE,"Grammys TRA")</f>
        <v>Grammys TRA</v>
      </c>
      <c r="I755">
        <f>_xlfn.XLOOKUP(Grammys[[#This Row],[date]],mobile_visits[date],mobile_visits[mobile_visitors],0)</f>
        <v>0</v>
      </c>
    </row>
    <row r="756" spans="1:9">
      <c r="A756" s="1">
        <v>43490</v>
      </c>
      <c r="B756">
        <v>31596</v>
      </c>
      <c r="C756">
        <v>51309</v>
      </c>
      <c r="D756">
        <v>33667</v>
      </c>
      <c r="E756">
        <v>13727</v>
      </c>
      <c r="F756">
        <v>96</v>
      </c>
      <c r="G756" t="s">
        <v>9</v>
      </c>
      <c r="H756" t="str" cm="1">
        <f t="array" ref="H756">_xlfn.IFS(Grammys[[#This Row],[date]] &gt;= DATE(2022,2,1),"Grammys",TRUE,"Grammys TRA")</f>
        <v>Grammys TRA</v>
      </c>
      <c r="I756">
        <f>_xlfn.XLOOKUP(Grammys[[#This Row],[date]],mobile_visits[date],mobile_visits[mobile_visitors],0)</f>
        <v>0</v>
      </c>
    </row>
    <row r="757" spans="1:9">
      <c r="A757" s="1">
        <v>43491</v>
      </c>
      <c r="B757">
        <v>26408</v>
      </c>
      <c r="C757">
        <v>44203</v>
      </c>
      <c r="D757">
        <v>28040</v>
      </c>
      <c r="E757">
        <v>12041</v>
      </c>
      <c r="F757">
        <v>100</v>
      </c>
      <c r="G757" t="s">
        <v>9</v>
      </c>
      <c r="H757" t="str" cm="1">
        <f t="array" ref="H757">_xlfn.IFS(Grammys[[#This Row],[date]] &gt;= DATE(2022,2,1),"Grammys",TRUE,"Grammys TRA")</f>
        <v>Grammys TRA</v>
      </c>
      <c r="I757">
        <f>_xlfn.XLOOKUP(Grammys[[#This Row],[date]],mobile_visits[date],mobile_visits[mobile_visitors],0)</f>
        <v>0</v>
      </c>
    </row>
    <row r="758" spans="1:9">
      <c r="A758" s="1">
        <v>43492</v>
      </c>
      <c r="B758">
        <v>28425</v>
      </c>
      <c r="C758">
        <v>48697</v>
      </c>
      <c r="D758">
        <v>30381</v>
      </c>
      <c r="E758">
        <v>13547</v>
      </c>
      <c r="F758">
        <v>105</v>
      </c>
      <c r="G758" t="s">
        <v>9</v>
      </c>
      <c r="H758" t="str" cm="1">
        <f t="array" ref="H758">_xlfn.IFS(Grammys[[#This Row],[date]] &gt;= DATE(2022,2,1),"Grammys",TRUE,"Grammys TRA")</f>
        <v>Grammys TRA</v>
      </c>
      <c r="I758">
        <f>_xlfn.XLOOKUP(Grammys[[#This Row],[date]],mobile_visits[date],mobile_visits[mobile_visitors],0)</f>
        <v>0</v>
      </c>
    </row>
    <row r="759" spans="1:9">
      <c r="A759" s="1">
        <v>43493</v>
      </c>
      <c r="B759">
        <v>38114</v>
      </c>
      <c r="C759">
        <v>75119</v>
      </c>
      <c r="D759">
        <v>41251</v>
      </c>
      <c r="E759">
        <v>17392</v>
      </c>
      <c r="F759">
        <v>111</v>
      </c>
      <c r="G759" t="s">
        <v>9</v>
      </c>
      <c r="H759" t="str" cm="1">
        <f t="array" ref="H759">_xlfn.IFS(Grammys[[#This Row],[date]] &gt;= DATE(2022,2,1),"Grammys",TRUE,"Grammys TRA")</f>
        <v>Grammys TRA</v>
      </c>
      <c r="I759">
        <f>_xlfn.XLOOKUP(Grammys[[#This Row],[date]],mobile_visits[date],mobile_visits[mobile_visitors],0)</f>
        <v>0</v>
      </c>
    </row>
    <row r="760" spans="1:9">
      <c r="A760" s="1">
        <v>43494</v>
      </c>
      <c r="B760">
        <v>36275</v>
      </c>
      <c r="C760">
        <v>63300</v>
      </c>
      <c r="D760">
        <v>38824</v>
      </c>
      <c r="E760">
        <v>16815</v>
      </c>
      <c r="F760">
        <v>108</v>
      </c>
      <c r="G760" t="s">
        <v>9</v>
      </c>
      <c r="H760" t="str" cm="1">
        <f t="array" ref="H760">_xlfn.IFS(Grammys[[#This Row],[date]] &gt;= DATE(2022,2,1),"Grammys",TRUE,"Grammys TRA")</f>
        <v>Grammys TRA</v>
      </c>
      <c r="I760">
        <f>_xlfn.XLOOKUP(Grammys[[#This Row],[date]],mobile_visits[date],mobile_visits[mobile_visitors],0)</f>
        <v>0</v>
      </c>
    </row>
    <row r="761" spans="1:9">
      <c r="A761" s="1">
        <v>43495</v>
      </c>
      <c r="B761">
        <v>31155</v>
      </c>
      <c r="C761">
        <v>54759</v>
      </c>
      <c r="D761">
        <v>33422</v>
      </c>
      <c r="E761">
        <v>14496</v>
      </c>
      <c r="F761">
        <v>109</v>
      </c>
      <c r="G761" t="s">
        <v>9</v>
      </c>
      <c r="H761" t="str" cm="1">
        <f t="array" ref="H761">_xlfn.IFS(Grammys[[#This Row],[date]] &gt;= DATE(2022,2,1),"Grammys",TRUE,"Grammys TRA")</f>
        <v>Grammys TRA</v>
      </c>
      <c r="I761">
        <f>_xlfn.XLOOKUP(Grammys[[#This Row],[date]],mobile_visits[date],mobile_visits[mobile_visitors],0)</f>
        <v>0</v>
      </c>
    </row>
    <row r="762" spans="1:9">
      <c r="A762" s="1">
        <v>43496</v>
      </c>
      <c r="B762">
        <v>34887</v>
      </c>
      <c r="C762">
        <v>60166</v>
      </c>
      <c r="D762">
        <v>37220</v>
      </c>
      <c r="E762">
        <v>14862</v>
      </c>
      <c r="F762">
        <v>114</v>
      </c>
      <c r="G762" t="s">
        <v>9</v>
      </c>
      <c r="H762" t="str" cm="1">
        <f t="array" ref="H762">_xlfn.IFS(Grammys[[#This Row],[date]] &gt;= DATE(2022,2,1),"Grammys",TRUE,"Grammys TRA")</f>
        <v>Grammys TRA</v>
      </c>
      <c r="I762">
        <f>_xlfn.XLOOKUP(Grammys[[#This Row],[date]],mobile_visits[date],mobile_visits[mobile_visitors],0)</f>
        <v>0</v>
      </c>
    </row>
    <row r="763" spans="1:9">
      <c r="A763" s="1">
        <v>43497</v>
      </c>
      <c r="B763">
        <v>37613</v>
      </c>
      <c r="C763">
        <v>63519</v>
      </c>
      <c r="D763">
        <v>40210</v>
      </c>
      <c r="E763">
        <v>16487</v>
      </c>
      <c r="F763">
        <v>110</v>
      </c>
      <c r="G763" t="s">
        <v>9</v>
      </c>
      <c r="H763" t="str" cm="1">
        <f t="array" ref="H763">_xlfn.IFS(Grammys[[#This Row],[date]] &gt;= DATE(2022,2,1),"Grammys",TRUE,"Grammys TRA")</f>
        <v>Grammys TRA</v>
      </c>
      <c r="I763">
        <f>_xlfn.XLOOKUP(Grammys[[#This Row],[date]],mobile_visits[date],mobile_visits[mobile_visitors],0)</f>
        <v>0</v>
      </c>
    </row>
    <row r="764" spans="1:9">
      <c r="A764" s="1">
        <v>43498</v>
      </c>
      <c r="B764">
        <v>34877</v>
      </c>
      <c r="C764">
        <v>61390</v>
      </c>
      <c r="D764">
        <v>37097</v>
      </c>
      <c r="E764">
        <v>15325</v>
      </c>
      <c r="F764">
        <v>112</v>
      </c>
      <c r="G764" t="s">
        <v>9</v>
      </c>
      <c r="H764" t="str" cm="1">
        <f t="array" ref="H764">_xlfn.IFS(Grammys[[#This Row],[date]] &gt;= DATE(2022,2,1),"Grammys",TRUE,"Grammys TRA")</f>
        <v>Grammys TRA</v>
      </c>
      <c r="I764">
        <f>_xlfn.XLOOKUP(Grammys[[#This Row],[date]],mobile_visits[date],mobile_visits[mobile_visitors],0)</f>
        <v>0</v>
      </c>
    </row>
    <row r="765" spans="1:9">
      <c r="A765" s="1">
        <v>43499</v>
      </c>
      <c r="B765">
        <v>74796</v>
      </c>
      <c r="C765">
        <v>126660</v>
      </c>
      <c r="D765">
        <v>80575</v>
      </c>
      <c r="E765">
        <v>32287</v>
      </c>
      <c r="F765">
        <v>111</v>
      </c>
      <c r="G765" t="s">
        <v>9</v>
      </c>
      <c r="H765" t="str" cm="1">
        <f t="array" ref="H765">_xlfn.IFS(Grammys[[#This Row],[date]] &gt;= DATE(2022,2,1),"Grammys",TRUE,"Grammys TRA")</f>
        <v>Grammys TRA</v>
      </c>
      <c r="I765">
        <f>_xlfn.XLOOKUP(Grammys[[#This Row],[date]],mobile_visits[date],mobile_visits[mobile_visitors],0)</f>
        <v>0</v>
      </c>
    </row>
    <row r="766" spans="1:9">
      <c r="A766" s="1">
        <v>43500</v>
      </c>
      <c r="B766">
        <v>80591</v>
      </c>
      <c r="C766">
        <v>148003</v>
      </c>
      <c r="D766">
        <v>86157</v>
      </c>
      <c r="E766">
        <v>33800</v>
      </c>
      <c r="F766">
        <v>115</v>
      </c>
      <c r="G766" t="s">
        <v>9</v>
      </c>
      <c r="H766" t="str" cm="1">
        <f t="array" ref="H766">_xlfn.IFS(Grammys[[#This Row],[date]] &gt;= DATE(2022,2,1),"Grammys",TRUE,"Grammys TRA")</f>
        <v>Grammys TRA</v>
      </c>
      <c r="I766">
        <f>_xlfn.XLOOKUP(Grammys[[#This Row],[date]],mobile_visits[date],mobile_visits[mobile_visitors],0)</f>
        <v>0</v>
      </c>
    </row>
    <row r="767" spans="1:9">
      <c r="A767" s="1">
        <v>43501</v>
      </c>
      <c r="B767">
        <v>98345</v>
      </c>
      <c r="C767">
        <v>186102</v>
      </c>
      <c r="D767">
        <v>106565</v>
      </c>
      <c r="E767">
        <v>39057</v>
      </c>
      <c r="F767">
        <v>119</v>
      </c>
      <c r="G767" t="s">
        <v>9</v>
      </c>
      <c r="H767" t="str" cm="1">
        <f t="array" ref="H767">_xlfn.IFS(Grammys[[#This Row],[date]] &gt;= DATE(2022,2,1),"Grammys",TRUE,"Grammys TRA")</f>
        <v>Grammys TRA</v>
      </c>
      <c r="I767">
        <f>_xlfn.XLOOKUP(Grammys[[#This Row],[date]],mobile_visits[date],mobile_visits[mobile_visitors],0)</f>
        <v>0</v>
      </c>
    </row>
    <row r="768" spans="1:9">
      <c r="A768" s="1">
        <v>43502</v>
      </c>
      <c r="B768">
        <v>101785</v>
      </c>
      <c r="C768">
        <v>186301</v>
      </c>
      <c r="D768">
        <v>109714</v>
      </c>
      <c r="E768">
        <v>37676</v>
      </c>
      <c r="F768">
        <v>115</v>
      </c>
      <c r="G768" t="s">
        <v>9</v>
      </c>
      <c r="H768" t="str" cm="1">
        <f t="array" ref="H768">_xlfn.IFS(Grammys[[#This Row],[date]] &gt;= DATE(2022,2,1),"Grammys",TRUE,"Grammys TRA")</f>
        <v>Grammys TRA</v>
      </c>
      <c r="I768">
        <f>_xlfn.XLOOKUP(Grammys[[#This Row],[date]],mobile_visits[date],mobile_visits[mobile_visitors],0)</f>
        <v>0</v>
      </c>
    </row>
    <row r="769" spans="1:9">
      <c r="A769" s="1">
        <v>43503</v>
      </c>
      <c r="B769">
        <v>135879</v>
      </c>
      <c r="C769">
        <v>240734</v>
      </c>
      <c r="D769">
        <v>145643</v>
      </c>
      <c r="E769">
        <v>52024</v>
      </c>
      <c r="F769">
        <v>105</v>
      </c>
      <c r="G769" t="s">
        <v>9</v>
      </c>
      <c r="H769" t="str" cm="1">
        <f t="array" ref="H769">_xlfn.IFS(Grammys[[#This Row],[date]] &gt;= DATE(2022,2,1),"Grammys",TRUE,"Grammys TRA")</f>
        <v>Grammys TRA</v>
      </c>
      <c r="I769">
        <f>_xlfn.XLOOKUP(Grammys[[#This Row],[date]],mobile_visits[date],mobile_visits[mobile_visitors],0)</f>
        <v>0</v>
      </c>
    </row>
    <row r="770" spans="1:9">
      <c r="A770" s="1">
        <v>43504</v>
      </c>
      <c r="B770">
        <v>168197</v>
      </c>
      <c r="C770">
        <v>301769</v>
      </c>
      <c r="D770">
        <v>180904</v>
      </c>
      <c r="E770">
        <v>68979</v>
      </c>
      <c r="F770">
        <v>109</v>
      </c>
      <c r="G770" t="s">
        <v>9</v>
      </c>
      <c r="H770" t="str" cm="1">
        <f t="array" ref="H770">_xlfn.IFS(Grammys[[#This Row],[date]] &gt;= DATE(2022,2,1),"Grammys",TRUE,"Grammys TRA")</f>
        <v>Grammys TRA</v>
      </c>
      <c r="I770">
        <f>_xlfn.XLOOKUP(Grammys[[#This Row],[date]],mobile_visits[date],mobile_visits[mobile_visitors],0)</f>
        <v>0</v>
      </c>
    </row>
    <row r="771" spans="1:9">
      <c r="A771" s="1">
        <v>43505</v>
      </c>
      <c r="B771">
        <v>259145</v>
      </c>
      <c r="C771">
        <v>500178</v>
      </c>
      <c r="D771">
        <v>288669</v>
      </c>
      <c r="E771">
        <v>118470</v>
      </c>
      <c r="F771">
        <v>115</v>
      </c>
      <c r="G771" t="s">
        <v>9</v>
      </c>
      <c r="H771" t="str" cm="1">
        <f t="array" ref="H771">_xlfn.IFS(Grammys[[#This Row],[date]] &gt;= DATE(2022,2,1),"Grammys",TRUE,"Grammys TRA")</f>
        <v>Grammys TRA</v>
      </c>
      <c r="I771">
        <f>_xlfn.XLOOKUP(Grammys[[#This Row],[date]],mobile_visits[date],mobile_visits[mobile_visitors],0)</f>
        <v>0</v>
      </c>
    </row>
    <row r="772" spans="1:9">
      <c r="A772" s="1">
        <v>43506</v>
      </c>
      <c r="B772">
        <v>2990487</v>
      </c>
      <c r="C772">
        <v>13494574</v>
      </c>
      <c r="D772">
        <v>3915507</v>
      </c>
      <c r="E772">
        <v>1017249</v>
      </c>
      <c r="F772">
        <v>283</v>
      </c>
      <c r="G772" t="s">
        <v>10</v>
      </c>
      <c r="H772" t="str" cm="1">
        <f t="array" ref="H772">_xlfn.IFS(Grammys[[#This Row],[date]] &gt;= DATE(2022,2,1),"Grammys",TRUE,"Grammys TRA")</f>
        <v>Grammys TRA</v>
      </c>
      <c r="I772">
        <f>_xlfn.XLOOKUP(Grammys[[#This Row],[date]],mobile_visits[date],mobile_visits[mobile_visitors],0)</f>
        <v>0</v>
      </c>
    </row>
    <row r="773" spans="1:9">
      <c r="A773" s="1">
        <v>43507</v>
      </c>
      <c r="B773">
        <v>1539061</v>
      </c>
      <c r="C773">
        <v>3515775</v>
      </c>
      <c r="D773">
        <v>1690040</v>
      </c>
      <c r="E773">
        <v>591345</v>
      </c>
      <c r="F773">
        <v>133</v>
      </c>
      <c r="G773" t="s">
        <v>9</v>
      </c>
      <c r="H773" t="str" cm="1">
        <f t="array" ref="H773">_xlfn.IFS(Grammys[[#This Row],[date]] &gt;= DATE(2022,2,1),"Grammys",TRUE,"Grammys TRA")</f>
        <v>Grammys TRA</v>
      </c>
      <c r="I773">
        <f>_xlfn.XLOOKUP(Grammys[[#This Row],[date]],mobile_visits[date],mobile_visits[mobile_visitors],0)</f>
        <v>0</v>
      </c>
    </row>
    <row r="774" spans="1:9">
      <c r="A774" s="1">
        <v>43508</v>
      </c>
      <c r="B774">
        <v>457474</v>
      </c>
      <c r="C774">
        <v>1042436</v>
      </c>
      <c r="D774">
        <v>492235</v>
      </c>
      <c r="E774">
        <v>194187</v>
      </c>
      <c r="F774">
        <v>132</v>
      </c>
      <c r="G774" t="s">
        <v>9</v>
      </c>
      <c r="H774" t="str" cm="1">
        <f t="array" ref="H774">_xlfn.IFS(Grammys[[#This Row],[date]] &gt;= DATE(2022,2,1),"Grammys",TRUE,"Grammys TRA")</f>
        <v>Grammys TRA</v>
      </c>
      <c r="I774">
        <f>_xlfn.XLOOKUP(Grammys[[#This Row],[date]],mobile_visits[date],mobile_visits[mobile_visitors],0)</f>
        <v>0</v>
      </c>
    </row>
    <row r="775" spans="1:9">
      <c r="A775" s="1">
        <v>43509</v>
      </c>
      <c r="B775">
        <v>581827</v>
      </c>
      <c r="C775">
        <v>1137085</v>
      </c>
      <c r="D775">
        <v>606438</v>
      </c>
      <c r="E775">
        <v>199640</v>
      </c>
      <c r="F775">
        <v>105</v>
      </c>
      <c r="G775" t="s">
        <v>9</v>
      </c>
      <c r="H775" t="str" cm="1">
        <f t="array" ref="H775">_xlfn.IFS(Grammys[[#This Row],[date]] &gt;= DATE(2022,2,1),"Grammys",TRUE,"Grammys TRA")</f>
        <v>Grammys TRA</v>
      </c>
      <c r="I775">
        <f>_xlfn.XLOOKUP(Grammys[[#This Row],[date]],mobile_visits[date],mobile_visits[mobile_visitors],0)</f>
        <v>0</v>
      </c>
    </row>
    <row r="776" spans="1:9">
      <c r="A776" s="1">
        <v>43510</v>
      </c>
      <c r="B776">
        <v>262693</v>
      </c>
      <c r="C776">
        <v>509914</v>
      </c>
      <c r="D776">
        <v>279235</v>
      </c>
      <c r="E776">
        <v>110270</v>
      </c>
      <c r="F776">
        <v>99</v>
      </c>
      <c r="G776" t="s">
        <v>9</v>
      </c>
      <c r="H776" t="str" cm="1">
        <f t="array" ref="H776">_xlfn.IFS(Grammys[[#This Row],[date]] &gt;= DATE(2022,2,1),"Grammys",TRUE,"Grammys TRA")</f>
        <v>Grammys TRA</v>
      </c>
      <c r="I776">
        <f>_xlfn.XLOOKUP(Grammys[[#This Row],[date]],mobile_visits[date],mobile_visits[mobile_visitors],0)</f>
        <v>0</v>
      </c>
    </row>
    <row r="777" spans="1:9">
      <c r="A777" s="1">
        <v>43511</v>
      </c>
      <c r="B777">
        <v>160188</v>
      </c>
      <c r="C777">
        <v>319546</v>
      </c>
      <c r="D777">
        <v>172766</v>
      </c>
      <c r="E777">
        <v>76035</v>
      </c>
      <c r="F777">
        <v>104</v>
      </c>
      <c r="G777" t="s">
        <v>9</v>
      </c>
      <c r="H777" t="str" cm="1">
        <f t="array" ref="H777">_xlfn.IFS(Grammys[[#This Row],[date]] &gt;= DATE(2022,2,1),"Grammys",TRUE,"Grammys TRA")</f>
        <v>Grammys TRA</v>
      </c>
      <c r="I777">
        <f>_xlfn.XLOOKUP(Grammys[[#This Row],[date]],mobile_visits[date],mobile_visits[mobile_visitors],0)</f>
        <v>0</v>
      </c>
    </row>
    <row r="778" spans="1:9">
      <c r="A778" s="1">
        <v>43512</v>
      </c>
      <c r="B778">
        <v>127694</v>
      </c>
      <c r="C778">
        <v>256767</v>
      </c>
      <c r="D778">
        <v>138135</v>
      </c>
      <c r="E778">
        <v>62810</v>
      </c>
      <c r="F778">
        <v>103</v>
      </c>
      <c r="G778" t="s">
        <v>9</v>
      </c>
      <c r="H778" t="str" cm="1">
        <f t="array" ref="H778">_xlfn.IFS(Grammys[[#This Row],[date]] &gt;= DATE(2022,2,1),"Grammys",TRUE,"Grammys TRA")</f>
        <v>Grammys TRA</v>
      </c>
      <c r="I778">
        <f>_xlfn.XLOOKUP(Grammys[[#This Row],[date]],mobile_visits[date],mobile_visits[mobile_visitors],0)</f>
        <v>0</v>
      </c>
    </row>
    <row r="779" spans="1:9">
      <c r="A779" s="1">
        <v>43513</v>
      </c>
      <c r="B779">
        <v>108026</v>
      </c>
      <c r="C779">
        <v>212415</v>
      </c>
      <c r="D779">
        <v>114833</v>
      </c>
      <c r="E779">
        <v>50791</v>
      </c>
      <c r="F779">
        <v>102</v>
      </c>
      <c r="G779" t="s">
        <v>9</v>
      </c>
      <c r="H779" t="str" cm="1">
        <f t="array" ref="H779">_xlfn.IFS(Grammys[[#This Row],[date]] &gt;= DATE(2022,2,1),"Grammys",TRUE,"Grammys TRA")</f>
        <v>Grammys TRA</v>
      </c>
      <c r="I779">
        <f>_xlfn.XLOOKUP(Grammys[[#This Row],[date]],mobile_visits[date],mobile_visits[mobile_visitors],0)</f>
        <v>0</v>
      </c>
    </row>
    <row r="780" spans="1:9">
      <c r="A780" s="1">
        <v>43514</v>
      </c>
      <c r="B780">
        <v>77774</v>
      </c>
      <c r="C780">
        <v>151607</v>
      </c>
      <c r="D780">
        <v>83121</v>
      </c>
      <c r="E780">
        <v>36931</v>
      </c>
      <c r="F780">
        <v>105</v>
      </c>
      <c r="G780" t="s">
        <v>9</v>
      </c>
      <c r="H780" t="str" cm="1">
        <f t="array" ref="H780">_xlfn.IFS(Grammys[[#This Row],[date]] &gt;= DATE(2022,2,1),"Grammys",TRUE,"Grammys TRA")</f>
        <v>Grammys TRA</v>
      </c>
      <c r="I780">
        <f>_xlfn.XLOOKUP(Grammys[[#This Row],[date]],mobile_visits[date],mobile_visits[mobile_visitors],0)</f>
        <v>0</v>
      </c>
    </row>
    <row r="781" spans="1:9">
      <c r="A781" s="1">
        <v>43515</v>
      </c>
      <c r="B781">
        <v>65533</v>
      </c>
      <c r="C781">
        <v>124452</v>
      </c>
      <c r="D781">
        <v>69865</v>
      </c>
      <c r="E781">
        <v>31971</v>
      </c>
      <c r="F781">
        <v>108</v>
      </c>
      <c r="G781" t="s">
        <v>9</v>
      </c>
      <c r="H781" t="str" cm="1">
        <f t="array" ref="H781">_xlfn.IFS(Grammys[[#This Row],[date]] &gt;= DATE(2022,2,1),"Grammys",TRUE,"Grammys TRA")</f>
        <v>Grammys TRA</v>
      </c>
      <c r="I781">
        <f>_xlfn.XLOOKUP(Grammys[[#This Row],[date]],mobile_visits[date],mobile_visits[mobile_visitors],0)</f>
        <v>0</v>
      </c>
    </row>
    <row r="782" spans="1:9">
      <c r="A782" s="1">
        <v>43516</v>
      </c>
      <c r="B782">
        <v>86186</v>
      </c>
      <c r="C782">
        <v>153757</v>
      </c>
      <c r="D782">
        <v>89759</v>
      </c>
      <c r="E782">
        <v>39171</v>
      </c>
      <c r="F782">
        <v>103</v>
      </c>
      <c r="G782" t="s">
        <v>9</v>
      </c>
      <c r="H782" t="str" cm="1">
        <f t="array" ref="H782">_xlfn.IFS(Grammys[[#This Row],[date]] &gt;= DATE(2022,2,1),"Grammys",TRUE,"Grammys TRA")</f>
        <v>Grammys TRA</v>
      </c>
      <c r="I782">
        <f>_xlfn.XLOOKUP(Grammys[[#This Row],[date]],mobile_visits[date],mobile_visits[mobile_visitors],0)</f>
        <v>0</v>
      </c>
    </row>
    <row r="783" spans="1:9">
      <c r="A783" s="1">
        <v>43517</v>
      </c>
      <c r="B783">
        <v>69340</v>
      </c>
      <c r="C783">
        <v>121003</v>
      </c>
      <c r="D783">
        <v>70986</v>
      </c>
      <c r="E783">
        <v>31802</v>
      </c>
      <c r="F783">
        <v>101</v>
      </c>
      <c r="G783" t="s">
        <v>9</v>
      </c>
      <c r="H783" t="str" cm="1">
        <f t="array" ref="H783">_xlfn.IFS(Grammys[[#This Row],[date]] &gt;= DATE(2022,2,1),"Grammys",TRUE,"Grammys TRA")</f>
        <v>Grammys TRA</v>
      </c>
      <c r="I783">
        <f>_xlfn.XLOOKUP(Grammys[[#This Row],[date]],mobile_visits[date],mobile_visits[mobile_visitors],0)</f>
        <v>0</v>
      </c>
    </row>
    <row r="784" spans="1:9">
      <c r="A784" s="1">
        <v>43518</v>
      </c>
      <c r="B784">
        <v>59623</v>
      </c>
      <c r="C784">
        <v>102010</v>
      </c>
      <c r="D784">
        <v>61742</v>
      </c>
      <c r="E784">
        <v>27754</v>
      </c>
      <c r="F784">
        <v>102</v>
      </c>
      <c r="G784" t="s">
        <v>9</v>
      </c>
      <c r="H784" t="str" cm="1">
        <f t="array" ref="H784">_xlfn.IFS(Grammys[[#This Row],[date]] &gt;= DATE(2022,2,1),"Grammys",TRUE,"Grammys TRA")</f>
        <v>Grammys TRA</v>
      </c>
      <c r="I784">
        <f>_xlfn.XLOOKUP(Grammys[[#This Row],[date]],mobile_visits[date],mobile_visits[mobile_visitors],0)</f>
        <v>0</v>
      </c>
    </row>
    <row r="785" spans="1:9">
      <c r="A785" s="1">
        <v>43519</v>
      </c>
      <c r="B785">
        <v>84807</v>
      </c>
      <c r="C785">
        <v>136496</v>
      </c>
      <c r="D785">
        <v>91101</v>
      </c>
      <c r="E785">
        <v>35767</v>
      </c>
      <c r="F785">
        <v>117</v>
      </c>
      <c r="G785" t="s">
        <v>9</v>
      </c>
      <c r="H785" t="str" cm="1">
        <f t="array" ref="H785">_xlfn.IFS(Grammys[[#This Row],[date]] &gt;= DATE(2022,2,1),"Grammys",TRUE,"Grammys TRA")</f>
        <v>Grammys TRA</v>
      </c>
      <c r="I785">
        <f>_xlfn.XLOOKUP(Grammys[[#This Row],[date]],mobile_visits[date],mobile_visits[mobile_visitors],0)</f>
        <v>0</v>
      </c>
    </row>
    <row r="786" spans="1:9">
      <c r="A786" s="1">
        <v>43520</v>
      </c>
      <c r="B786">
        <v>113431</v>
      </c>
      <c r="C786">
        <v>185158</v>
      </c>
      <c r="D786">
        <v>118584</v>
      </c>
      <c r="E786">
        <v>48063</v>
      </c>
      <c r="F786">
        <v>88</v>
      </c>
      <c r="G786" t="s">
        <v>9</v>
      </c>
      <c r="H786" t="str" cm="1">
        <f t="array" ref="H786">_xlfn.IFS(Grammys[[#This Row],[date]] &gt;= DATE(2022,2,1),"Grammys",TRUE,"Grammys TRA")</f>
        <v>Grammys TRA</v>
      </c>
      <c r="I786">
        <f>_xlfn.XLOOKUP(Grammys[[#This Row],[date]],mobile_visits[date],mobile_visits[mobile_visitors],0)</f>
        <v>0</v>
      </c>
    </row>
    <row r="787" spans="1:9">
      <c r="A787" s="1">
        <v>43521</v>
      </c>
      <c r="B787">
        <v>102842</v>
      </c>
      <c r="C787">
        <v>159223</v>
      </c>
      <c r="D787">
        <v>109512</v>
      </c>
      <c r="E787">
        <v>47912</v>
      </c>
      <c r="F787">
        <v>86</v>
      </c>
      <c r="G787" t="s">
        <v>9</v>
      </c>
      <c r="H787" t="str" cm="1">
        <f t="array" ref="H787">_xlfn.IFS(Grammys[[#This Row],[date]] &gt;= DATE(2022,2,1),"Grammys",TRUE,"Grammys TRA")</f>
        <v>Grammys TRA</v>
      </c>
      <c r="I787">
        <f>_xlfn.XLOOKUP(Grammys[[#This Row],[date]],mobile_visits[date],mobile_visits[mobile_visitors],0)</f>
        <v>0</v>
      </c>
    </row>
    <row r="788" spans="1:9">
      <c r="A788" s="1">
        <v>43522</v>
      </c>
      <c r="B788">
        <v>57188</v>
      </c>
      <c r="C788">
        <v>88008</v>
      </c>
      <c r="D788">
        <v>59718</v>
      </c>
      <c r="E788">
        <v>28044</v>
      </c>
      <c r="F788">
        <v>91</v>
      </c>
      <c r="G788" t="s">
        <v>9</v>
      </c>
      <c r="H788" t="str" cm="1">
        <f t="array" ref="H788">_xlfn.IFS(Grammys[[#This Row],[date]] &gt;= DATE(2022,2,1),"Grammys",TRUE,"Grammys TRA")</f>
        <v>Grammys TRA</v>
      </c>
      <c r="I788">
        <f>_xlfn.XLOOKUP(Grammys[[#This Row],[date]],mobile_visits[date],mobile_visits[mobile_visitors],0)</f>
        <v>0</v>
      </c>
    </row>
    <row r="789" spans="1:9">
      <c r="A789" s="1">
        <v>43523</v>
      </c>
      <c r="B789">
        <v>202980</v>
      </c>
      <c r="C789">
        <v>352906</v>
      </c>
      <c r="D789">
        <v>215909</v>
      </c>
      <c r="E789">
        <v>81722</v>
      </c>
      <c r="F789">
        <v>106</v>
      </c>
      <c r="G789" t="s">
        <v>9</v>
      </c>
      <c r="H789" t="str" cm="1">
        <f t="array" ref="H789">_xlfn.IFS(Grammys[[#This Row],[date]] &gt;= DATE(2022,2,1),"Grammys",TRUE,"Grammys TRA")</f>
        <v>Grammys TRA</v>
      </c>
      <c r="I789">
        <f>_xlfn.XLOOKUP(Grammys[[#This Row],[date]],mobile_visits[date],mobile_visits[mobile_visitors],0)</f>
        <v>0</v>
      </c>
    </row>
    <row r="790" spans="1:9">
      <c r="A790" s="1">
        <v>43524</v>
      </c>
      <c r="B790">
        <v>63723</v>
      </c>
      <c r="C790">
        <v>96865</v>
      </c>
      <c r="D790">
        <v>67385</v>
      </c>
      <c r="E790">
        <v>32709</v>
      </c>
      <c r="F790">
        <v>83</v>
      </c>
      <c r="G790" t="s">
        <v>9</v>
      </c>
      <c r="H790" t="str" cm="1">
        <f t="array" ref="H790">_xlfn.IFS(Grammys[[#This Row],[date]] &gt;= DATE(2022,2,1),"Grammys",TRUE,"Grammys TRA")</f>
        <v>Grammys TRA</v>
      </c>
      <c r="I790">
        <f>_xlfn.XLOOKUP(Grammys[[#This Row],[date]],mobile_visits[date],mobile_visits[mobile_visitors],0)</f>
        <v>0</v>
      </c>
    </row>
    <row r="791" spans="1:9">
      <c r="A791" s="1">
        <v>43525</v>
      </c>
      <c r="B791">
        <v>50175</v>
      </c>
      <c r="C791">
        <v>74412</v>
      </c>
      <c r="D791">
        <v>52749</v>
      </c>
      <c r="E791">
        <v>26544</v>
      </c>
      <c r="F791">
        <v>80</v>
      </c>
      <c r="G791" t="s">
        <v>9</v>
      </c>
      <c r="H791" t="str" cm="1">
        <f t="array" ref="H791">_xlfn.IFS(Grammys[[#This Row],[date]] &gt;= DATE(2022,2,1),"Grammys",TRUE,"Grammys TRA")</f>
        <v>Grammys TRA</v>
      </c>
      <c r="I791">
        <f>_xlfn.XLOOKUP(Grammys[[#This Row],[date]],mobile_visits[date],mobile_visits[mobile_visitors],0)</f>
        <v>0</v>
      </c>
    </row>
    <row r="792" spans="1:9">
      <c r="A792" s="1">
        <v>43526</v>
      </c>
      <c r="B792">
        <v>39966</v>
      </c>
      <c r="C792">
        <v>59770</v>
      </c>
      <c r="D792">
        <v>42359</v>
      </c>
      <c r="E792">
        <v>20951</v>
      </c>
      <c r="F792">
        <v>80</v>
      </c>
      <c r="G792" t="s">
        <v>9</v>
      </c>
      <c r="H792" t="str" cm="1">
        <f t="array" ref="H792">_xlfn.IFS(Grammys[[#This Row],[date]] &gt;= DATE(2022,2,1),"Grammys",TRUE,"Grammys TRA")</f>
        <v>Grammys TRA</v>
      </c>
      <c r="I792">
        <f>_xlfn.XLOOKUP(Grammys[[#This Row],[date]],mobile_visits[date],mobile_visits[mobile_visitors],0)</f>
        <v>0</v>
      </c>
    </row>
    <row r="793" spans="1:9">
      <c r="A793" s="1">
        <v>43527</v>
      </c>
      <c r="B793">
        <v>33334</v>
      </c>
      <c r="C793">
        <v>49948</v>
      </c>
      <c r="D793">
        <v>34898</v>
      </c>
      <c r="E793">
        <v>17289</v>
      </c>
      <c r="F793">
        <v>84</v>
      </c>
      <c r="G793" t="s">
        <v>9</v>
      </c>
      <c r="H793" t="str" cm="1">
        <f t="array" ref="H793">_xlfn.IFS(Grammys[[#This Row],[date]] &gt;= DATE(2022,2,1),"Grammys",TRUE,"Grammys TRA")</f>
        <v>Grammys TRA</v>
      </c>
      <c r="I793">
        <f>_xlfn.XLOOKUP(Grammys[[#This Row],[date]],mobile_visits[date],mobile_visits[mobile_visitors],0)</f>
        <v>0</v>
      </c>
    </row>
    <row r="794" spans="1:9">
      <c r="A794" s="1">
        <v>43528</v>
      </c>
      <c r="B794">
        <v>27474</v>
      </c>
      <c r="C794">
        <v>41430</v>
      </c>
      <c r="D794">
        <v>28873</v>
      </c>
      <c r="E794">
        <v>15020</v>
      </c>
      <c r="F794">
        <v>85</v>
      </c>
      <c r="G794" t="s">
        <v>9</v>
      </c>
      <c r="H794" t="str" cm="1">
        <f t="array" ref="H794">_xlfn.IFS(Grammys[[#This Row],[date]] &gt;= DATE(2022,2,1),"Grammys",TRUE,"Grammys TRA")</f>
        <v>Grammys TRA</v>
      </c>
      <c r="I794">
        <f>_xlfn.XLOOKUP(Grammys[[#This Row],[date]],mobile_visits[date],mobile_visits[mobile_visitors],0)</f>
        <v>0</v>
      </c>
    </row>
    <row r="795" spans="1:9">
      <c r="A795" s="1">
        <v>43529</v>
      </c>
      <c r="B795">
        <v>23031</v>
      </c>
      <c r="C795">
        <v>35805</v>
      </c>
      <c r="D795">
        <v>24472</v>
      </c>
      <c r="E795">
        <v>12856</v>
      </c>
      <c r="F795">
        <v>82</v>
      </c>
      <c r="G795" t="s">
        <v>9</v>
      </c>
      <c r="H795" t="str" cm="1">
        <f t="array" ref="H795">_xlfn.IFS(Grammys[[#This Row],[date]] &gt;= DATE(2022,2,1),"Grammys",TRUE,"Grammys TRA")</f>
        <v>Grammys TRA</v>
      </c>
      <c r="I795">
        <f>_xlfn.XLOOKUP(Grammys[[#This Row],[date]],mobile_visits[date],mobile_visits[mobile_visitors],0)</f>
        <v>0</v>
      </c>
    </row>
    <row r="796" spans="1:9">
      <c r="A796" s="1">
        <v>43530</v>
      </c>
      <c r="B796">
        <v>23428</v>
      </c>
      <c r="C796">
        <v>34070</v>
      </c>
      <c r="D796">
        <v>23988</v>
      </c>
      <c r="E796">
        <v>12642</v>
      </c>
      <c r="F796">
        <v>76</v>
      </c>
      <c r="G796" t="s">
        <v>9</v>
      </c>
      <c r="H796" t="str" cm="1">
        <f t="array" ref="H796">_xlfn.IFS(Grammys[[#This Row],[date]] &gt;= DATE(2022,2,1),"Grammys",TRUE,"Grammys TRA")</f>
        <v>Grammys TRA</v>
      </c>
      <c r="I796">
        <f>_xlfn.XLOOKUP(Grammys[[#This Row],[date]],mobile_visits[date],mobile_visits[mobile_visitors],0)</f>
        <v>0</v>
      </c>
    </row>
    <row r="797" spans="1:9">
      <c r="A797" s="1">
        <v>43531</v>
      </c>
      <c r="B797">
        <v>28237</v>
      </c>
      <c r="C797">
        <v>40576</v>
      </c>
      <c r="D797">
        <v>29692</v>
      </c>
      <c r="E797">
        <v>13923</v>
      </c>
      <c r="F797">
        <v>103</v>
      </c>
      <c r="G797" t="s">
        <v>9</v>
      </c>
      <c r="H797" t="str" cm="1">
        <f t="array" ref="H797">_xlfn.IFS(Grammys[[#This Row],[date]] &gt;= DATE(2022,2,1),"Grammys",TRUE,"Grammys TRA")</f>
        <v>Grammys TRA</v>
      </c>
      <c r="I797">
        <f>_xlfn.XLOOKUP(Grammys[[#This Row],[date]],mobile_visits[date],mobile_visits[mobile_visitors],0)</f>
        <v>0</v>
      </c>
    </row>
    <row r="798" spans="1:9">
      <c r="A798" s="1">
        <v>43532</v>
      </c>
      <c r="B798">
        <v>26165</v>
      </c>
      <c r="C798">
        <v>36537</v>
      </c>
      <c r="D798">
        <v>27326</v>
      </c>
      <c r="E798">
        <v>13459</v>
      </c>
      <c r="F798">
        <v>86</v>
      </c>
      <c r="G798" t="s">
        <v>9</v>
      </c>
      <c r="H798" t="str" cm="1">
        <f t="array" ref="H798">_xlfn.IFS(Grammys[[#This Row],[date]] &gt;= DATE(2022,2,1),"Grammys",TRUE,"Grammys TRA")</f>
        <v>Grammys TRA</v>
      </c>
      <c r="I798">
        <f>_xlfn.XLOOKUP(Grammys[[#This Row],[date]],mobile_visits[date],mobile_visits[mobile_visitors],0)</f>
        <v>0</v>
      </c>
    </row>
    <row r="799" spans="1:9">
      <c r="A799" s="1">
        <v>43533</v>
      </c>
      <c r="B799">
        <v>24003</v>
      </c>
      <c r="C799">
        <v>34300</v>
      </c>
      <c r="D799">
        <v>25061</v>
      </c>
      <c r="E799">
        <v>12135</v>
      </c>
      <c r="F799">
        <v>77</v>
      </c>
      <c r="G799" t="s">
        <v>9</v>
      </c>
      <c r="H799" t="str" cm="1">
        <f t="array" ref="H799">_xlfn.IFS(Grammys[[#This Row],[date]] &gt;= DATE(2022,2,1),"Grammys",TRUE,"Grammys TRA")</f>
        <v>Grammys TRA</v>
      </c>
      <c r="I799">
        <f>_xlfn.XLOOKUP(Grammys[[#This Row],[date]],mobile_visits[date],mobile_visits[mobile_visitors],0)</f>
        <v>0</v>
      </c>
    </row>
    <row r="800" spans="1:9">
      <c r="A800" s="1">
        <v>43534</v>
      </c>
      <c r="B800">
        <v>38020</v>
      </c>
      <c r="C800">
        <v>54122</v>
      </c>
      <c r="D800">
        <v>39990</v>
      </c>
      <c r="E800">
        <v>18804</v>
      </c>
      <c r="F800">
        <v>73</v>
      </c>
      <c r="G800" t="s">
        <v>9</v>
      </c>
      <c r="H800" t="str" cm="1">
        <f t="array" ref="H800">_xlfn.IFS(Grammys[[#This Row],[date]] &gt;= DATE(2022,2,1),"Grammys",TRUE,"Grammys TRA")</f>
        <v>Grammys TRA</v>
      </c>
      <c r="I800">
        <f>_xlfn.XLOOKUP(Grammys[[#This Row],[date]],mobile_visits[date],mobile_visits[mobile_visitors],0)</f>
        <v>0</v>
      </c>
    </row>
    <row r="801" spans="1:9">
      <c r="A801" s="1">
        <v>43535</v>
      </c>
      <c r="B801">
        <v>26326</v>
      </c>
      <c r="C801">
        <v>39271</v>
      </c>
      <c r="D801">
        <v>27647</v>
      </c>
      <c r="E801">
        <v>13478</v>
      </c>
      <c r="F801">
        <v>82</v>
      </c>
      <c r="G801" t="s">
        <v>9</v>
      </c>
      <c r="H801" t="str" cm="1">
        <f t="array" ref="H801">_xlfn.IFS(Grammys[[#This Row],[date]] &gt;= DATE(2022,2,1),"Grammys",TRUE,"Grammys TRA")</f>
        <v>Grammys TRA</v>
      </c>
      <c r="I801">
        <f>_xlfn.XLOOKUP(Grammys[[#This Row],[date]],mobile_visits[date],mobile_visits[mobile_visitors],0)</f>
        <v>0</v>
      </c>
    </row>
    <row r="802" spans="1:9">
      <c r="A802" s="1">
        <v>43536</v>
      </c>
      <c r="B802">
        <v>21661</v>
      </c>
      <c r="C802">
        <v>32256</v>
      </c>
      <c r="D802">
        <v>22777</v>
      </c>
      <c r="E802">
        <v>11605</v>
      </c>
      <c r="F802">
        <v>79</v>
      </c>
      <c r="G802" t="s">
        <v>9</v>
      </c>
      <c r="H802" t="str" cm="1">
        <f t="array" ref="H802">_xlfn.IFS(Grammys[[#This Row],[date]] &gt;= DATE(2022,2,1),"Grammys",TRUE,"Grammys TRA")</f>
        <v>Grammys TRA</v>
      </c>
      <c r="I802">
        <f>_xlfn.XLOOKUP(Grammys[[#This Row],[date]],mobile_visits[date],mobile_visits[mobile_visitors],0)</f>
        <v>0</v>
      </c>
    </row>
    <row r="803" spans="1:9">
      <c r="A803" s="1">
        <v>43537</v>
      </c>
      <c r="B803">
        <v>23679</v>
      </c>
      <c r="C803">
        <v>33671</v>
      </c>
      <c r="D803">
        <v>25071</v>
      </c>
      <c r="E803">
        <v>11821</v>
      </c>
      <c r="F803">
        <v>77</v>
      </c>
      <c r="G803" t="s">
        <v>9</v>
      </c>
      <c r="H803" t="str" cm="1">
        <f t="array" ref="H803">_xlfn.IFS(Grammys[[#This Row],[date]] &gt;= DATE(2022,2,1),"Grammys",TRUE,"Grammys TRA")</f>
        <v>Grammys TRA</v>
      </c>
      <c r="I803">
        <f>_xlfn.XLOOKUP(Grammys[[#This Row],[date]],mobile_visits[date],mobile_visits[mobile_visitors],0)</f>
        <v>0</v>
      </c>
    </row>
    <row r="804" spans="1:9">
      <c r="A804" s="1">
        <v>43538</v>
      </c>
      <c r="B804">
        <v>28496</v>
      </c>
      <c r="C804">
        <v>38551</v>
      </c>
      <c r="D804">
        <v>29317</v>
      </c>
      <c r="E804">
        <v>14914</v>
      </c>
      <c r="F804">
        <v>70</v>
      </c>
      <c r="G804" t="s">
        <v>9</v>
      </c>
      <c r="H804" t="str" cm="1">
        <f t="array" ref="H804">_xlfn.IFS(Grammys[[#This Row],[date]] &gt;= DATE(2022,2,1),"Grammys",TRUE,"Grammys TRA")</f>
        <v>Grammys TRA</v>
      </c>
      <c r="I804">
        <f>_xlfn.XLOOKUP(Grammys[[#This Row],[date]],mobile_visits[date],mobile_visits[mobile_visitors],0)</f>
        <v>0</v>
      </c>
    </row>
    <row r="805" spans="1:9">
      <c r="A805" s="1">
        <v>43539</v>
      </c>
      <c r="B805">
        <v>21397</v>
      </c>
      <c r="C805">
        <v>30525</v>
      </c>
      <c r="D805">
        <v>22659</v>
      </c>
      <c r="E805">
        <v>11964</v>
      </c>
      <c r="F805">
        <v>72</v>
      </c>
      <c r="G805" t="s">
        <v>9</v>
      </c>
      <c r="H805" t="str" cm="1">
        <f t="array" ref="H805">_xlfn.IFS(Grammys[[#This Row],[date]] &gt;= DATE(2022,2,1),"Grammys",TRUE,"Grammys TRA")</f>
        <v>Grammys TRA</v>
      </c>
      <c r="I805">
        <f>_xlfn.XLOOKUP(Grammys[[#This Row],[date]],mobile_visits[date],mobile_visits[mobile_visitors],0)</f>
        <v>0</v>
      </c>
    </row>
    <row r="806" spans="1:9">
      <c r="A806" s="1">
        <v>43540</v>
      </c>
      <c r="B806">
        <v>20086</v>
      </c>
      <c r="C806">
        <v>28442</v>
      </c>
      <c r="D806">
        <v>21193</v>
      </c>
      <c r="E806">
        <v>11165</v>
      </c>
      <c r="F806">
        <v>64</v>
      </c>
      <c r="G806" t="s">
        <v>9</v>
      </c>
      <c r="H806" t="str" cm="1">
        <f t="array" ref="H806">_xlfn.IFS(Grammys[[#This Row],[date]] &gt;= DATE(2022,2,1),"Grammys",TRUE,"Grammys TRA")</f>
        <v>Grammys TRA</v>
      </c>
      <c r="I806">
        <f>_xlfn.XLOOKUP(Grammys[[#This Row],[date]],mobile_visits[date],mobile_visits[mobile_visitors],0)</f>
        <v>0</v>
      </c>
    </row>
    <row r="807" spans="1:9">
      <c r="A807" s="1">
        <v>43541</v>
      </c>
      <c r="B807">
        <v>17242</v>
      </c>
      <c r="C807">
        <v>25169</v>
      </c>
      <c r="D807">
        <v>18164</v>
      </c>
      <c r="E807">
        <v>9491</v>
      </c>
      <c r="F807">
        <v>74</v>
      </c>
      <c r="G807" t="s">
        <v>9</v>
      </c>
      <c r="H807" t="str" cm="1">
        <f t="array" ref="H807">_xlfn.IFS(Grammys[[#This Row],[date]] &gt;= DATE(2022,2,1),"Grammys",TRUE,"Grammys TRA")</f>
        <v>Grammys TRA</v>
      </c>
      <c r="I807">
        <f>_xlfn.XLOOKUP(Grammys[[#This Row],[date]],mobile_visits[date],mobile_visits[mobile_visitors],0)</f>
        <v>0</v>
      </c>
    </row>
    <row r="808" spans="1:9">
      <c r="A808" s="1">
        <v>43542</v>
      </c>
      <c r="B808">
        <v>19456</v>
      </c>
      <c r="C808">
        <v>28043</v>
      </c>
      <c r="D808">
        <v>20388</v>
      </c>
      <c r="E808">
        <v>10841</v>
      </c>
      <c r="F808">
        <v>76</v>
      </c>
      <c r="G808" t="s">
        <v>9</v>
      </c>
      <c r="H808" t="str" cm="1">
        <f t="array" ref="H808">_xlfn.IFS(Grammys[[#This Row],[date]] &gt;= DATE(2022,2,1),"Grammys",TRUE,"Grammys TRA")</f>
        <v>Grammys TRA</v>
      </c>
      <c r="I808">
        <f>_xlfn.XLOOKUP(Grammys[[#This Row],[date]],mobile_visits[date],mobile_visits[mobile_visitors],0)</f>
        <v>0</v>
      </c>
    </row>
    <row r="809" spans="1:9">
      <c r="A809" s="1">
        <v>43543</v>
      </c>
      <c r="B809">
        <v>20798</v>
      </c>
      <c r="C809">
        <v>29004</v>
      </c>
      <c r="D809">
        <v>21840</v>
      </c>
      <c r="E809">
        <v>11204</v>
      </c>
      <c r="F809">
        <v>71</v>
      </c>
      <c r="G809" t="s">
        <v>9</v>
      </c>
      <c r="H809" t="str" cm="1">
        <f t="array" ref="H809">_xlfn.IFS(Grammys[[#This Row],[date]] &gt;= DATE(2022,2,1),"Grammys",TRUE,"Grammys TRA")</f>
        <v>Grammys TRA</v>
      </c>
      <c r="I809">
        <f>_xlfn.XLOOKUP(Grammys[[#This Row],[date]],mobile_visits[date],mobile_visits[mobile_visitors],0)</f>
        <v>0</v>
      </c>
    </row>
    <row r="810" spans="1:9">
      <c r="A810" s="1">
        <v>43544</v>
      </c>
      <c r="B810">
        <v>20993</v>
      </c>
      <c r="C810">
        <v>29559</v>
      </c>
      <c r="D810">
        <v>21934</v>
      </c>
      <c r="E810">
        <v>11303</v>
      </c>
      <c r="F810">
        <v>72</v>
      </c>
      <c r="G810" t="s">
        <v>9</v>
      </c>
      <c r="H810" t="str" cm="1">
        <f t="array" ref="H810">_xlfn.IFS(Grammys[[#This Row],[date]] &gt;= DATE(2022,2,1),"Grammys",TRUE,"Grammys TRA")</f>
        <v>Grammys TRA</v>
      </c>
      <c r="I810">
        <f>_xlfn.XLOOKUP(Grammys[[#This Row],[date]],mobile_visits[date],mobile_visits[mobile_visitors],0)</f>
        <v>0</v>
      </c>
    </row>
    <row r="811" spans="1:9">
      <c r="A811" s="1">
        <v>43545</v>
      </c>
      <c r="B811">
        <v>17566</v>
      </c>
      <c r="C811">
        <v>24935</v>
      </c>
      <c r="D811">
        <v>18394</v>
      </c>
      <c r="E811">
        <v>9597</v>
      </c>
      <c r="F811">
        <v>75</v>
      </c>
      <c r="G811" t="s">
        <v>9</v>
      </c>
      <c r="H811" t="str" cm="1">
        <f t="array" ref="H811">_xlfn.IFS(Grammys[[#This Row],[date]] &gt;= DATE(2022,2,1),"Grammys",TRUE,"Grammys TRA")</f>
        <v>Grammys TRA</v>
      </c>
      <c r="I811">
        <f>_xlfn.XLOOKUP(Grammys[[#This Row],[date]],mobile_visits[date],mobile_visits[mobile_visitors],0)</f>
        <v>0</v>
      </c>
    </row>
    <row r="812" spans="1:9">
      <c r="A812" s="1">
        <v>43546</v>
      </c>
      <c r="B812">
        <v>16062</v>
      </c>
      <c r="C812">
        <v>22612</v>
      </c>
      <c r="D812">
        <v>16925</v>
      </c>
      <c r="E812">
        <v>9000</v>
      </c>
      <c r="F812">
        <v>69</v>
      </c>
      <c r="G812" t="s">
        <v>9</v>
      </c>
      <c r="H812" t="str" cm="1">
        <f t="array" ref="H812">_xlfn.IFS(Grammys[[#This Row],[date]] &gt;= DATE(2022,2,1),"Grammys",TRUE,"Grammys TRA")</f>
        <v>Grammys TRA</v>
      </c>
      <c r="I812">
        <f>_xlfn.XLOOKUP(Grammys[[#This Row],[date]],mobile_visits[date],mobile_visits[mobile_visitors],0)</f>
        <v>0</v>
      </c>
    </row>
    <row r="813" spans="1:9">
      <c r="A813" s="1">
        <v>43547</v>
      </c>
      <c r="B813">
        <v>15258</v>
      </c>
      <c r="C813">
        <v>21927</v>
      </c>
      <c r="D813">
        <v>16143</v>
      </c>
      <c r="E813">
        <v>8319</v>
      </c>
      <c r="F813">
        <v>69</v>
      </c>
      <c r="G813" t="s">
        <v>9</v>
      </c>
      <c r="H813" t="str" cm="1">
        <f t="array" ref="H813">_xlfn.IFS(Grammys[[#This Row],[date]] &gt;= DATE(2022,2,1),"Grammys",TRUE,"Grammys TRA")</f>
        <v>Grammys TRA</v>
      </c>
      <c r="I813">
        <f>_xlfn.XLOOKUP(Grammys[[#This Row],[date]],mobile_visits[date],mobile_visits[mobile_visitors],0)</f>
        <v>0</v>
      </c>
    </row>
    <row r="814" spans="1:9">
      <c r="A814" s="1">
        <v>43548</v>
      </c>
      <c r="B814">
        <v>15189</v>
      </c>
      <c r="C814">
        <v>21879</v>
      </c>
      <c r="D814">
        <v>16044</v>
      </c>
      <c r="E814">
        <v>8377</v>
      </c>
      <c r="F814">
        <v>74</v>
      </c>
      <c r="G814" t="s">
        <v>9</v>
      </c>
      <c r="H814" t="str" cm="1">
        <f t="array" ref="H814">_xlfn.IFS(Grammys[[#This Row],[date]] &gt;= DATE(2022,2,1),"Grammys",TRUE,"Grammys TRA")</f>
        <v>Grammys TRA</v>
      </c>
      <c r="I814">
        <f>_xlfn.XLOOKUP(Grammys[[#This Row],[date]],mobile_visits[date],mobile_visits[mobile_visitors],0)</f>
        <v>0</v>
      </c>
    </row>
    <row r="815" spans="1:9">
      <c r="A815" s="1">
        <v>43549</v>
      </c>
      <c r="B815">
        <v>16231</v>
      </c>
      <c r="C815">
        <v>23485</v>
      </c>
      <c r="D815">
        <v>17043</v>
      </c>
      <c r="E815">
        <v>9059</v>
      </c>
      <c r="F815">
        <v>76</v>
      </c>
      <c r="G815" t="s">
        <v>9</v>
      </c>
      <c r="H815" t="str" cm="1">
        <f t="array" ref="H815">_xlfn.IFS(Grammys[[#This Row],[date]] &gt;= DATE(2022,2,1),"Grammys",TRUE,"Grammys TRA")</f>
        <v>Grammys TRA</v>
      </c>
      <c r="I815">
        <f>_xlfn.XLOOKUP(Grammys[[#This Row],[date]],mobile_visits[date],mobile_visits[mobile_visitors],0)</f>
        <v>0</v>
      </c>
    </row>
    <row r="816" spans="1:9">
      <c r="A816" s="1">
        <v>43550</v>
      </c>
      <c r="B816">
        <v>19386</v>
      </c>
      <c r="C816">
        <v>26646</v>
      </c>
      <c r="D816">
        <v>20230</v>
      </c>
      <c r="E816">
        <v>9802</v>
      </c>
      <c r="F816">
        <v>92</v>
      </c>
      <c r="G816" t="s">
        <v>9</v>
      </c>
      <c r="H816" t="str" cm="1">
        <f t="array" ref="H816">_xlfn.IFS(Grammys[[#This Row],[date]] &gt;= DATE(2022,2,1),"Grammys",TRUE,"Grammys TRA")</f>
        <v>Grammys TRA</v>
      </c>
      <c r="I816">
        <f>_xlfn.XLOOKUP(Grammys[[#This Row],[date]],mobile_visits[date],mobile_visits[mobile_visitors],0)</f>
        <v>0</v>
      </c>
    </row>
    <row r="817" spans="1:9">
      <c r="A817" s="1">
        <v>43551</v>
      </c>
      <c r="B817">
        <v>17243</v>
      </c>
      <c r="C817">
        <v>24409</v>
      </c>
      <c r="D817">
        <v>18032</v>
      </c>
      <c r="E817">
        <v>9381</v>
      </c>
      <c r="F817">
        <v>76</v>
      </c>
      <c r="G817" t="s">
        <v>9</v>
      </c>
      <c r="H817" t="str" cm="1">
        <f t="array" ref="H817">_xlfn.IFS(Grammys[[#This Row],[date]] &gt;= DATE(2022,2,1),"Grammys",TRUE,"Grammys TRA")</f>
        <v>Grammys TRA</v>
      </c>
      <c r="I817">
        <f>_xlfn.XLOOKUP(Grammys[[#This Row],[date]],mobile_visits[date],mobile_visits[mobile_visitors],0)</f>
        <v>0</v>
      </c>
    </row>
    <row r="818" spans="1:9">
      <c r="A818" s="1">
        <v>43552</v>
      </c>
      <c r="B818">
        <v>18838</v>
      </c>
      <c r="C818">
        <v>26341</v>
      </c>
      <c r="D818">
        <v>19868</v>
      </c>
      <c r="E818">
        <v>9575</v>
      </c>
      <c r="F818">
        <v>68</v>
      </c>
      <c r="G818" t="s">
        <v>9</v>
      </c>
      <c r="H818" t="str" cm="1">
        <f t="array" ref="H818">_xlfn.IFS(Grammys[[#This Row],[date]] &gt;= DATE(2022,2,1),"Grammys",TRUE,"Grammys TRA")</f>
        <v>Grammys TRA</v>
      </c>
      <c r="I818">
        <f>_xlfn.XLOOKUP(Grammys[[#This Row],[date]],mobile_visits[date],mobile_visits[mobile_visitors],0)</f>
        <v>0</v>
      </c>
    </row>
    <row r="819" spans="1:9">
      <c r="A819" s="1">
        <v>43553</v>
      </c>
      <c r="B819">
        <v>16320</v>
      </c>
      <c r="C819">
        <v>23334</v>
      </c>
      <c r="D819">
        <v>17171</v>
      </c>
      <c r="E819">
        <v>9154</v>
      </c>
      <c r="F819">
        <v>68</v>
      </c>
      <c r="G819" t="s">
        <v>9</v>
      </c>
      <c r="H819" t="str" cm="1">
        <f t="array" ref="H819">_xlfn.IFS(Grammys[[#This Row],[date]] &gt;= DATE(2022,2,1),"Grammys",TRUE,"Grammys TRA")</f>
        <v>Grammys TRA</v>
      </c>
      <c r="I819">
        <f>_xlfn.XLOOKUP(Grammys[[#This Row],[date]],mobile_visits[date],mobile_visits[mobile_visitors],0)</f>
        <v>0</v>
      </c>
    </row>
    <row r="820" spans="1:9">
      <c r="A820" s="1">
        <v>43554</v>
      </c>
      <c r="B820">
        <v>14453</v>
      </c>
      <c r="C820">
        <v>20525</v>
      </c>
      <c r="D820">
        <v>15117</v>
      </c>
      <c r="E820">
        <v>7896</v>
      </c>
      <c r="F820">
        <v>70</v>
      </c>
      <c r="G820" t="s">
        <v>9</v>
      </c>
      <c r="H820" t="str" cm="1">
        <f t="array" ref="H820">_xlfn.IFS(Grammys[[#This Row],[date]] &gt;= DATE(2022,2,1),"Grammys",TRUE,"Grammys TRA")</f>
        <v>Grammys TRA</v>
      </c>
      <c r="I820">
        <f>_xlfn.XLOOKUP(Grammys[[#This Row],[date]],mobile_visits[date],mobile_visits[mobile_visitors],0)</f>
        <v>0</v>
      </c>
    </row>
    <row r="821" spans="1:9">
      <c r="A821" s="1">
        <v>43555</v>
      </c>
      <c r="B821">
        <v>16833</v>
      </c>
      <c r="C821">
        <v>23637</v>
      </c>
      <c r="D821">
        <v>17673</v>
      </c>
      <c r="E821">
        <v>9569</v>
      </c>
      <c r="F821">
        <v>66</v>
      </c>
      <c r="G821" t="s">
        <v>9</v>
      </c>
      <c r="H821" t="str" cm="1">
        <f t="array" ref="H821">_xlfn.IFS(Grammys[[#This Row],[date]] &gt;= DATE(2022,2,1),"Grammys",TRUE,"Grammys TRA")</f>
        <v>Grammys TRA</v>
      </c>
      <c r="I821">
        <f>_xlfn.XLOOKUP(Grammys[[#This Row],[date]],mobile_visits[date],mobile_visits[mobile_visitors],0)</f>
        <v>0</v>
      </c>
    </row>
    <row r="822" spans="1:9">
      <c r="A822" s="1">
        <v>43556</v>
      </c>
      <c r="B822">
        <v>21656</v>
      </c>
      <c r="C822">
        <v>30396</v>
      </c>
      <c r="D822">
        <v>22570</v>
      </c>
      <c r="E822">
        <v>13310</v>
      </c>
      <c r="F822">
        <v>64</v>
      </c>
      <c r="G822" t="s">
        <v>9</v>
      </c>
      <c r="H822" t="str" cm="1">
        <f t="array" ref="H822">_xlfn.IFS(Grammys[[#This Row],[date]] &gt;= DATE(2022,2,1),"Grammys",TRUE,"Grammys TRA")</f>
        <v>Grammys TRA</v>
      </c>
      <c r="I822">
        <f>_xlfn.XLOOKUP(Grammys[[#This Row],[date]],mobile_visits[date],mobile_visits[mobile_visitors],0)</f>
        <v>0</v>
      </c>
    </row>
    <row r="823" spans="1:9">
      <c r="A823" s="1">
        <v>43557</v>
      </c>
      <c r="B823">
        <v>17788</v>
      </c>
      <c r="C823">
        <v>25540</v>
      </c>
      <c r="D823">
        <v>18376</v>
      </c>
      <c r="E823">
        <v>10001</v>
      </c>
      <c r="F823">
        <v>74</v>
      </c>
      <c r="G823" t="s">
        <v>9</v>
      </c>
      <c r="H823" t="str" cm="1">
        <f t="array" ref="H823">_xlfn.IFS(Grammys[[#This Row],[date]] &gt;= DATE(2022,2,1),"Grammys",TRUE,"Grammys TRA")</f>
        <v>Grammys TRA</v>
      </c>
      <c r="I823">
        <f>_xlfn.XLOOKUP(Grammys[[#This Row],[date]],mobile_visits[date],mobile_visits[mobile_visitors],0)</f>
        <v>0</v>
      </c>
    </row>
    <row r="824" spans="1:9">
      <c r="A824" s="1">
        <v>43558</v>
      </c>
      <c r="B824">
        <v>16558</v>
      </c>
      <c r="C824">
        <v>23438</v>
      </c>
      <c r="D824">
        <v>17386</v>
      </c>
      <c r="E824">
        <v>9474</v>
      </c>
      <c r="F824">
        <v>69</v>
      </c>
      <c r="G824" t="s">
        <v>9</v>
      </c>
      <c r="H824" t="str" cm="1">
        <f t="array" ref="H824">_xlfn.IFS(Grammys[[#This Row],[date]] &gt;= DATE(2022,2,1),"Grammys",TRUE,"Grammys TRA")</f>
        <v>Grammys TRA</v>
      </c>
      <c r="I824">
        <f>_xlfn.XLOOKUP(Grammys[[#This Row],[date]],mobile_visits[date],mobile_visits[mobile_visitors],0)</f>
        <v>0</v>
      </c>
    </row>
    <row r="825" spans="1:9">
      <c r="A825" s="1">
        <v>43559</v>
      </c>
      <c r="B825">
        <v>18398</v>
      </c>
      <c r="C825">
        <v>25352</v>
      </c>
      <c r="D825">
        <v>19152</v>
      </c>
      <c r="E825">
        <v>10264</v>
      </c>
      <c r="F825">
        <v>64</v>
      </c>
      <c r="G825" t="s">
        <v>9</v>
      </c>
      <c r="H825" t="str" cm="1">
        <f t="array" ref="H825">_xlfn.IFS(Grammys[[#This Row],[date]] &gt;= DATE(2022,2,1),"Grammys",TRUE,"Grammys TRA")</f>
        <v>Grammys TRA</v>
      </c>
      <c r="I825">
        <f>_xlfn.XLOOKUP(Grammys[[#This Row],[date]],mobile_visits[date],mobile_visits[mobile_visitors],0)</f>
        <v>0</v>
      </c>
    </row>
    <row r="826" spans="1:9">
      <c r="A826" s="1">
        <v>43560</v>
      </c>
      <c r="B826">
        <v>16889</v>
      </c>
      <c r="C826">
        <v>24098</v>
      </c>
      <c r="D826">
        <v>17691</v>
      </c>
      <c r="E826">
        <v>9366</v>
      </c>
      <c r="F826">
        <v>70</v>
      </c>
      <c r="G826" t="s">
        <v>9</v>
      </c>
      <c r="H826" t="str" cm="1">
        <f t="array" ref="H826">_xlfn.IFS(Grammys[[#This Row],[date]] &gt;= DATE(2022,2,1),"Grammys",TRUE,"Grammys TRA")</f>
        <v>Grammys TRA</v>
      </c>
      <c r="I826">
        <f>_xlfn.XLOOKUP(Grammys[[#This Row],[date]],mobile_visits[date],mobile_visits[mobile_visitors],0)</f>
        <v>0</v>
      </c>
    </row>
    <row r="827" spans="1:9">
      <c r="A827" s="1">
        <v>43561</v>
      </c>
      <c r="B827">
        <v>13128</v>
      </c>
      <c r="C827">
        <v>19143</v>
      </c>
      <c r="D827">
        <v>13924</v>
      </c>
      <c r="E827">
        <v>7132</v>
      </c>
      <c r="F827">
        <v>73</v>
      </c>
      <c r="G827" t="s">
        <v>9</v>
      </c>
      <c r="H827" t="str" cm="1">
        <f t="array" ref="H827">_xlfn.IFS(Grammys[[#This Row],[date]] &gt;= DATE(2022,2,1),"Grammys",TRUE,"Grammys TRA")</f>
        <v>Grammys TRA</v>
      </c>
      <c r="I827">
        <f>_xlfn.XLOOKUP(Grammys[[#This Row],[date]],mobile_visits[date],mobile_visits[mobile_visitors],0)</f>
        <v>0</v>
      </c>
    </row>
    <row r="828" spans="1:9">
      <c r="A828" s="1">
        <v>43562</v>
      </c>
      <c r="B828">
        <v>15262</v>
      </c>
      <c r="C828">
        <v>21817</v>
      </c>
      <c r="D828">
        <v>16033</v>
      </c>
      <c r="E828">
        <v>8269</v>
      </c>
      <c r="F828">
        <v>75</v>
      </c>
      <c r="G828" t="s">
        <v>9</v>
      </c>
      <c r="H828" t="str" cm="1">
        <f t="array" ref="H828">_xlfn.IFS(Grammys[[#This Row],[date]] &gt;= DATE(2022,2,1),"Grammys",TRUE,"Grammys TRA")</f>
        <v>Grammys TRA</v>
      </c>
      <c r="I828">
        <f>_xlfn.XLOOKUP(Grammys[[#This Row],[date]],mobile_visits[date],mobile_visits[mobile_visitors],0)</f>
        <v>0</v>
      </c>
    </row>
    <row r="829" spans="1:9">
      <c r="A829" s="1">
        <v>43563</v>
      </c>
      <c r="B829">
        <v>16089</v>
      </c>
      <c r="C829">
        <v>23262</v>
      </c>
      <c r="D829">
        <v>16909</v>
      </c>
      <c r="E829">
        <v>9267</v>
      </c>
      <c r="F829">
        <v>80</v>
      </c>
      <c r="G829" t="s">
        <v>9</v>
      </c>
      <c r="H829" t="str" cm="1">
        <f t="array" ref="H829">_xlfn.IFS(Grammys[[#This Row],[date]] &gt;= DATE(2022,2,1),"Grammys",TRUE,"Grammys TRA")</f>
        <v>Grammys TRA</v>
      </c>
      <c r="I829">
        <f>_xlfn.XLOOKUP(Grammys[[#This Row],[date]],mobile_visits[date],mobile_visits[mobile_visitors],0)</f>
        <v>0</v>
      </c>
    </row>
    <row r="830" spans="1:9">
      <c r="A830" s="1">
        <v>43564</v>
      </c>
      <c r="B830">
        <v>15928</v>
      </c>
      <c r="C830">
        <v>23381</v>
      </c>
      <c r="D830">
        <v>16717</v>
      </c>
      <c r="E830">
        <v>8824</v>
      </c>
      <c r="F830">
        <v>77</v>
      </c>
      <c r="G830" t="s">
        <v>9</v>
      </c>
      <c r="H830" t="str" cm="1">
        <f t="array" ref="H830">_xlfn.IFS(Grammys[[#This Row],[date]] &gt;= DATE(2022,2,1),"Grammys",TRUE,"Grammys TRA")</f>
        <v>Grammys TRA</v>
      </c>
      <c r="I830">
        <f>_xlfn.XLOOKUP(Grammys[[#This Row],[date]],mobile_visits[date],mobile_visits[mobile_visitors],0)</f>
        <v>0</v>
      </c>
    </row>
    <row r="831" spans="1:9">
      <c r="A831" s="1">
        <v>43565</v>
      </c>
      <c r="B831">
        <v>14650</v>
      </c>
      <c r="C831">
        <v>21123</v>
      </c>
      <c r="D831">
        <v>15293</v>
      </c>
      <c r="E831">
        <v>8228</v>
      </c>
      <c r="F831">
        <v>82</v>
      </c>
      <c r="G831" t="s">
        <v>9</v>
      </c>
      <c r="H831" t="str" cm="1">
        <f t="array" ref="H831">_xlfn.IFS(Grammys[[#This Row],[date]] &gt;= DATE(2022,2,1),"Grammys",TRUE,"Grammys TRA")</f>
        <v>Grammys TRA</v>
      </c>
      <c r="I831">
        <f>_xlfn.XLOOKUP(Grammys[[#This Row],[date]],mobile_visits[date],mobile_visits[mobile_visitors],0)</f>
        <v>0</v>
      </c>
    </row>
    <row r="832" spans="1:9">
      <c r="A832" s="1">
        <v>43566</v>
      </c>
      <c r="B832">
        <v>15700</v>
      </c>
      <c r="C832">
        <v>23201</v>
      </c>
      <c r="D832">
        <v>16598</v>
      </c>
      <c r="E832">
        <v>8993</v>
      </c>
      <c r="F832">
        <v>77</v>
      </c>
      <c r="G832" t="s">
        <v>9</v>
      </c>
      <c r="H832" t="str" cm="1">
        <f t="array" ref="H832">_xlfn.IFS(Grammys[[#This Row],[date]] &gt;= DATE(2022,2,1),"Grammys",TRUE,"Grammys TRA")</f>
        <v>Grammys TRA</v>
      </c>
      <c r="I832">
        <f>_xlfn.XLOOKUP(Grammys[[#This Row],[date]],mobile_visits[date],mobile_visits[mobile_visitors],0)</f>
        <v>0</v>
      </c>
    </row>
    <row r="833" spans="1:9">
      <c r="A833" s="1">
        <v>43567</v>
      </c>
      <c r="B833">
        <v>24210</v>
      </c>
      <c r="C833">
        <v>31699</v>
      </c>
      <c r="D833">
        <v>25367</v>
      </c>
      <c r="E833">
        <v>11286</v>
      </c>
      <c r="F833">
        <v>72</v>
      </c>
      <c r="G833" t="s">
        <v>9</v>
      </c>
      <c r="H833" t="str" cm="1">
        <f t="array" ref="H833">_xlfn.IFS(Grammys[[#This Row],[date]] &gt;= DATE(2022,2,1),"Grammys",TRUE,"Grammys TRA")</f>
        <v>Grammys TRA</v>
      </c>
      <c r="I833">
        <f>_xlfn.XLOOKUP(Grammys[[#This Row],[date]],mobile_visits[date],mobile_visits[mobile_visitors],0)</f>
        <v>0</v>
      </c>
    </row>
    <row r="834" spans="1:9">
      <c r="A834" s="1">
        <v>43568</v>
      </c>
      <c r="B834">
        <v>24621</v>
      </c>
      <c r="C834">
        <v>31514</v>
      </c>
      <c r="D834">
        <v>25851</v>
      </c>
      <c r="E834">
        <v>11517</v>
      </c>
      <c r="F834">
        <v>59</v>
      </c>
      <c r="G834" t="s">
        <v>9</v>
      </c>
      <c r="H834" t="str" cm="1">
        <f t="array" ref="H834">_xlfn.IFS(Grammys[[#This Row],[date]] &gt;= DATE(2022,2,1),"Grammys",TRUE,"Grammys TRA")</f>
        <v>Grammys TRA</v>
      </c>
      <c r="I834">
        <f>_xlfn.XLOOKUP(Grammys[[#This Row],[date]],mobile_visits[date],mobile_visits[mobile_visitors],0)</f>
        <v>0</v>
      </c>
    </row>
    <row r="835" spans="1:9">
      <c r="A835" s="1">
        <v>43569</v>
      </c>
      <c r="B835">
        <v>18479</v>
      </c>
      <c r="C835">
        <v>25283</v>
      </c>
      <c r="D835">
        <v>19590</v>
      </c>
      <c r="E835">
        <v>9684</v>
      </c>
      <c r="F835">
        <v>70</v>
      </c>
      <c r="G835" t="s">
        <v>9</v>
      </c>
      <c r="H835" t="str" cm="1">
        <f t="array" ref="H835">_xlfn.IFS(Grammys[[#This Row],[date]] &gt;= DATE(2022,2,1),"Grammys",TRUE,"Grammys TRA")</f>
        <v>Grammys TRA</v>
      </c>
      <c r="I835">
        <f>_xlfn.XLOOKUP(Grammys[[#This Row],[date]],mobile_visits[date],mobile_visits[mobile_visitors],0)</f>
        <v>0</v>
      </c>
    </row>
    <row r="836" spans="1:9">
      <c r="A836" s="1">
        <v>43570</v>
      </c>
      <c r="B836">
        <v>14331</v>
      </c>
      <c r="C836">
        <v>20204</v>
      </c>
      <c r="D836">
        <v>15097</v>
      </c>
      <c r="E836">
        <v>8106</v>
      </c>
      <c r="F836">
        <v>74</v>
      </c>
      <c r="G836" t="s">
        <v>9</v>
      </c>
      <c r="H836" t="str" cm="1">
        <f t="array" ref="H836">_xlfn.IFS(Grammys[[#This Row],[date]] &gt;= DATE(2022,2,1),"Grammys",TRUE,"Grammys TRA")</f>
        <v>Grammys TRA</v>
      </c>
      <c r="I836">
        <f>_xlfn.XLOOKUP(Grammys[[#This Row],[date]],mobile_visits[date],mobile_visits[mobile_visitors],0)</f>
        <v>0</v>
      </c>
    </row>
    <row r="837" spans="1:9">
      <c r="A837" s="1">
        <v>43571</v>
      </c>
      <c r="B837">
        <v>15013</v>
      </c>
      <c r="C837">
        <v>21654</v>
      </c>
      <c r="D837">
        <v>15921</v>
      </c>
      <c r="E837">
        <v>8217</v>
      </c>
      <c r="F837">
        <v>75</v>
      </c>
      <c r="G837" t="s">
        <v>9</v>
      </c>
      <c r="H837" t="str" cm="1">
        <f t="array" ref="H837">_xlfn.IFS(Grammys[[#This Row],[date]] &gt;= DATE(2022,2,1),"Grammys",TRUE,"Grammys TRA")</f>
        <v>Grammys TRA</v>
      </c>
      <c r="I837">
        <f>_xlfn.XLOOKUP(Grammys[[#This Row],[date]],mobile_visits[date],mobile_visits[mobile_visitors],0)</f>
        <v>0</v>
      </c>
    </row>
    <row r="838" spans="1:9">
      <c r="A838" s="1">
        <v>43572</v>
      </c>
      <c r="B838">
        <v>15252</v>
      </c>
      <c r="C838">
        <v>21371</v>
      </c>
      <c r="D838">
        <v>16222</v>
      </c>
      <c r="E838">
        <v>8360</v>
      </c>
      <c r="F838">
        <v>72</v>
      </c>
      <c r="G838" t="s">
        <v>9</v>
      </c>
      <c r="H838" t="str" cm="1">
        <f t="array" ref="H838">_xlfn.IFS(Grammys[[#This Row],[date]] &gt;= DATE(2022,2,1),"Grammys",TRUE,"Grammys TRA")</f>
        <v>Grammys TRA</v>
      </c>
      <c r="I838">
        <f>_xlfn.XLOOKUP(Grammys[[#This Row],[date]],mobile_visits[date],mobile_visits[mobile_visitors],0)</f>
        <v>0</v>
      </c>
    </row>
    <row r="839" spans="1:9">
      <c r="A839" s="1">
        <v>43573</v>
      </c>
      <c r="B839">
        <v>15096</v>
      </c>
      <c r="C839">
        <v>20669</v>
      </c>
      <c r="D839">
        <v>15756</v>
      </c>
      <c r="E839">
        <v>8175</v>
      </c>
      <c r="F839">
        <v>72</v>
      </c>
      <c r="G839" t="s">
        <v>9</v>
      </c>
      <c r="H839" t="str" cm="1">
        <f t="array" ref="H839">_xlfn.IFS(Grammys[[#This Row],[date]] &gt;= DATE(2022,2,1),"Grammys",TRUE,"Grammys TRA")</f>
        <v>Grammys TRA</v>
      </c>
      <c r="I839">
        <f>_xlfn.XLOOKUP(Grammys[[#This Row],[date]],mobile_visits[date],mobile_visits[mobile_visitors],0)</f>
        <v>0</v>
      </c>
    </row>
    <row r="840" spans="1:9">
      <c r="A840" s="1">
        <v>43574</v>
      </c>
      <c r="B840">
        <v>13852</v>
      </c>
      <c r="C840">
        <v>18967</v>
      </c>
      <c r="D840">
        <v>14408</v>
      </c>
      <c r="E840">
        <v>7380</v>
      </c>
      <c r="F840">
        <v>73</v>
      </c>
      <c r="G840" t="s">
        <v>9</v>
      </c>
      <c r="H840" t="str" cm="1">
        <f t="array" ref="H840">_xlfn.IFS(Grammys[[#This Row],[date]] &gt;= DATE(2022,2,1),"Grammys",TRUE,"Grammys TRA")</f>
        <v>Grammys TRA</v>
      </c>
      <c r="I840">
        <f>_xlfn.XLOOKUP(Grammys[[#This Row],[date]],mobile_visits[date],mobile_visits[mobile_visitors],0)</f>
        <v>0</v>
      </c>
    </row>
    <row r="841" spans="1:9">
      <c r="A841" s="1">
        <v>43575</v>
      </c>
      <c r="B841">
        <v>13312</v>
      </c>
      <c r="C841">
        <v>18226</v>
      </c>
      <c r="D841">
        <v>13862</v>
      </c>
      <c r="E841">
        <v>6961</v>
      </c>
      <c r="F841">
        <v>70</v>
      </c>
      <c r="G841" t="s">
        <v>9</v>
      </c>
      <c r="H841" t="str" cm="1">
        <f t="array" ref="H841">_xlfn.IFS(Grammys[[#This Row],[date]] &gt;= DATE(2022,2,1),"Grammys",TRUE,"Grammys TRA")</f>
        <v>Grammys TRA</v>
      </c>
      <c r="I841">
        <f>_xlfn.XLOOKUP(Grammys[[#This Row],[date]],mobile_visits[date],mobile_visits[mobile_visitors],0)</f>
        <v>0</v>
      </c>
    </row>
    <row r="842" spans="1:9">
      <c r="A842" s="1">
        <v>43576</v>
      </c>
      <c r="B842">
        <v>28803</v>
      </c>
      <c r="C842">
        <v>40847</v>
      </c>
      <c r="D842">
        <v>30229</v>
      </c>
      <c r="E842">
        <v>11451</v>
      </c>
      <c r="F842">
        <v>74</v>
      </c>
      <c r="G842" t="s">
        <v>9</v>
      </c>
      <c r="H842" t="str" cm="1">
        <f t="array" ref="H842">_xlfn.IFS(Grammys[[#This Row],[date]] &gt;= DATE(2022,2,1),"Grammys",TRUE,"Grammys TRA")</f>
        <v>Grammys TRA</v>
      </c>
      <c r="I842">
        <f>_xlfn.XLOOKUP(Grammys[[#This Row],[date]],mobile_visits[date],mobile_visits[mobile_visitors],0)</f>
        <v>0</v>
      </c>
    </row>
    <row r="843" spans="1:9">
      <c r="A843" s="1">
        <v>43577</v>
      </c>
      <c r="B843">
        <v>20577</v>
      </c>
      <c r="C843">
        <v>28934</v>
      </c>
      <c r="D843">
        <v>21593</v>
      </c>
      <c r="E843">
        <v>10084</v>
      </c>
      <c r="F843">
        <v>85</v>
      </c>
      <c r="G843" t="s">
        <v>9</v>
      </c>
      <c r="H843" t="str" cm="1">
        <f t="array" ref="H843">_xlfn.IFS(Grammys[[#This Row],[date]] &gt;= DATE(2022,2,1),"Grammys",TRUE,"Grammys TRA")</f>
        <v>Grammys TRA</v>
      </c>
      <c r="I843">
        <f>_xlfn.XLOOKUP(Grammys[[#This Row],[date]],mobile_visits[date],mobile_visits[mobile_visitors],0)</f>
        <v>0</v>
      </c>
    </row>
    <row r="844" spans="1:9">
      <c r="A844" s="1">
        <v>43578</v>
      </c>
      <c r="B844">
        <v>17208</v>
      </c>
      <c r="C844">
        <v>24969</v>
      </c>
      <c r="D844">
        <v>18235</v>
      </c>
      <c r="E844">
        <v>8961</v>
      </c>
      <c r="F844">
        <v>100</v>
      </c>
      <c r="G844" t="s">
        <v>9</v>
      </c>
      <c r="H844" t="str" cm="1">
        <f t="array" ref="H844">_xlfn.IFS(Grammys[[#This Row],[date]] &gt;= DATE(2022,2,1),"Grammys",TRUE,"Grammys TRA")</f>
        <v>Grammys TRA</v>
      </c>
      <c r="I844">
        <f>_xlfn.XLOOKUP(Grammys[[#This Row],[date]],mobile_visits[date],mobile_visits[mobile_visitors],0)</f>
        <v>0</v>
      </c>
    </row>
    <row r="845" spans="1:9">
      <c r="A845" s="1">
        <v>43579</v>
      </c>
      <c r="B845">
        <v>13534</v>
      </c>
      <c r="C845">
        <v>19797</v>
      </c>
      <c r="D845">
        <v>14350</v>
      </c>
      <c r="E845">
        <v>7540</v>
      </c>
      <c r="F845">
        <v>90</v>
      </c>
      <c r="G845" t="s">
        <v>9</v>
      </c>
      <c r="H845" t="str" cm="1">
        <f t="array" ref="H845">_xlfn.IFS(Grammys[[#This Row],[date]] &gt;= DATE(2022,2,1),"Grammys",TRUE,"Grammys TRA")</f>
        <v>Grammys TRA</v>
      </c>
      <c r="I845">
        <f>_xlfn.XLOOKUP(Grammys[[#This Row],[date]],mobile_visits[date],mobile_visits[mobile_visitors],0)</f>
        <v>0</v>
      </c>
    </row>
    <row r="846" spans="1:9">
      <c r="A846" s="1">
        <v>43580</v>
      </c>
      <c r="B846">
        <v>12814</v>
      </c>
      <c r="C846">
        <v>18761</v>
      </c>
      <c r="D846">
        <v>13471</v>
      </c>
      <c r="E846">
        <v>7453</v>
      </c>
      <c r="F846">
        <v>83</v>
      </c>
      <c r="G846" t="s">
        <v>9</v>
      </c>
      <c r="H846" t="str" cm="1">
        <f t="array" ref="H846">_xlfn.IFS(Grammys[[#This Row],[date]] &gt;= DATE(2022,2,1),"Grammys",TRUE,"Grammys TRA")</f>
        <v>Grammys TRA</v>
      </c>
      <c r="I846">
        <f>_xlfn.XLOOKUP(Grammys[[#This Row],[date]],mobile_visits[date],mobile_visits[mobile_visitors],0)</f>
        <v>0</v>
      </c>
    </row>
    <row r="847" spans="1:9">
      <c r="A847" s="1">
        <v>43581</v>
      </c>
      <c r="B847">
        <v>12365</v>
      </c>
      <c r="C847">
        <v>17882</v>
      </c>
      <c r="D847">
        <v>12967</v>
      </c>
      <c r="E847">
        <v>7167</v>
      </c>
      <c r="F847">
        <v>83</v>
      </c>
      <c r="G847" t="s">
        <v>9</v>
      </c>
      <c r="H847" t="str" cm="1">
        <f t="array" ref="H847">_xlfn.IFS(Grammys[[#This Row],[date]] &gt;= DATE(2022,2,1),"Grammys",TRUE,"Grammys TRA")</f>
        <v>Grammys TRA</v>
      </c>
      <c r="I847">
        <f>_xlfn.XLOOKUP(Grammys[[#This Row],[date]],mobile_visits[date],mobile_visits[mobile_visitors],0)</f>
        <v>0</v>
      </c>
    </row>
    <row r="848" spans="1:9">
      <c r="A848" s="1">
        <v>43582</v>
      </c>
      <c r="B848">
        <v>10679</v>
      </c>
      <c r="C848">
        <v>15677</v>
      </c>
      <c r="D848">
        <v>11335</v>
      </c>
      <c r="E848">
        <v>6221</v>
      </c>
      <c r="F848">
        <v>80</v>
      </c>
      <c r="G848" t="s">
        <v>9</v>
      </c>
      <c r="H848" t="str" cm="1">
        <f t="array" ref="H848">_xlfn.IFS(Grammys[[#This Row],[date]] &gt;= DATE(2022,2,1),"Grammys",TRUE,"Grammys TRA")</f>
        <v>Grammys TRA</v>
      </c>
      <c r="I848">
        <f>_xlfn.XLOOKUP(Grammys[[#This Row],[date]],mobile_visits[date],mobile_visits[mobile_visitors],0)</f>
        <v>0</v>
      </c>
    </row>
    <row r="849" spans="1:9">
      <c r="A849" s="1">
        <v>43583</v>
      </c>
      <c r="B849">
        <v>10767</v>
      </c>
      <c r="C849">
        <v>15946</v>
      </c>
      <c r="D849">
        <v>11292</v>
      </c>
      <c r="E849">
        <v>6060</v>
      </c>
      <c r="F849">
        <v>84</v>
      </c>
      <c r="G849" t="s">
        <v>9</v>
      </c>
      <c r="H849" t="str" cm="1">
        <f t="array" ref="H849">_xlfn.IFS(Grammys[[#This Row],[date]] &gt;= DATE(2022,2,1),"Grammys",TRUE,"Grammys TRA")</f>
        <v>Grammys TRA</v>
      </c>
      <c r="I849">
        <f>_xlfn.XLOOKUP(Grammys[[#This Row],[date]],mobile_visits[date],mobile_visits[mobile_visitors],0)</f>
        <v>0</v>
      </c>
    </row>
    <row r="850" spans="1:9">
      <c r="A850" s="1">
        <v>43584</v>
      </c>
      <c r="B850">
        <v>12443</v>
      </c>
      <c r="C850">
        <v>18374</v>
      </c>
      <c r="D850">
        <v>13305</v>
      </c>
      <c r="E850">
        <v>7111</v>
      </c>
      <c r="F850">
        <v>79</v>
      </c>
      <c r="G850" t="s">
        <v>9</v>
      </c>
      <c r="H850" t="str" cm="1">
        <f t="array" ref="H850">_xlfn.IFS(Grammys[[#This Row],[date]] &gt;= DATE(2022,2,1),"Grammys",TRUE,"Grammys TRA")</f>
        <v>Grammys TRA</v>
      </c>
      <c r="I850">
        <f>_xlfn.XLOOKUP(Grammys[[#This Row],[date]],mobile_visits[date],mobile_visits[mobile_visitors],0)</f>
        <v>0</v>
      </c>
    </row>
    <row r="851" spans="1:9">
      <c r="A851" s="1">
        <v>43585</v>
      </c>
      <c r="B851">
        <v>12067</v>
      </c>
      <c r="C851">
        <v>17350</v>
      </c>
      <c r="D851">
        <v>12641</v>
      </c>
      <c r="E851">
        <v>6988</v>
      </c>
      <c r="F851">
        <v>77</v>
      </c>
      <c r="G851" t="s">
        <v>9</v>
      </c>
      <c r="H851" t="str" cm="1">
        <f t="array" ref="H851">_xlfn.IFS(Grammys[[#This Row],[date]] &gt;= DATE(2022,2,1),"Grammys",TRUE,"Grammys TRA")</f>
        <v>Grammys TRA</v>
      </c>
      <c r="I851">
        <f>_xlfn.XLOOKUP(Grammys[[#This Row],[date]],mobile_visits[date],mobile_visits[mobile_visitors],0)</f>
        <v>0</v>
      </c>
    </row>
    <row r="852" spans="1:9">
      <c r="A852" s="1">
        <v>43586</v>
      </c>
      <c r="B852">
        <v>14844</v>
      </c>
      <c r="C852">
        <v>21638</v>
      </c>
      <c r="D852">
        <v>15593</v>
      </c>
      <c r="E852">
        <v>8499</v>
      </c>
      <c r="F852">
        <v>75</v>
      </c>
      <c r="G852" t="s">
        <v>9</v>
      </c>
      <c r="H852" t="str" cm="1">
        <f t="array" ref="H852">_xlfn.IFS(Grammys[[#This Row],[date]] &gt;= DATE(2022,2,1),"Grammys",TRUE,"Grammys TRA")</f>
        <v>Grammys TRA</v>
      </c>
      <c r="I852">
        <f>_xlfn.XLOOKUP(Grammys[[#This Row],[date]],mobile_visits[date],mobile_visits[mobile_visitors],0)</f>
        <v>0</v>
      </c>
    </row>
    <row r="853" spans="1:9">
      <c r="A853" s="1">
        <v>43587</v>
      </c>
      <c r="B853">
        <v>15210</v>
      </c>
      <c r="C853">
        <v>22163</v>
      </c>
      <c r="D853">
        <v>16028</v>
      </c>
      <c r="E853">
        <v>8672</v>
      </c>
      <c r="F853">
        <v>73</v>
      </c>
      <c r="G853" t="s">
        <v>9</v>
      </c>
      <c r="H853" t="str" cm="1">
        <f t="array" ref="H853">_xlfn.IFS(Grammys[[#This Row],[date]] &gt;= DATE(2022,2,1),"Grammys",TRUE,"Grammys TRA")</f>
        <v>Grammys TRA</v>
      </c>
      <c r="I853">
        <f>_xlfn.XLOOKUP(Grammys[[#This Row],[date]],mobile_visits[date],mobile_visits[mobile_visitors],0)</f>
        <v>0</v>
      </c>
    </row>
    <row r="854" spans="1:9">
      <c r="A854" s="1">
        <v>43588</v>
      </c>
      <c r="B854">
        <v>14414</v>
      </c>
      <c r="C854">
        <v>20158</v>
      </c>
      <c r="D854">
        <v>15074</v>
      </c>
      <c r="E854">
        <v>8418</v>
      </c>
      <c r="F854">
        <v>64</v>
      </c>
      <c r="G854" t="s">
        <v>9</v>
      </c>
      <c r="H854" t="str" cm="1">
        <f t="array" ref="H854">_xlfn.IFS(Grammys[[#This Row],[date]] &gt;= DATE(2022,2,1),"Grammys",TRUE,"Grammys TRA")</f>
        <v>Grammys TRA</v>
      </c>
      <c r="I854">
        <f>_xlfn.XLOOKUP(Grammys[[#This Row],[date]],mobile_visits[date],mobile_visits[mobile_visitors],0)</f>
        <v>0</v>
      </c>
    </row>
    <row r="855" spans="1:9">
      <c r="A855" s="1">
        <v>43589</v>
      </c>
      <c r="B855">
        <v>20138</v>
      </c>
      <c r="C855">
        <v>28287</v>
      </c>
      <c r="D855">
        <v>21140</v>
      </c>
      <c r="E855">
        <v>13744</v>
      </c>
      <c r="F855">
        <v>54</v>
      </c>
      <c r="G855" t="s">
        <v>9</v>
      </c>
      <c r="H855" t="str" cm="1">
        <f t="array" ref="H855">_xlfn.IFS(Grammys[[#This Row],[date]] &gt;= DATE(2022,2,1),"Grammys",TRUE,"Grammys TRA")</f>
        <v>Grammys TRA</v>
      </c>
      <c r="I855">
        <f>_xlfn.XLOOKUP(Grammys[[#This Row],[date]],mobile_visits[date],mobile_visits[mobile_visitors],0)</f>
        <v>0</v>
      </c>
    </row>
    <row r="856" spans="1:9">
      <c r="A856" s="1">
        <v>43590</v>
      </c>
      <c r="B856">
        <v>14305</v>
      </c>
      <c r="C856">
        <v>20290</v>
      </c>
      <c r="D856">
        <v>15040</v>
      </c>
      <c r="E856">
        <v>7537</v>
      </c>
      <c r="F856">
        <v>67</v>
      </c>
      <c r="G856" t="s">
        <v>9</v>
      </c>
      <c r="H856" t="str" cm="1">
        <f t="array" ref="H856">_xlfn.IFS(Grammys[[#This Row],[date]] &gt;= DATE(2022,2,1),"Grammys",TRUE,"Grammys TRA")</f>
        <v>Grammys TRA</v>
      </c>
      <c r="I856">
        <f>_xlfn.XLOOKUP(Grammys[[#This Row],[date]],mobile_visits[date],mobile_visits[mobile_visitors],0)</f>
        <v>0</v>
      </c>
    </row>
    <row r="857" spans="1:9">
      <c r="A857" s="1">
        <v>43591</v>
      </c>
      <c r="B857">
        <v>14208</v>
      </c>
      <c r="C857">
        <v>20349</v>
      </c>
      <c r="D857">
        <v>14838</v>
      </c>
      <c r="E857">
        <v>7882</v>
      </c>
      <c r="F857">
        <v>75</v>
      </c>
      <c r="G857" t="s">
        <v>9</v>
      </c>
      <c r="H857" t="str" cm="1">
        <f t="array" ref="H857">_xlfn.IFS(Grammys[[#This Row],[date]] &gt;= DATE(2022,2,1),"Grammys",TRUE,"Grammys TRA")</f>
        <v>Grammys TRA</v>
      </c>
      <c r="I857">
        <f>_xlfn.XLOOKUP(Grammys[[#This Row],[date]],mobile_visits[date],mobile_visits[mobile_visitors],0)</f>
        <v>0</v>
      </c>
    </row>
    <row r="858" spans="1:9">
      <c r="A858" s="1">
        <v>43592</v>
      </c>
      <c r="B858">
        <v>12787</v>
      </c>
      <c r="C858">
        <v>18378</v>
      </c>
      <c r="D858">
        <v>13436</v>
      </c>
      <c r="E858">
        <v>7307</v>
      </c>
      <c r="F858">
        <v>75</v>
      </c>
      <c r="G858" t="s">
        <v>9</v>
      </c>
      <c r="H858" t="str" cm="1">
        <f t="array" ref="H858">_xlfn.IFS(Grammys[[#This Row],[date]] &gt;= DATE(2022,2,1),"Grammys",TRUE,"Grammys TRA")</f>
        <v>Grammys TRA</v>
      </c>
      <c r="I858">
        <f>_xlfn.XLOOKUP(Grammys[[#This Row],[date]],mobile_visits[date],mobile_visits[mobile_visitors],0)</f>
        <v>0</v>
      </c>
    </row>
    <row r="859" spans="1:9">
      <c r="A859" s="1">
        <v>43593</v>
      </c>
      <c r="B859">
        <v>11946</v>
      </c>
      <c r="C859">
        <v>17483</v>
      </c>
      <c r="D859">
        <v>12736</v>
      </c>
      <c r="E859">
        <v>6925</v>
      </c>
      <c r="F859">
        <v>77</v>
      </c>
      <c r="G859" t="s">
        <v>9</v>
      </c>
      <c r="H859" t="str" cm="1">
        <f t="array" ref="H859">_xlfn.IFS(Grammys[[#This Row],[date]] &gt;= DATE(2022,2,1),"Grammys",TRUE,"Grammys TRA")</f>
        <v>Grammys TRA</v>
      </c>
      <c r="I859">
        <f>_xlfn.XLOOKUP(Grammys[[#This Row],[date]],mobile_visits[date],mobile_visits[mobile_visitors],0)</f>
        <v>0</v>
      </c>
    </row>
    <row r="860" spans="1:9">
      <c r="A860" s="1">
        <v>43594</v>
      </c>
      <c r="B860">
        <v>12415</v>
      </c>
      <c r="C860">
        <v>18017</v>
      </c>
      <c r="D860">
        <v>12926</v>
      </c>
      <c r="E860">
        <v>6622</v>
      </c>
      <c r="F860">
        <v>79</v>
      </c>
      <c r="G860" t="s">
        <v>9</v>
      </c>
      <c r="H860" t="str" cm="1">
        <f t="array" ref="H860">_xlfn.IFS(Grammys[[#This Row],[date]] &gt;= DATE(2022,2,1),"Grammys",TRUE,"Grammys TRA")</f>
        <v>Grammys TRA</v>
      </c>
      <c r="I860">
        <f>_xlfn.XLOOKUP(Grammys[[#This Row],[date]],mobile_visits[date],mobile_visits[mobile_visitors],0)</f>
        <v>0</v>
      </c>
    </row>
    <row r="861" spans="1:9">
      <c r="A861" s="1">
        <v>43595</v>
      </c>
      <c r="B861">
        <v>11853</v>
      </c>
      <c r="C861">
        <v>16821</v>
      </c>
      <c r="D861">
        <v>12402</v>
      </c>
      <c r="E861">
        <v>6412</v>
      </c>
      <c r="F861">
        <v>79</v>
      </c>
      <c r="G861" t="s">
        <v>9</v>
      </c>
      <c r="H861" t="str" cm="1">
        <f t="array" ref="H861">_xlfn.IFS(Grammys[[#This Row],[date]] &gt;= DATE(2022,2,1),"Grammys",TRUE,"Grammys TRA")</f>
        <v>Grammys TRA</v>
      </c>
      <c r="I861">
        <f>_xlfn.XLOOKUP(Grammys[[#This Row],[date]],mobile_visits[date],mobile_visits[mobile_visitors],0)</f>
        <v>0</v>
      </c>
    </row>
    <row r="862" spans="1:9">
      <c r="A862" s="1">
        <v>43596</v>
      </c>
      <c r="B862">
        <v>10256</v>
      </c>
      <c r="C862">
        <v>14932</v>
      </c>
      <c r="D862">
        <v>10865</v>
      </c>
      <c r="E862">
        <v>5946</v>
      </c>
      <c r="F862">
        <v>73</v>
      </c>
      <c r="G862" t="s">
        <v>9</v>
      </c>
      <c r="H862" t="str" cm="1">
        <f t="array" ref="H862">_xlfn.IFS(Grammys[[#This Row],[date]] &gt;= DATE(2022,2,1),"Grammys",TRUE,"Grammys TRA")</f>
        <v>Grammys TRA</v>
      </c>
      <c r="I862">
        <f>_xlfn.XLOOKUP(Grammys[[#This Row],[date]],mobile_visits[date],mobile_visits[mobile_visitors],0)</f>
        <v>0</v>
      </c>
    </row>
    <row r="863" spans="1:9">
      <c r="A863" s="1">
        <v>43597</v>
      </c>
      <c r="B863">
        <v>9656</v>
      </c>
      <c r="C863">
        <v>14281</v>
      </c>
      <c r="D863">
        <v>10297</v>
      </c>
      <c r="E863">
        <v>5692</v>
      </c>
      <c r="F863">
        <v>77</v>
      </c>
      <c r="G863" t="s">
        <v>9</v>
      </c>
      <c r="H863" t="str" cm="1">
        <f t="array" ref="H863">_xlfn.IFS(Grammys[[#This Row],[date]] &gt;= DATE(2022,2,1),"Grammys",TRUE,"Grammys TRA")</f>
        <v>Grammys TRA</v>
      </c>
      <c r="I863">
        <f>_xlfn.XLOOKUP(Grammys[[#This Row],[date]],mobile_visits[date],mobile_visits[mobile_visitors],0)</f>
        <v>0</v>
      </c>
    </row>
    <row r="864" spans="1:9">
      <c r="A864" s="1">
        <v>43598</v>
      </c>
      <c r="B864">
        <v>10554</v>
      </c>
      <c r="C864">
        <v>15211</v>
      </c>
      <c r="D864">
        <v>10980</v>
      </c>
      <c r="E864">
        <v>6056</v>
      </c>
      <c r="F864">
        <v>80</v>
      </c>
      <c r="G864" t="s">
        <v>9</v>
      </c>
      <c r="H864" t="str" cm="1">
        <f t="array" ref="H864">_xlfn.IFS(Grammys[[#This Row],[date]] &gt;= DATE(2022,2,1),"Grammys",TRUE,"Grammys TRA")</f>
        <v>Grammys TRA</v>
      </c>
      <c r="I864">
        <f>_xlfn.XLOOKUP(Grammys[[#This Row],[date]],mobile_visits[date],mobile_visits[mobile_visitors],0)</f>
        <v>0</v>
      </c>
    </row>
    <row r="865" spans="1:9">
      <c r="A865" s="1">
        <v>43599</v>
      </c>
      <c r="B865">
        <v>11229</v>
      </c>
      <c r="C865">
        <v>16285</v>
      </c>
      <c r="D865">
        <v>11863</v>
      </c>
      <c r="E865">
        <v>6574</v>
      </c>
      <c r="F865">
        <v>80</v>
      </c>
      <c r="G865" t="s">
        <v>9</v>
      </c>
      <c r="H865" t="str" cm="1">
        <f t="array" ref="H865">_xlfn.IFS(Grammys[[#This Row],[date]] &gt;= DATE(2022,2,1),"Grammys",TRUE,"Grammys TRA")</f>
        <v>Grammys TRA</v>
      </c>
      <c r="I865">
        <f>_xlfn.XLOOKUP(Grammys[[#This Row],[date]],mobile_visits[date],mobile_visits[mobile_visitors],0)</f>
        <v>0</v>
      </c>
    </row>
    <row r="866" spans="1:9">
      <c r="A866" s="1">
        <v>43600</v>
      </c>
      <c r="B866">
        <v>12654</v>
      </c>
      <c r="C866">
        <v>17915</v>
      </c>
      <c r="D866">
        <v>13232</v>
      </c>
      <c r="E866">
        <v>7503</v>
      </c>
      <c r="F866">
        <v>72</v>
      </c>
      <c r="G866" t="s">
        <v>9</v>
      </c>
      <c r="H866" t="str" cm="1">
        <f t="array" ref="H866">_xlfn.IFS(Grammys[[#This Row],[date]] &gt;= DATE(2022,2,1),"Grammys",TRUE,"Grammys TRA")</f>
        <v>Grammys TRA</v>
      </c>
      <c r="I866">
        <f>_xlfn.XLOOKUP(Grammys[[#This Row],[date]],mobile_visits[date],mobile_visits[mobile_visitors],0)</f>
        <v>0</v>
      </c>
    </row>
    <row r="867" spans="1:9">
      <c r="A867" s="1">
        <v>43601</v>
      </c>
      <c r="B867">
        <v>11777</v>
      </c>
      <c r="C867">
        <v>16651</v>
      </c>
      <c r="D867">
        <v>12321</v>
      </c>
      <c r="E867">
        <v>6830</v>
      </c>
      <c r="F867">
        <v>73</v>
      </c>
      <c r="G867" t="s">
        <v>9</v>
      </c>
      <c r="H867" t="str" cm="1">
        <f t="array" ref="H867">_xlfn.IFS(Grammys[[#This Row],[date]] &gt;= DATE(2022,2,1),"Grammys",TRUE,"Grammys TRA")</f>
        <v>Grammys TRA</v>
      </c>
      <c r="I867">
        <f>_xlfn.XLOOKUP(Grammys[[#This Row],[date]],mobile_visits[date],mobile_visits[mobile_visitors],0)</f>
        <v>0</v>
      </c>
    </row>
    <row r="868" spans="1:9">
      <c r="A868" s="1">
        <v>43602</v>
      </c>
      <c r="B868">
        <v>14610</v>
      </c>
      <c r="C868">
        <v>19451</v>
      </c>
      <c r="D868">
        <v>15306</v>
      </c>
      <c r="E868">
        <v>7650</v>
      </c>
      <c r="F868">
        <v>74</v>
      </c>
      <c r="G868" t="s">
        <v>9</v>
      </c>
      <c r="H868" t="str" cm="1">
        <f t="array" ref="H868">_xlfn.IFS(Grammys[[#This Row],[date]] &gt;= DATE(2022,2,1),"Grammys",TRUE,"Grammys TRA")</f>
        <v>Grammys TRA</v>
      </c>
      <c r="I868">
        <f>_xlfn.XLOOKUP(Grammys[[#This Row],[date]],mobile_visits[date],mobile_visits[mobile_visitors],0)</f>
        <v>0</v>
      </c>
    </row>
    <row r="869" spans="1:9">
      <c r="A869" s="1">
        <v>43603</v>
      </c>
      <c r="B869">
        <v>12154</v>
      </c>
      <c r="C869">
        <v>16288</v>
      </c>
      <c r="D869">
        <v>12765</v>
      </c>
      <c r="E869">
        <v>6306</v>
      </c>
      <c r="F869">
        <v>75</v>
      </c>
      <c r="G869" t="s">
        <v>9</v>
      </c>
      <c r="H869" t="str" cm="1">
        <f t="array" ref="H869">_xlfn.IFS(Grammys[[#This Row],[date]] &gt;= DATE(2022,2,1),"Grammys",TRUE,"Grammys TRA")</f>
        <v>Grammys TRA</v>
      </c>
      <c r="I869">
        <f>_xlfn.XLOOKUP(Grammys[[#This Row],[date]],mobile_visits[date],mobile_visits[mobile_visitors],0)</f>
        <v>0</v>
      </c>
    </row>
    <row r="870" spans="1:9">
      <c r="A870" s="1">
        <v>43604</v>
      </c>
      <c r="B870">
        <v>10019</v>
      </c>
      <c r="C870">
        <v>14221</v>
      </c>
      <c r="D870">
        <v>10436</v>
      </c>
      <c r="E870">
        <v>5498</v>
      </c>
      <c r="F870">
        <v>76</v>
      </c>
      <c r="G870" t="s">
        <v>9</v>
      </c>
      <c r="H870" t="str" cm="1">
        <f t="array" ref="H870">_xlfn.IFS(Grammys[[#This Row],[date]] &gt;= DATE(2022,2,1),"Grammys",TRUE,"Grammys TRA")</f>
        <v>Grammys TRA</v>
      </c>
      <c r="I870">
        <f>_xlfn.XLOOKUP(Grammys[[#This Row],[date]],mobile_visits[date],mobile_visits[mobile_visitors],0)</f>
        <v>0</v>
      </c>
    </row>
    <row r="871" spans="1:9">
      <c r="A871" s="1">
        <v>43605</v>
      </c>
      <c r="B871">
        <v>11498</v>
      </c>
      <c r="C871">
        <v>15855</v>
      </c>
      <c r="D871">
        <v>11640</v>
      </c>
      <c r="E871">
        <v>6271</v>
      </c>
      <c r="F871">
        <v>76</v>
      </c>
      <c r="G871" t="s">
        <v>9</v>
      </c>
      <c r="H871" t="str" cm="1">
        <f t="array" ref="H871">_xlfn.IFS(Grammys[[#This Row],[date]] &gt;= DATE(2022,2,1),"Grammys",TRUE,"Grammys TRA")</f>
        <v>Grammys TRA</v>
      </c>
      <c r="I871">
        <f>_xlfn.XLOOKUP(Grammys[[#This Row],[date]],mobile_visits[date],mobile_visits[mobile_visitors],0)</f>
        <v>0</v>
      </c>
    </row>
    <row r="872" spans="1:9">
      <c r="A872" s="1">
        <v>43606</v>
      </c>
      <c r="B872">
        <v>14228</v>
      </c>
      <c r="C872">
        <v>15865</v>
      </c>
      <c r="D872">
        <v>11914</v>
      </c>
      <c r="E872">
        <v>6305</v>
      </c>
      <c r="F872">
        <v>78</v>
      </c>
      <c r="G872" t="s">
        <v>9</v>
      </c>
      <c r="H872" t="str" cm="1">
        <f t="array" ref="H872">_xlfn.IFS(Grammys[[#This Row],[date]] &gt;= DATE(2022,2,1),"Grammys",TRUE,"Grammys TRA")</f>
        <v>Grammys TRA</v>
      </c>
      <c r="I872">
        <f>_xlfn.XLOOKUP(Grammys[[#This Row],[date]],mobile_visits[date],mobile_visits[mobile_visitors],0)</f>
        <v>0</v>
      </c>
    </row>
    <row r="873" spans="1:9">
      <c r="A873" s="1">
        <v>43607</v>
      </c>
      <c r="B873">
        <v>12342</v>
      </c>
      <c r="C873">
        <v>15532</v>
      </c>
      <c r="D873">
        <v>11637</v>
      </c>
      <c r="E873">
        <v>6589</v>
      </c>
      <c r="F873">
        <v>76</v>
      </c>
      <c r="G873" t="s">
        <v>9</v>
      </c>
      <c r="H873" t="str" cm="1">
        <f t="array" ref="H873">_xlfn.IFS(Grammys[[#This Row],[date]] &gt;= DATE(2022,2,1),"Grammys",TRUE,"Grammys TRA")</f>
        <v>Grammys TRA</v>
      </c>
      <c r="I873">
        <f>_xlfn.XLOOKUP(Grammys[[#This Row],[date]],mobile_visits[date],mobile_visits[mobile_visitors],0)</f>
        <v>0</v>
      </c>
    </row>
    <row r="874" spans="1:9">
      <c r="A874" s="1">
        <v>43608</v>
      </c>
      <c r="B874">
        <v>11233</v>
      </c>
      <c r="C874">
        <v>15575</v>
      </c>
      <c r="D874">
        <v>11582</v>
      </c>
      <c r="E874">
        <v>6587</v>
      </c>
      <c r="F874">
        <v>68</v>
      </c>
      <c r="G874" t="s">
        <v>9</v>
      </c>
      <c r="H874" t="str" cm="1">
        <f t="array" ref="H874">_xlfn.IFS(Grammys[[#This Row],[date]] &gt;= DATE(2022,2,1),"Grammys",TRUE,"Grammys TRA")</f>
        <v>Grammys TRA</v>
      </c>
      <c r="I874">
        <f>_xlfn.XLOOKUP(Grammys[[#This Row],[date]],mobile_visits[date],mobile_visits[mobile_visitors],0)</f>
        <v>0</v>
      </c>
    </row>
    <row r="875" spans="1:9">
      <c r="A875" s="1">
        <v>43609</v>
      </c>
      <c r="B875">
        <v>10679</v>
      </c>
      <c r="C875">
        <v>14604</v>
      </c>
      <c r="D875">
        <v>11051</v>
      </c>
      <c r="E875">
        <v>6255</v>
      </c>
      <c r="F875">
        <v>70</v>
      </c>
      <c r="G875" t="s">
        <v>9</v>
      </c>
      <c r="H875" t="str" cm="1">
        <f t="array" ref="H875">_xlfn.IFS(Grammys[[#This Row],[date]] &gt;= DATE(2022,2,1),"Grammys",TRUE,"Grammys TRA")</f>
        <v>Grammys TRA</v>
      </c>
      <c r="I875">
        <f>_xlfn.XLOOKUP(Grammys[[#This Row],[date]],mobile_visits[date],mobile_visits[mobile_visitors],0)</f>
        <v>0</v>
      </c>
    </row>
    <row r="876" spans="1:9">
      <c r="A876" s="1">
        <v>43610</v>
      </c>
      <c r="B876">
        <v>9352</v>
      </c>
      <c r="C876">
        <v>12768</v>
      </c>
      <c r="D876">
        <v>9638</v>
      </c>
      <c r="E876">
        <v>5343</v>
      </c>
      <c r="F876">
        <v>66</v>
      </c>
      <c r="G876" t="s">
        <v>9</v>
      </c>
      <c r="H876" t="str" cm="1">
        <f t="array" ref="H876">_xlfn.IFS(Grammys[[#This Row],[date]] &gt;= DATE(2022,2,1),"Grammys",TRUE,"Grammys TRA")</f>
        <v>Grammys TRA</v>
      </c>
      <c r="I876">
        <f>_xlfn.XLOOKUP(Grammys[[#This Row],[date]],mobile_visits[date],mobile_visits[mobile_visitors],0)</f>
        <v>0</v>
      </c>
    </row>
    <row r="877" spans="1:9">
      <c r="A877" s="1">
        <v>43611</v>
      </c>
      <c r="B877">
        <v>9113</v>
      </c>
      <c r="C877">
        <v>12922</v>
      </c>
      <c r="D877">
        <v>9487</v>
      </c>
      <c r="E877">
        <v>5126</v>
      </c>
      <c r="F877">
        <v>78</v>
      </c>
      <c r="G877" t="s">
        <v>9</v>
      </c>
      <c r="H877" t="str" cm="1">
        <f t="array" ref="H877">_xlfn.IFS(Grammys[[#This Row],[date]] &gt;= DATE(2022,2,1),"Grammys",TRUE,"Grammys TRA")</f>
        <v>Grammys TRA</v>
      </c>
      <c r="I877">
        <f>_xlfn.XLOOKUP(Grammys[[#This Row],[date]],mobile_visits[date],mobile_visits[mobile_visitors],0)</f>
        <v>0</v>
      </c>
    </row>
    <row r="878" spans="1:9">
      <c r="A878" s="1">
        <v>43612</v>
      </c>
      <c r="B878">
        <v>10675</v>
      </c>
      <c r="C878">
        <v>16479</v>
      </c>
      <c r="D878">
        <v>11319</v>
      </c>
      <c r="E878">
        <v>5892</v>
      </c>
      <c r="F878">
        <v>79</v>
      </c>
      <c r="G878" t="s">
        <v>9</v>
      </c>
      <c r="H878" t="str" cm="1">
        <f t="array" ref="H878">_xlfn.IFS(Grammys[[#This Row],[date]] &gt;= DATE(2022,2,1),"Grammys",TRUE,"Grammys TRA")</f>
        <v>Grammys TRA</v>
      </c>
      <c r="I878">
        <f>_xlfn.XLOOKUP(Grammys[[#This Row],[date]],mobile_visits[date],mobile_visits[mobile_visitors],0)</f>
        <v>0</v>
      </c>
    </row>
    <row r="879" spans="1:9">
      <c r="A879" s="1">
        <v>43613</v>
      </c>
      <c r="B879">
        <v>11156</v>
      </c>
      <c r="C879">
        <v>16027</v>
      </c>
      <c r="D879">
        <v>11631</v>
      </c>
      <c r="E879">
        <v>6412</v>
      </c>
      <c r="F879">
        <v>85</v>
      </c>
      <c r="G879" t="s">
        <v>9</v>
      </c>
      <c r="H879" t="str" cm="1">
        <f t="array" ref="H879">_xlfn.IFS(Grammys[[#This Row],[date]] &gt;= DATE(2022,2,1),"Grammys",TRUE,"Grammys TRA")</f>
        <v>Grammys TRA</v>
      </c>
      <c r="I879">
        <f>_xlfn.XLOOKUP(Grammys[[#This Row],[date]],mobile_visits[date],mobile_visits[mobile_visitors],0)</f>
        <v>0</v>
      </c>
    </row>
    <row r="880" spans="1:9">
      <c r="A880" s="1">
        <v>43614</v>
      </c>
      <c r="B880">
        <v>11724</v>
      </c>
      <c r="C880">
        <v>16378</v>
      </c>
      <c r="D880">
        <v>12371</v>
      </c>
      <c r="E880">
        <v>6250</v>
      </c>
      <c r="F880">
        <v>77</v>
      </c>
      <c r="G880" t="s">
        <v>9</v>
      </c>
      <c r="H880" t="str" cm="1">
        <f t="array" ref="H880">_xlfn.IFS(Grammys[[#This Row],[date]] &gt;= DATE(2022,2,1),"Grammys",TRUE,"Grammys TRA")</f>
        <v>Grammys TRA</v>
      </c>
      <c r="I880">
        <f>_xlfn.XLOOKUP(Grammys[[#This Row],[date]],mobile_visits[date],mobile_visits[mobile_visitors],0)</f>
        <v>0</v>
      </c>
    </row>
    <row r="881" spans="1:9">
      <c r="A881" s="1">
        <v>43615</v>
      </c>
      <c r="B881">
        <v>10534</v>
      </c>
      <c r="C881">
        <v>15021</v>
      </c>
      <c r="D881">
        <v>10974</v>
      </c>
      <c r="E881">
        <v>6215</v>
      </c>
      <c r="F881">
        <v>76</v>
      </c>
      <c r="G881" t="s">
        <v>9</v>
      </c>
      <c r="H881" t="str" cm="1">
        <f t="array" ref="H881">_xlfn.IFS(Grammys[[#This Row],[date]] &gt;= DATE(2022,2,1),"Grammys",TRUE,"Grammys TRA")</f>
        <v>Grammys TRA</v>
      </c>
      <c r="I881">
        <f>_xlfn.XLOOKUP(Grammys[[#This Row],[date]],mobile_visits[date],mobile_visits[mobile_visitors],0)</f>
        <v>0</v>
      </c>
    </row>
    <row r="882" spans="1:9">
      <c r="A882" s="1">
        <v>43616</v>
      </c>
      <c r="B882">
        <v>11459</v>
      </c>
      <c r="C882">
        <v>15778</v>
      </c>
      <c r="D882">
        <v>11969</v>
      </c>
      <c r="E882">
        <v>7073</v>
      </c>
      <c r="F882">
        <v>65</v>
      </c>
      <c r="G882" t="s">
        <v>9</v>
      </c>
      <c r="H882" t="str" cm="1">
        <f t="array" ref="H882">_xlfn.IFS(Grammys[[#This Row],[date]] &gt;= DATE(2022,2,1),"Grammys",TRUE,"Grammys TRA")</f>
        <v>Grammys TRA</v>
      </c>
      <c r="I882">
        <f>_xlfn.XLOOKUP(Grammys[[#This Row],[date]],mobile_visits[date],mobile_visits[mobile_visitors],0)</f>
        <v>0</v>
      </c>
    </row>
    <row r="883" spans="1:9">
      <c r="A883" s="1">
        <v>43617</v>
      </c>
      <c r="B883">
        <v>10969</v>
      </c>
      <c r="C883">
        <v>15236</v>
      </c>
      <c r="D883">
        <v>11465</v>
      </c>
      <c r="E883">
        <v>6242</v>
      </c>
      <c r="F883">
        <v>69</v>
      </c>
      <c r="G883" t="s">
        <v>9</v>
      </c>
      <c r="H883" t="str" cm="1">
        <f t="array" ref="H883">_xlfn.IFS(Grammys[[#This Row],[date]] &gt;= DATE(2022,2,1),"Grammys",TRUE,"Grammys TRA")</f>
        <v>Grammys TRA</v>
      </c>
      <c r="I883">
        <f>_xlfn.XLOOKUP(Grammys[[#This Row],[date]],mobile_visits[date],mobile_visits[mobile_visitors],0)</f>
        <v>0</v>
      </c>
    </row>
    <row r="884" spans="1:9">
      <c r="A884" s="1">
        <v>43618</v>
      </c>
      <c r="B884">
        <v>10684</v>
      </c>
      <c r="C884">
        <v>14872</v>
      </c>
      <c r="D884">
        <v>11120</v>
      </c>
      <c r="E884">
        <v>5924</v>
      </c>
      <c r="F884">
        <v>76</v>
      </c>
      <c r="G884" t="s">
        <v>9</v>
      </c>
      <c r="H884" t="str" cm="1">
        <f t="array" ref="H884">_xlfn.IFS(Grammys[[#This Row],[date]] &gt;= DATE(2022,2,1),"Grammys",TRUE,"Grammys TRA")</f>
        <v>Grammys TRA</v>
      </c>
      <c r="I884">
        <f>_xlfn.XLOOKUP(Grammys[[#This Row],[date]],mobile_visits[date],mobile_visits[mobile_visitors],0)</f>
        <v>0</v>
      </c>
    </row>
    <row r="885" spans="1:9">
      <c r="A885" s="1">
        <v>43619</v>
      </c>
      <c r="B885">
        <v>11660</v>
      </c>
      <c r="C885">
        <v>16527</v>
      </c>
      <c r="D885">
        <v>12255</v>
      </c>
      <c r="E885">
        <v>6807</v>
      </c>
      <c r="F885">
        <v>77</v>
      </c>
      <c r="G885" t="s">
        <v>9</v>
      </c>
      <c r="H885" t="str" cm="1">
        <f t="array" ref="H885">_xlfn.IFS(Grammys[[#This Row],[date]] &gt;= DATE(2022,2,1),"Grammys",TRUE,"Grammys TRA")</f>
        <v>Grammys TRA</v>
      </c>
      <c r="I885">
        <f>_xlfn.XLOOKUP(Grammys[[#This Row],[date]],mobile_visits[date],mobile_visits[mobile_visitors],0)</f>
        <v>0</v>
      </c>
    </row>
    <row r="886" spans="1:9">
      <c r="A886" s="1">
        <v>43620</v>
      </c>
      <c r="B886">
        <v>11449</v>
      </c>
      <c r="C886">
        <v>16748</v>
      </c>
      <c r="D886">
        <v>12103</v>
      </c>
      <c r="E886">
        <v>6819</v>
      </c>
      <c r="F886">
        <v>78</v>
      </c>
      <c r="G886" t="s">
        <v>9</v>
      </c>
      <c r="H886" t="str" cm="1">
        <f t="array" ref="H886">_xlfn.IFS(Grammys[[#This Row],[date]] &gt;= DATE(2022,2,1),"Grammys",TRUE,"Grammys TRA")</f>
        <v>Grammys TRA</v>
      </c>
      <c r="I886">
        <f>_xlfn.XLOOKUP(Grammys[[#This Row],[date]],mobile_visits[date],mobile_visits[mobile_visitors],0)</f>
        <v>0</v>
      </c>
    </row>
    <row r="887" spans="1:9">
      <c r="A887" s="1">
        <v>43621</v>
      </c>
      <c r="B887">
        <v>11164</v>
      </c>
      <c r="C887">
        <v>16837</v>
      </c>
      <c r="D887">
        <v>12042</v>
      </c>
      <c r="E887">
        <v>6803</v>
      </c>
      <c r="F887">
        <v>78</v>
      </c>
      <c r="G887" t="s">
        <v>9</v>
      </c>
      <c r="H887" t="str" cm="1">
        <f t="array" ref="H887">_xlfn.IFS(Grammys[[#This Row],[date]] &gt;= DATE(2022,2,1),"Grammys",TRUE,"Grammys TRA")</f>
        <v>Grammys TRA</v>
      </c>
      <c r="I887">
        <f>_xlfn.XLOOKUP(Grammys[[#This Row],[date]],mobile_visits[date],mobile_visits[mobile_visitors],0)</f>
        <v>0</v>
      </c>
    </row>
    <row r="888" spans="1:9">
      <c r="A888" s="1">
        <v>43622</v>
      </c>
      <c r="B888">
        <v>40281</v>
      </c>
      <c r="C888">
        <v>56659</v>
      </c>
      <c r="D888">
        <v>46050</v>
      </c>
      <c r="E888">
        <v>13940</v>
      </c>
      <c r="F888">
        <v>73</v>
      </c>
      <c r="G888" t="s">
        <v>9</v>
      </c>
      <c r="H888" t="str" cm="1">
        <f t="array" ref="H888">_xlfn.IFS(Grammys[[#This Row],[date]] &gt;= DATE(2022,2,1),"Grammys",TRUE,"Grammys TRA")</f>
        <v>Grammys TRA</v>
      </c>
      <c r="I888">
        <f>_xlfn.XLOOKUP(Grammys[[#This Row],[date]],mobile_visits[date],mobile_visits[mobile_visitors],0)</f>
        <v>0</v>
      </c>
    </row>
    <row r="889" spans="1:9">
      <c r="A889" s="1">
        <v>43623</v>
      </c>
      <c r="B889">
        <v>18913</v>
      </c>
      <c r="C889">
        <v>26064</v>
      </c>
      <c r="D889">
        <v>20341</v>
      </c>
      <c r="E889">
        <v>8981</v>
      </c>
      <c r="F889">
        <v>67</v>
      </c>
      <c r="G889" t="s">
        <v>9</v>
      </c>
      <c r="H889" t="str" cm="1">
        <f t="array" ref="H889">_xlfn.IFS(Grammys[[#This Row],[date]] &gt;= DATE(2022,2,1),"Grammys",TRUE,"Grammys TRA")</f>
        <v>Grammys TRA</v>
      </c>
      <c r="I889">
        <f>_xlfn.XLOOKUP(Grammys[[#This Row],[date]],mobile_visits[date],mobile_visits[mobile_visitors],0)</f>
        <v>0</v>
      </c>
    </row>
    <row r="890" spans="1:9">
      <c r="A890" s="1">
        <v>43624</v>
      </c>
      <c r="B890">
        <v>12351</v>
      </c>
      <c r="C890">
        <v>17243</v>
      </c>
      <c r="D890">
        <v>13046</v>
      </c>
      <c r="E890">
        <v>6745</v>
      </c>
      <c r="F890">
        <v>68</v>
      </c>
      <c r="G890" t="s">
        <v>9</v>
      </c>
      <c r="H890" t="str" cm="1">
        <f t="array" ref="H890">_xlfn.IFS(Grammys[[#This Row],[date]] &gt;= DATE(2022,2,1),"Grammys",TRUE,"Grammys TRA")</f>
        <v>Grammys TRA</v>
      </c>
      <c r="I890">
        <f>_xlfn.XLOOKUP(Grammys[[#This Row],[date]],mobile_visits[date],mobile_visits[mobile_visitors],0)</f>
        <v>0</v>
      </c>
    </row>
    <row r="891" spans="1:9">
      <c r="A891" s="1">
        <v>43625</v>
      </c>
      <c r="B891">
        <v>13720</v>
      </c>
      <c r="C891">
        <v>19221</v>
      </c>
      <c r="D891">
        <v>14506</v>
      </c>
      <c r="E891">
        <v>7307</v>
      </c>
      <c r="F891">
        <v>75</v>
      </c>
      <c r="G891" t="s">
        <v>9</v>
      </c>
      <c r="H891" t="str" cm="1">
        <f t="array" ref="H891">_xlfn.IFS(Grammys[[#This Row],[date]] &gt;= DATE(2022,2,1),"Grammys",TRUE,"Grammys TRA")</f>
        <v>Grammys TRA</v>
      </c>
      <c r="I891">
        <f>_xlfn.XLOOKUP(Grammys[[#This Row],[date]],mobile_visits[date],mobile_visits[mobile_visitors],0)</f>
        <v>0</v>
      </c>
    </row>
    <row r="892" spans="1:9">
      <c r="A892" s="1">
        <v>43626</v>
      </c>
      <c r="B892">
        <v>14512</v>
      </c>
      <c r="C892">
        <v>21045</v>
      </c>
      <c r="D892">
        <v>15303</v>
      </c>
      <c r="E892">
        <v>7813</v>
      </c>
      <c r="F892">
        <v>75</v>
      </c>
      <c r="G892" t="s">
        <v>9</v>
      </c>
      <c r="H892" t="str" cm="1">
        <f t="array" ref="H892">_xlfn.IFS(Grammys[[#This Row],[date]] &gt;= DATE(2022,2,1),"Grammys",TRUE,"Grammys TRA")</f>
        <v>Grammys TRA</v>
      </c>
      <c r="I892">
        <f>_xlfn.XLOOKUP(Grammys[[#This Row],[date]],mobile_visits[date],mobile_visits[mobile_visitors],0)</f>
        <v>0</v>
      </c>
    </row>
    <row r="893" spans="1:9">
      <c r="A893" s="1">
        <v>43627</v>
      </c>
      <c r="B893">
        <v>14209</v>
      </c>
      <c r="C893">
        <v>20085</v>
      </c>
      <c r="D893">
        <v>14991</v>
      </c>
      <c r="E893">
        <v>7159</v>
      </c>
      <c r="F893">
        <v>83</v>
      </c>
      <c r="G893" t="s">
        <v>9</v>
      </c>
      <c r="H893" t="str" cm="1">
        <f t="array" ref="H893">_xlfn.IFS(Grammys[[#This Row],[date]] &gt;= DATE(2022,2,1),"Grammys",TRUE,"Grammys TRA")</f>
        <v>Grammys TRA</v>
      </c>
      <c r="I893">
        <f>_xlfn.XLOOKUP(Grammys[[#This Row],[date]],mobile_visits[date],mobile_visits[mobile_visitors],0)</f>
        <v>0</v>
      </c>
    </row>
    <row r="894" spans="1:9">
      <c r="A894" s="1">
        <v>43628</v>
      </c>
      <c r="B894">
        <v>21372</v>
      </c>
      <c r="C894">
        <v>28002</v>
      </c>
      <c r="D894">
        <v>22469</v>
      </c>
      <c r="E894">
        <v>8975</v>
      </c>
      <c r="F894">
        <v>92</v>
      </c>
      <c r="G894" t="s">
        <v>9</v>
      </c>
      <c r="H894" t="str" cm="1">
        <f t="array" ref="H894">_xlfn.IFS(Grammys[[#This Row],[date]] &gt;= DATE(2022,2,1),"Grammys",TRUE,"Grammys TRA")</f>
        <v>Grammys TRA</v>
      </c>
      <c r="I894">
        <f>_xlfn.XLOOKUP(Grammys[[#This Row],[date]],mobile_visits[date],mobile_visits[mobile_visitors],0)</f>
        <v>0</v>
      </c>
    </row>
    <row r="895" spans="1:9">
      <c r="A895" s="1">
        <v>43629</v>
      </c>
      <c r="B895">
        <v>19877</v>
      </c>
      <c r="C895">
        <v>27064</v>
      </c>
      <c r="D895">
        <v>21102</v>
      </c>
      <c r="E895">
        <v>12664</v>
      </c>
      <c r="F895">
        <v>66</v>
      </c>
      <c r="G895" t="s">
        <v>9</v>
      </c>
      <c r="H895" t="str" cm="1">
        <f t="array" ref="H895">_xlfn.IFS(Grammys[[#This Row],[date]] &gt;= DATE(2022,2,1),"Grammys",TRUE,"Grammys TRA")</f>
        <v>Grammys TRA</v>
      </c>
      <c r="I895">
        <f>_xlfn.XLOOKUP(Grammys[[#This Row],[date]],mobile_visits[date],mobile_visits[mobile_visitors],0)</f>
        <v>0</v>
      </c>
    </row>
    <row r="896" spans="1:9">
      <c r="A896" s="1">
        <v>43630</v>
      </c>
      <c r="B896">
        <v>14693</v>
      </c>
      <c r="C896">
        <v>20061</v>
      </c>
      <c r="D896">
        <v>15590</v>
      </c>
      <c r="E896">
        <v>9417</v>
      </c>
      <c r="F896">
        <v>60</v>
      </c>
      <c r="G896" t="s">
        <v>9</v>
      </c>
      <c r="H896" t="str" cm="1">
        <f t="array" ref="H896">_xlfn.IFS(Grammys[[#This Row],[date]] &gt;= DATE(2022,2,1),"Grammys",TRUE,"Grammys TRA")</f>
        <v>Grammys TRA</v>
      </c>
      <c r="I896">
        <f>_xlfn.XLOOKUP(Grammys[[#This Row],[date]],mobile_visits[date],mobile_visits[mobile_visitors],0)</f>
        <v>0</v>
      </c>
    </row>
    <row r="897" spans="1:9">
      <c r="A897" s="1">
        <v>43631</v>
      </c>
      <c r="B897">
        <v>11110</v>
      </c>
      <c r="C897">
        <v>15609</v>
      </c>
      <c r="D897">
        <v>11895</v>
      </c>
      <c r="E897">
        <v>6897</v>
      </c>
      <c r="F897">
        <v>60</v>
      </c>
      <c r="G897" t="s">
        <v>9</v>
      </c>
      <c r="H897" t="str" cm="1">
        <f t="array" ref="H897">_xlfn.IFS(Grammys[[#This Row],[date]] &gt;= DATE(2022,2,1),"Grammys",TRUE,"Grammys TRA")</f>
        <v>Grammys TRA</v>
      </c>
      <c r="I897">
        <f>_xlfn.XLOOKUP(Grammys[[#This Row],[date]],mobile_visits[date],mobile_visits[mobile_visitors],0)</f>
        <v>0</v>
      </c>
    </row>
    <row r="898" spans="1:9">
      <c r="A898" s="1">
        <v>43632</v>
      </c>
      <c r="B898">
        <v>10239</v>
      </c>
      <c r="C898">
        <v>14384</v>
      </c>
      <c r="D898">
        <v>10646</v>
      </c>
      <c r="E898">
        <v>5951</v>
      </c>
      <c r="F898">
        <v>77</v>
      </c>
      <c r="G898" t="s">
        <v>9</v>
      </c>
      <c r="H898" t="str" cm="1">
        <f t="array" ref="H898">_xlfn.IFS(Grammys[[#This Row],[date]] &gt;= DATE(2022,2,1),"Grammys",TRUE,"Grammys TRA")</f>
        <v>Grammys TRA</v>
      </c>
      <c r="I898">
        <f>_xlfn.XLOOKUP(Grammys[[#This Row],[date]],mobile_visits[date],mobile_visits[mobile_visitors],0)</f>
        <v>0</v>
      </c>
    </row>
    <row r="899" spans="1:9">
      <c r="A899" s="1">
        <v>43633</v>
      </c>
      <c r="B899">
        <v>11403</v>
      </c>
      <c r="C899">
        <v>16328</v>
      </c>
      <c r="D899">
        <v>11956</v>
      </c>
      <c r="E899">
        <v>6839</v>
      </c>
      <c r="F899">
        <v>71</v>
      </c>
      <c r="G899" t="s">
        <v>9</v>
      </c>
      <c r="H899" t="str" cm="1">
        <f t="array" ref="H899">_xlfn.IFS(Grammys[[#This Row],[date]] &gt;= DATE(2022,2,1),"Grammys",TRUE,"Grammys TRA")</f>
        <v>Grammys TRA</v>
      </c>
      <c r="I899">
        <f>_xlfn.XLOOKUP(Grammys[[#This Row],[date]],mobile_visits[date],mobile_visits[mobile_visitors],0)</f>
        <v>0</v>
      </c>
    </row>
    <row r="900" spans="1:9">
      <c r="A900" s="1">
        <v>43634</v>
      </c>
      <c r="B900">
        <v>11317</v>
      </c>
      <c r="C900">
        <v>16183</v>
      </c>
      <c r="D900">
        <v>11856</v>
      </c>
      <c r="E900">
        <v>6490</v>
      </c>
      <c r="F900">
        <v>73</v>
      </c>
      <c r="G900" t="s">
        <v>9</v>
      </c>
      <c r="H900" t="str" cm="1">
        <f t="array" ref="H900">_xlfn.IFS(Grammys[[#This Row],[date]] &gt;= DATE(2022,2,1),"Grammys",TRUE,"Grammys TRA")</f>
        <v>Grammys TRA</v>
      </c>
      <c r="I900">
        <f>_xlfn.XLOOKUP(Grammys[[#This Row],[date]],mobile_visits[date],mobile_visits[mobile_visitors],0)</f>
        <v>0</v>
      </c>
    </row>
    <row r="901" spans="1:9">
      <c r="A901" s="1">
        <v>43635</v>
      </c>
      <c r="B901">
        <v>11584</v>
      </c>
      <c r="C901">
        <v>16593</v>
      </c>
      <c r="D901">
        <v>12058</v>
      </c>
      <c r="E901">
        <v>6772</v>
      </c>
      <c r="F901">
        <v>75</v>
      </c>
      <c r="G901" t="s">
        <v>9</v>
      </c>
      <c r="H901" t="str" cm="1">
        <f t="array" ref="H901">_xlfn.IFS(Grammys[[#This Row],[date]] &gt;= DATE(2022,2,1),"Grammys",TRUE,"Grammys TRA")</f>
        <v>Grammys TRA</v>
      </c>
      <c r="I901">
        <f>_xlfn.XLOOKUP(Grammys[[#This Row],[date]],mobile_visits[date],mobile_visits[mobile_visitors],0)</f>
        <v>0</v>
      </c>
    </row>
    <row r="902" spans="1:9">
      <c r="A902" s="1">
        <v>43636</v>
      </c>
      <c r="B902">
        <v>15610</v>
      </c>
      <c r="C902">
        <v>21956</v>
      </c>
      <c r="D902">
        <v>16638</v>
      </c>
      <c r="E902">
        <v>9278</v>
      </c>
      <c r="F902">
        <v>68</v>
      </c>
      <c r="G902" t="s">
        <v>9</v>
      </c>
      <c r="H902" t="str" cm="1">
        <f t="array" ref="H902">_xlfn.IFS(Grammys[[#This Row],[date]] &gt;= DATE(2022,2,1),"Grammys",TRUE,"Grammys TRA")</f>
        <v>Grammys TRA</v>
      </c>
      <c r="I902">
        <f>_xlfn.XLOOKUP(Grammys[[#This Row],[date]],mobile_visits[date],mobile_visits[mobile_visitors],0)</f>
        <v>0</v>
      </c>
    </row>
    <row r="903" spans="1:9">
      <c r="A903" s="1">
        <v>43637</v>
      </c>
      <c r="B903">
        <v>14676</v>
      </c>
      <c r="C903">
        <v>20373</v>
      </c>
      <c r="D903">
        <v>15467</v>
      </c>
      <c r="E903">
        <v>7635</v>
      </c>
      <c r="F903">
        <v>72</v>
      </c>
      <c r="G903" t="s">
        <v>9</v>
      </c>
      <c r="H903" t="str" cm="1">
        <f t="array" ref="H903">_xlfn.IFS(Grammys[[#This Row],[date]] &gt;= DATE(2022,2,1),"Grammys",TRUE,"Grammys TRA")</f>
        <v>Grammys TRA</v>
      </c>
      <c r="I903">
        <f>_xlfn.XLOOKUP(Grammys[[#This Row],[date]],mobile_visits[date],mobile_visits[mobile_visitors],0)</f>
        <v>0</v>
      </c>
    </row>
    <row r="904" spans="1:9">
      <c r="A904" s="1">
        <v>43638</v>
      </c>
      <c r="B904">
        <v>14357</v>
      </c>
      <c r="C904">
        <v>19722</v>
      </c>
      <c r="D904">
        <v>14972</v>
      </c>
      <c r="E904">
        <v>7527</v>
      </c>
      <c r="F904">
        <v>67</v>
      </c>
      <c r="G904" t="s">
        <v>9</v>
      </c>
      <c r="H904" t="str" cm="1">
        <f t="array" ref="H904">_xlfn.IFS(Grammys[[#This Row],[date]] &gt;= DATE(2022,2,1),"Grammys",TRUE,"Grammys TRA")</f>
        <v>Grammys TRA</v>
      </c>
      <c r="I904">
        <f>_xlfn.XLOOKUP(Grammys[[#This Row],[date]],mobile_visits[date],mobile_visits[mobile_visitors],0)</f>
        <v>0</v>
      </c>
    </row>
    <row r="905" spans="1:9">
      <c r="A905" s="1">
        <v>43639</v>
      </c>
      <c r="B905">
        <v>12298</v>
      </c>
      <c r="C905">
        <v>17456</v>
      </c>
      <c r="D905">
        <v>13042</v>
      </c>
      <c r="E905">
        <v>6842</v>
      </c>
      <c r="F905">
        <v>73</v>
      </c>
      <c r="G905" t="s">
        <v>9</v>
      </c>
      <c r="H905" t="str" cm="1">
        <f t="array" ref="H905">_xlfn.IFS(Grammys[[#This Row],[date]] &gt;= DATE(2022,2,1),"Grammys",TRUE,"Grammys TRA")</f>
        <v>Grammys TRA</v>
      </c>
      <c r="I905">
        <f>_xlfn.XLOOKUP(Grammys[[#This Row],[date]],mobile_visits[date],mobile_visits[mobile_visitors],0)</f>
        <v>0</v>
      </c>
    </row>
    <row r="906" spans="1:9">
      <c r="A906" s="1">
        <v>43640</v>
      </c>
      <c r="B906">
        <v>12318</v>
      </c>
      <c r="C906">
        <v>18682</v>
      </c>
      <c r="D906">
        <v>13097</v>
      </c>
      <c r="E906">
        <v>6786</v>
      </c>
      <c r="F906">
        <v>84</v>
      </c>
      <c r="G906" t="s">
        <v>9</v>
      </c>
      <c r="H906" t="str" cm="1">
        <f t="array" ref="H906">_xlfn.IFS(Grammys[[#This Row],[date]] &gt;= DATE(2022,2,1),"Grammys",TRUE,"Grammys TRA")</f>
        <v>Grammys TRA</v>
      </c>
      <c r="I906">
        <f>_xlfn.XLOOKUP(Grammys[[#This Row],[date]],mobile_visits[date],mobile_visits[mobile_visitors],0)</f>
        <v>0</v>
      </c>
    </row>
    <row r="907" spans="1:9">
      <c r="A907" s="1">
        <v>43641</v>
      </c>
      <c r="B907">
        <v>18073</v>
      </c>
      <c r="C907">
        <v>25187</v>
      </c>
      <c r="D907">
        <v>19304</v>
      </c>
      <c r="E907">
        <v>9631</v>
      </c>
      <c r="F907">
        <v>69</v>
      </c>
      <c r="G907" t="s">
        <v>9</v>
      </c>
      <c r="H907" t="str" cm="1">
        <f t="array" ref="H907">_xlfn.IFS(Grammys[[#This Row],[date]] &gt;= DATE(2022,2,1),"Grammys",TRUE,"Grammys TRA")</f>
        <v>Grammys TRA</v>
      </c>
      <c r="I907">
        <f>_xlfn.XLOOKUP(Grammys[[#This Row],[date]],mobile_visits[date],mobile_visits[mobile_visitors],0)</f>
        <v>0</v>
      </c>
    </row>
    <row r="908" spans="1:9">
      <c r="A908" s="1">
        <v>43642</v>
      </c>
      <c r="B908">
        <v>14551</v>
      </c>
      <c r="C908">
        <v>20882</v>
      </c>
      <c r="D908">
        <v>15452</v>
      </c>
      <c r="E908">
        <v>7535</v>
      </c>
      <c r="F908">
        <v>75</v>
      </c>
      <c r="G908" t="s">
        <v>9</v>
      </c>
      <c r="H908" t="str" cm="1">
        <f t="array" ref="H908">_xlfn.IFS(Grammys[[#This Row],[date]] &gt;= DATE(2022,2,1),"Grammys",TRUE,"Grammys TRA")</f>
        <v>Grammys TRA</v>
      </c>
      <c r="I908">
        <f>_xlfn.XLOOKUP(Grammys[[#This Row],[date]],mobile_visits[date],mobile_visits[mobile_visitors],0)</f>
        <v>0</v>
      </c>
    </row>
    <row r="909" spans="1:9">
      <c r="A909" s="1">
        <v>43643</v>
      </c>
      <c r="B909">
        <v>16932</v>
      </c>
      <c r="C909">
        <v>22637</v>
      </c>
      <c r="D909">
        <v>17748</v>
      </c>
      <c r="E909">
        <v>6871</v>
      </c>
      <c r="F909">
        <v>82</v>
      </c>
      <c r="G909" t="s">
        <v>9</v>
      </c>
      <c r="H909" t="str" cm="1">
        <f t="array" ref="H909">_xlfn.IFS(Grammys[[#This Row],[date]] &gt;= DATE(2022,2,1),"Grammys",TRUE,"Grammys TRA")</f>
        <v>Grammys TRA</v>
      </c>
      <c r="I909">
        <f>_xlfn.XLOOKUP(Grammys[[#This Row],[date]],mobile_visits[date],mobile_visits[mobile_visitors],0)</f>
        <v>0</v>
      </c>
    </row>
    <row r="910" spans="1:9">
      <c r="A910" s="1">
        <v>43644</v>
      </c>
      <c r="B910">
        <v>13384</v>
      </c>
      <c r="C910">
        <v>18785</v>
      </c>
      <c r="D910">
        <v>14264</v>
      </c>
      <c r="E910">
        <v>6244</v>
      </c>
      <c r="F910">
        <v>91</v>
      </c>
      <c r="G910" t="s">
        <v>9</v>
      </c>
      <c r="H910" t="str" cm="1">
        <f t="array" ref="H910">_xlfn.IFS(Grammys[[#This Row],[date]] &gt;= DATE(2022,2,1),"Grammys",TRUE,"Grammys TRA")</f>
        <v>Grammys TRA</v>
      </c>
      <c r="I910">
        <f>_xlfn.XLOOKUP(Grammys[[#This Row],[date]],mobile_visits[date],mobile_visits[mobile_visitors],0)</f>
        <v>0</v>
      </c>
    </row>
    <row r="911" spans="1:9">
      <c r="A911" s="1">
        <v>43645</v>
      </c>
      <c r="B911">
        <v>11742</v>
      </c>
      <c r="C911">
        <v>16665</v>
      </c>
      <c r="D911">
        <v>12474</v>
      </c>
      <c r="E911">
        <v>7238</v>
      </c>
      <c r="F911">
        <v>73</v>
      </c>
      <c r="G911" t="s">
        <v>9</v>
      </c>
      <c r="H911" t="str" cm="1">
        <f t="array" ref="H911">_xlfn.IFS(Grammys[[#This Row],[date]] &gt;= DATE(2022,2,1),"Grammys",TRUE,"Grammys TRA")</f>
        <v>Grammys TRA</v>
      </c>
      <c r="I911">
        <f>_xlfn.XLOOKUP(Grammys[[#This Row],[date]],mobile_visits[date],mobile_visits[mobile_visitors],0)</f>
        <v>0</v>
      </c>
    </row>
    <row r="912" spans="1:9">
      <c r="A912" s="1">
        <v>43646</v>
      </c>
      <c r="B912">
        <v>10061</v>
      </c>
      <c r="C912">
        <v>14381</v>
      </c>
      <c r="D912">
        <v>10608</v>
      </c>
      <c r="E912">
        <v>5778</v>
      </c>
      <c r="F912">
        <v>77</v>
      </c>
      <c r="G912" t="s">
        <v>9</v>
      </c>
      <c r="H912" t="str" cm="1">
        <f t="array" ref="H912">_xlfn.IFS(Grammys[[#This Row],[date]] &gt;= DATE(2022,2,1),"Grammys",TRUE,"Grammys TRA")</f>
        <v>Grammys TRA</v>
      </c>
      <c r="I912">
        <f>_xlfn.XLOOKUP(Grammys[[#This Row],[date]],mobile_visits[date],mobile_visits[mobile_visitors],0)</f>
        <v>0</v>
      </c>
    </row>
    <row r="913" spans="1:9">
      <c r="A913" s="1">
        <v>43647</v>
      </c>
      <c r="B913">
        <v>10324</v>
      </c>
      <c r="C913">
        <v>15336</v>
      </c>
      <c r="D913">
        <v>11026</v>
      </c>
      <c r="E913">
        <v>5762</v>
      </c>
      <c r="F913">
        <v>86</v>
      </c>
      <c r="G913" t="s">
        <v>9</v>
      </c>
      <c r="H913" t="str" cm="1">
        <f t="array" ref="H913">_xlfn.IFS(Grammys[[#This Row],[date]] &gt;= DATE(2022,2,1),"Grammys",TRUE,"Grammys TRA")</f>
        <v>Grammys TRA</v>
      </c>
      <c r="I913">
        <f>_xlfn.XLOOKUP(Grammys[[#This Row],[date]],mobile_visits[date],mobile_visits[mobile_visitors],0)</f>
        <v>0</v>
      </c>
    </row>
    <row r="914" spans="1:9">
      <c r="A914" s="1">
        <v>43648</v>
      </c>
      <c r="B914">
        <v>10654</v>
      </c>
      <c r="C914">
        <v>15798</v>
      </c>
      <c r="D914">
        <v>11292</v>
      </c>
      <c r="E914">
        <v>5942</v>
      </c>
      <c r="F914">
        <v>86</v>
      </c>
      <c r="G914" t="s">
        <v>9</v>
      </c>
      <c r="H914" t="str" cm="1">
        <f t="array" ref="H914">_xlfn.IFS(Grammys[[#This Row],[date]] &gt;= DATE(2022,2,1),"Grammys",TRUE,"Grammys TRA")</f>
        <v>Grammys TRA</v>
      </c>
      <c r="I914">
        <f>_xlfn.XLOOKUP(Grammys[[#This Row],[date]],mobile_visits[date],mobile_visits[mobile_visitors],0)</f>
        <v>0</v>
      </c>
    </row>
    <row r="915" spans="1:9">
      <c r="A915" s="1">
        <v>43649</v>
      </c>
      <c r="B915">
        <v>10118</v>
      </c>
      <c r="C915">
        <v>14952</v>
      </c>
      <c r="D915">
        <v>10768</v>
      </c>
      <c r="E915">
        <v>5596</v>
      </c>
      <c r="F915">
        <v>87</v>
      </c>
      <c r="G915" t="s">
        <v>9</v>
      </c>
      <c r="H915" t="str" cm="1">
        <f t="array" ref="H915">_xlfn.IFS(Grammys[[#This Row],[date]] &gt;= DATE(2022,2,1),"Grammys",TRUE,"Grammys TRA")</f>
        <v>Grammys TRA</v>
      </c>
      <c r="I915">
        <f>_xlfn.XLOOKUP(Grammys[[#This Row],[date]],mobile_visits[date],mobile_visits[mobile_visitors],0)</f>
        <v>0</v>
      </c>
    </row>
    <row r="916" spans="1:9">
      <c r="A916" s="1">
        <v>43650</v>
      </c>
      <c r="B916">
        <v>9032</v>
      </c>
      <c r="C916">
        <v>12833</v>
      </c>
      <c r="D916">
        <v>9506</v>
      </c>
      <c r="E916">
        <v>5037</v>
      </c>
      <c r="F916">
        <v>76</v>
      </c>
      <c r="G916" t="s">
        <v>9</v>
      </c>
      <c r="H916" t="str" cm="1">
        <f t="array" ref="H916">_xlfn.IFS(Grammys[[#This Row],[date]] &gt;= DATE(2022,2,1),"Grammys",TRUE,"Grammys TRA")</f>
        <v>Grammys TRA</v>
      </c>
      <c r="I916">
        <f>_xlfn.XLOOKUP(Grammys[[#This Row],[date]],mobile_visits[date],mobile_visits[mobile_visitors],0)</f>
        <v>0</v>
      </c>
    </row>
    <row r="917" spans="1:9">
      <c r="A917" s="1">
        <v>43651</v>
      </c>
      <c r="B917">
        <v>8669</v>
      </c>
      <c r="C917">
        <v>12947</v>
      </c>
      <c r="D917">
        <v>9276</v>
      </c>
      <c r="E917">
        <v>5110</v>
      </c>
      <c r="F917">
        <v>79</v>
      </c>
      <c r="G917" t="s">
        <v>9</v>
      </c>
      <c r="H917" t="str" cm="1">
        <f t="array" ref="H917">_xlfn.IFS(Grammys[[#This Row],[date]] &gt;= DATE(2022,2,1),"Grammys",TRUE,"Grammys TRA")</f>
        <v>Grammys TRA</v>
      </c>
      <c r="I917">
        <f>_xlfn.XLOOKUP(Grammys[[#This Row],[date]],mobile_visits[date],mobile_visits[mobile_visitors],0)</f>
        <v>0</v>
      </c>
    </row>
    <row r="918" spans="1:9">
      <c r="A918" s="1">
        <v>43652</v>
      </c>
      <c r="B918">
        <v>9850</v>
      </c>
      <c r="C918">
        <v>14240</v>
      </c>
      <c r="D918">
        <v>10415</v>
      </c>
      <c r="E918">
        <v>5994</v>
      </c>
      <c r="F918">
        <v>71</v>
      </c>
      <c r="G918" t="s">
        <v>9</v>
      </c>
      <c r="H918" t="str" cm="1">
        <f t="array" ref="H918">_xlfn.IFS(Grammys[[#This Row],[date]] &gt;= DATE(2022,2,1),"Grammys",TRUE,"Grammys TRA")</f>
        <v>Grammys TRA</v>
      </c>
      <c r="I918">
        <f>_xlfn.XLOOKUP(Grammys[[#This Row],[date]],mobile_visits[date],mobile_visits[mobile_visitors],0)</f>
        <v>0</v>
      </c>
    </row>
    <row r="919" spans="1:9">
      <c r="A919" s="1">
        <v>43653</v>
      </c>
      <c r="B919">
        <v>13922</v>
      </c>
      <c r="C919">
        <v>20236</v>
      </c>
      <c r="D919">
        <v>14559</v>
      </c>
      <c r="E919">
        <v>7414</v>
      </c>
      <c r="F919">
        <v>69</v>
      </c>
      <c r="G919" t="s">
        <v>9</v>
      </c>
      <c r="H919" t="str" cm="1">
        <f t="array" ref="H919">_xlfn.IFS(Grammys[[#This Row],[date]] &gt;= DATE(2022,2,1),"Grammys",TRUE,"Grammys TRA")</f>
        <v>Grammys TRA</v>
      </c>
      <c r="I919">
        <f>_xlfn.XLOOKUP(Grammys[[#This Row],[date]],mobile_visits[date],mobile_visits[mobile_visitors],0)</f>
        <v>0</v>
      </c>
    </row>
    <row r="920" spans="1:9">
      <c r="A920" s="1">
        <v>43654</v>
      </c>
      <c r="B920">
        <v>10866</v>
      </c>
      <c r="C920">
        <v>17110</v>
      </c>
      <c r="D920">
        <v>11768</v>
      </c>
      <c r="E920">
        <v>6182</v>
      </c>
      <c r="F920">
        <v>82</v>
      </c>
      <c r="G920" t="s">
        <v>9</v>
      </c>
      <c r="H920" t="str" cm="1">
        <f t="array" ref="H920">_xlfn.IFS(Grammys[[#This Row],[date]] &gt;= DATE(2022,2,1),"Grammys",TRUE,"Grammys TRA")</f>
        <v>Grammys TRA</v>
      </c>
      <c r="I920">
        <f>_xlfn.XLOOKUP(Grammys[[#This Row],[date]],mobile_visits[date],mobile_visits[mobile_visitors],0)</f>
        <v>0</v>
      </c>
    </row>
    <row r="921" spans="1:9">
      <c r="A921" s="1">
        <v>43655</v>
      </c>
      <c r="B921">
        <v>9491</v>
      </c>
      <c r="C921">
        <v>14362</v>
      </c>
      <c r="D921">
        <v>10054</v>
      </c>
      <c r="E921">
        <v>5350</v>
      </c>
      <c r="F921">
        <v>86</v>
      </c>
      <c r="G921" t="s">
        <v>9</v>
      </c>
      <c r="H921" t="str" cm="1">
        <f t="array" ref="H921">_xlfn.IFS(Grammys[[#This Row],[date]] &gt;= DATE(2022,2,1),"Grammys",TRUE,"Grammys TRA")</f>
        <v>Grammys TRA</v>
      </c>
      <c r="I921">
        <f>_xlfn.XLOOKUP(Grammys[[#This Row],[date]],mobile_visits[date],mobile_visits[mobile_visitors],0)</f>
        <v>0</v>
      </c>
    </row>
    <row r="922" spans="1:9">
      <c r="A922" s="1">
        <v>43656</v>
      </c>
      <c r="B922">
        <v>11413</v>
      </c>
      <c r="C922">
        <v>16263</v>
      </c>
      <c r="D922">
        <v>11934</v>
      </c>
      <c r="E922">
        <v>6645</v>
      </c>
      <c r="F922">
        <v>81</v>
      </c>
      <c r="G922" t="s">
        <v>9</v>
      </c>
      <c r="H922" t="str" cm="1">
        <f t="array" ref="H922">_xlfn.IFS(Grammys[[#This Row],[date]] &gt;= DATE(2022,2,1),"Grammys",TRUE,"Grammys TRA")</f>
        <v>Grammys TRA</v>
      </c>
      <c r="I922">
        <f>_xlfn.XLOOKUP(Grammys[[#This Row],[date]],mobile_visits[date],mobile_visits[mobile_visitors],0)</f>
        <v>0</v>
      </c>
    </row>
    <row r="923" spans="1:9">
      <c r="A923" s="1">
        <v>43657</v>
      </c>
      <c r="B923">
        <v>11903</v>
      </c>
      <c r="C923">
        <v>16926</v>
      </c>
      <c r="D923">
        <v>12695</v>
      </c>
      <c r="E923">
        <v>6428</v>
      </c>
      <c r="F923">
        <v>98</v>
      </c>
      <c r="G923" t="s">
        <v>9</v>
      </c>
      <c r="H923" t="str" cm="1">
        <f t="array" ref="H923">_xlfn.IFS(Grammys[[#This Row],[date]] &gt;= DATE(2022,2,1),"Grammys",TRUE,"Grammys TRA")</f>
        <v>Grammys TRA</v>
      </c>
      <c r="I923">
        <f>_xlfn.XLOOKUP(Grammys[[#This Row],[date]],mobile_visits[date],mobile_visits[mobile_visitors],0)</f>
        <v>0</v>
      </c>
    </row>
    <row r="924" spans="1:9">
      <c r="A924" s="1">
        <v>43658</v>
      </c>
      <c r="B924">
        <v>10895</v>
      </c>
      <c r="C924">
        <v>15753</v>
      </c>
      <c r="D924">
        <v>11616</v>
      </c>
      <c r="E924">
        <v>5898</v>
      </c>
      <c r="F924">
        <v>80</v>
      </c>
      <c r="G924" t="s">
        <v>9</v>
      </c>
      <c r="H924" t="str" cm="1">
        <f t="array" ref="H924">_xlfn.IFS(Grammys[[#This Row],[date]] &gt;= DATE(2022,2,1),"Grammys",TRUE,"Grammys TRA")</f>
        <v>Grammys TRA</v>
      </c>
      <c r="I924">
        <f>_xlfn.XLOOKUP(Grammys[[#This Row],[date]],mobile_visits[date],mobile_visits[mobile_visitors],0)</f>
        <v>0</v>
      </c>
    </row>
    <row r="925" spans="1:9">
      <c r="A925" s="1">
        <v>43659</v>
      </c>
      <c r="B925">
        <v>10120</v>
      </c>
      <c r="C925">
        <v>14423</v>
      </c>
      <c r="D925">
        <v>10666</v>
      </c>
      <c r="E925">
        <v>5644</v>
      </c>
      <c r="F925">
        <v>73</v>
      </c>
      <c r="G925" t="s">
        <v>9</v>
      </c>
      <c r="H925" t="str" cm="1">
        <f t="array" ref="H925">_xlfn.IFS(Grammys[[#This Row],[date]] &gt;= DATE(2022,2,1),"Grammys",TRUE,"Grammys TRA")</f>
        <v>Grammys TRA</v>
      </c>
      <c r="I925">
        <f>_xlfn.XLOOKUP(Grammys[[#This Row],[date]],mobile_visits[date],mobile_visits[mobile_visitors],0)</f>
        <v>0</v>
      </c>
    </row>
    <row r="926" spans="1:9">
      <c r="A926" s="1">
        <v>43660</v>
      </c>
      <c r="B926">
        <v>9949</v>
      </c>
      <c r="C926">
        <v>14394</v>
      </c>
      <c r="D926">
        <v>10442</v>
      </c>
      <c r="E926">
        <v>5364</v>
      </c>
      <c r="F926">
        <v>75</v>
      </c>
      <c r="G926" t="s">
        <v>9</v>
      </c>
      <c r="H926" t="str" cm="1">
        <f t="array" ref="H926">_xlfn.IFS(Grammys[[#This Row],[date]] &gt;= DATE(2022,2,1),"Grammys",TRUE,"Grammys TRA")</f>
        <v>Grammys TRA</v>
      </c>
      <c r="I926">
        <f>_xlfn.XLOOKUP(Grammys[[#This Row],[date]],mobile_visits[date],mobile_visits[mobile_visitors],0)</f>
        <v>0</v>
      </c>
    </row>
    <row r="927" spans="1:9">
      <c r="A927" s="1">
        <v>43661</v>
      </c>
      <c r="B927">
        <v>9841</v>
      </c>
      <c r="C927">
        <v>14865</v>
      </c>
      <c r="D927">
        <v>10474</v>
      </c>
      <c r="E927">
        <v>5722</v>
      </c>
      <c r="F927">
        <v>80</v>
      </c>
      <c r="G927" t="s">
        <v>9</v>
      </c>
      <c r="H927" t="str" cm="1">
        <f t="array" ref="H927">_xlfn.IFS(Grammys[[#This Row],[date]] &gt;= DATE(2022,2,1),"Grammys",TRUE,"Grammys TRA")</f>
        <v>Grammys TRA</v>
      </c>
      <c r="I927">
        <f>_xlfn.XLOOKUP(Grammys[[#This Row],[date]],mobile_visits[date],mobile_visits[mobile_visitors],0)</f>
        <v>0</v>
      </c>
    </row>
    <row r="928" spans="1:9">
      <c r="A928" s="1">
        <v>43662</v>
      </c>
      <c r="B928">
        <v>4176</v>
      </c>
      <c r="C928">
        <v>3958</v>
      </c>
      <c r="D928">
        <v>4346</v>
      </c>
      <c r="E928">
        <v>1376</v>
      </c>
      <c r="F928">
        <v>76</v>
      </c>
      <c r="G928" t="s">
        <v>9</v>
      </c>
      <c r="H928" t="str" cm="1">
        <f t="array" ref="H928">_xlfn.IFS(Grammys[[#This Row],[date]] &gt;= DATE(2022,2,1),"Grammys",TRUE,"Grammys TRA")</f>
        <v>Grammys TRA</v>
      </c>
      <c r="I928">
        <f>_xlfn.XLOOKUP(Grammys[[#This Row],[date]],mobile_visits[date],mobile_visits[mobile_visitors],0)</f>
        <v>0</v>
      </c>
    </row>
    <row r="929" spans="1:9">
      <c r="A929" s="1">
        <v>43663</v>
      </c>
      <c r="B929">
        <v>12091</v>
      </c>
      <c r="C929">
        <v>17422</v>
      </c>
      <c r="D929">
        <v>12775</v>
      </c>
      <c r="E929">
        <v>6599</v>
      </c>
      <c r="F929">
        <v>78</v>
      </c>
      <c r="G929" t="s">
        <v>9</v>
      </c>
      <c r="H929" t="str" cm="1">
        <f t="array" ref="H929">_xlfn.IFS(Grammys[[#This Row],[date]] &gt;= DATE(2022,2,1),"Grammys",TRUE,"Grammys TRA")</f>
        <v>Grammys TRA</v>
      </c>
      <c r="I929">
        <f>_xlfn.XLOOKUP(Grammys[[#This Row],[date]],mobile_visits[date],mobile_visits[mobile_visitors],0)</f>
        <v>0</v>
      </c>
    </row>
    <row r="930" spans="1:9">
      <c r="A930" s="1">
        <v>43664</v>
      </c>
      <c r="B930">
        <v>11985</v>
      </c>
      <c r="C930">
        <v>17731</v>
      </c>
      <c r="D930">
        <v>12763</v>
      </c>
      <c r="E930">
        <v>6887</v>
      </c>
      <c r="F930">
        <v>73</v>
      </c>
      <c r="G930" t="s">
        <v>9</v>
      </c>
      <c r="H930" t="str" cm="1">
        <f t="array" ref="H930">_xlfn.IFS(Grammys[[#This Row],[date]] &gt;= DATE(2022,2,1),"Grammys",TRUE,"Grammys TRA")</f>
        <v>Grammys TRA</v>
      </c>
      <c r="I930">
        <f>_xlfn.XLOOKUP(Grammys[[#This Row],[date]],mobile_visits[date],mobile_visits[mobile_visitors],0)</f>
        <v>0</v>
      </c>
    </row>
    <row r="931" spans="1:9">
      <c r="A931" s="1">
        <v>43665</v>
      </c>
      <c r="B931">
        <v>13587</v>
      </c>
      <c r="C931">
        <v>19481</v>
      </c>
      <c r="D931">
        <v>14181</v>
      </c>
      <c r="E931">
        <v>6992</v>
      </c>
      <c r="F931">
        <v>68</v>
      </c>
      <c r="G931" t="s">
        <v>9</v>
      </c>
      <c r="H931" t="str" cm="1">
        <f t="array" ref="H931">_xlfn.IFS(Grammys[[#This Row],[date]] &gt;= DATE(2022,2,1),"Grammys",TRUE,"Grammys TRA")</f>
        <v>Grammys TRA</v>
      </c>
      <c r="I931">
        <f>_xlfn.XLOOKUP(Grammys[[#This Row],[date]],mobile_visits[date],mobile_visits[mobile_visitors],0)</f>
        <v>0</v>
      </c>
    </row>
    <row r="932" spans="1:9">
      <c r="A932" s="1">
        <v>43666</v>
      </c>
      <c r="B932">
        <v>20035</v>
      </c>
      <c r="C932">
        <v>26922</v>
      </c>
      <c r="D932">
        <v>20867</v>
      </c>
      <c r="E932">
        <v>8817</v>
      </c>
      <c r="F932">
        <v>62</v>
      </c>
      <c r="G932" t="s">
        <v>9</v>
      </c>
      <c r="H932" t="str" cm="1">
        <f t="array" ref="H932">_xlfn.IFS(Grammys[[#This Row],[date]] &gt;= DATE(2022,2,1),"Grammys",TRUE,"Grammys TRA")</f>
        <v>Grammys TRA</v>
      </c>
      <c r="I932">
        <f>_xlfn.XLOOKUP(Grammys[[#This Row],[date]],mobile_visits[date],mobile_visits[mobile_visitors],0)</f>
        <v>0</v>
      </c>
    </row>
    <row r="933" spans="1:9">
      <c r="A933" s="1">
        <v>43667</v>
      </c>
      <c r="B933">
        <v>14439</v>
      </c>
      <c r="C933">
        <v>20217</v>
      </c>
      <c r="D933">
        <v>15214</v>
      </c>
      <c r="E933">
        <v>7372</v>
      </c>
      <c r="F933">
        <v>63</v>
      </c>
      <c r="G933" t="s">
        <v>9</v>
      </c>
      <c r="H933" t="str" cm="1">
        <f t="array" ref="H933">_xlfn.IFS(Grammys[[#This Row],[date]] &gt;= DATE(2022,2,1),"Grammys",TRUE,"Grammys TRA")</f>
        <v>Grammys TRA</v>
      </c>
      <c r="I933">
        <f>_xlfn.XLOOKUP(Grammys[[#This Row],[date]],mobile_visits[date],mobile_visits[mobile_visitors],0)</f>
        <v>0</v>
      </c>
    </row>
    <row r="934" spans="1:9">
      <c r="A934" s="1">
        <v>43668</v>
      </c>
      <c r="B934">
        <v>12337</v>
      </c>
      <c r="C934">
        <v>17790</v>
      </c>
      <c r="D934">
        <v>13115</v>
      </c>
      <c r="E934">
        <v>6840</v>
      </c>
      <c r="F934">
        <v>77</v>
      </c>
      <c r="G934" t="s">
        <v>9</v>
      </c>
      <c r="H934" t="str" cm="1">
        <f t="array" ref="H934">_xlfn.IFS(Grammys[[#This Row],[date]] &gt;= DATE(2022,2,1),"Grammys",TRUE,"Grammys TRA")</f>
        <v>Grammys TRA</v>
      </c>
      <c r="I934">
        <f>_xlfn.XLOOKUP(Grammys[[#This Row],[date]],mobile_visits[date],mobile_visits[mobile_visitors],0)</f>
        <v>0</v>
      </c>
    </row>
    <row r="935" spans="1:9">
      <c r="A935" s="1">
        <v>43669</v>
      </c>
      <c r="B935">
        <v>15058</v>
      </c>
      <c r="C935">
        <v>20678</v>
      </c>
      <c r="D935">
        <v>15940</v>
      </c>
      <c r="E935">
        <v>8629</v>
      </c>
      <c r="F935">
        <v>84</v>
      </c>
      <c r="G935" t="s">
        <v>9</v>
      </c>
      <c r="H935" t="str" cm="1">
        <f t="array" ref="H935">_xlfn.IFS(Grammys[[#This Row],[date]] &gt;= DATE(2022,2,1),"Grammys",TRUE,"Grammys TRA")</f>
        <v>Grammys TRA</v>
      </c>
      <c r="I935">
        <f>_xlfn.XLOOKUP(Grammys[[#This Row],[date]],mobile_visits[date],mobile_visits[mobile_visitors],0)</f>
        <v>0</v>
      </c>
    </row>
    <row r="936" spans="1:9">
      <c r="A936" s="1">
        <v>43670</v>
      </c>
      <c r="B936">
        <v>12571</v>
      </c>
      <c r="C936">
        <v>18420</v>
      </c>
      <c r="D936">
        <v>13397</v>
      </c>
      <c r="E936">
        <v>6632</v>
      </c>
      <c r="F936">
        <v>94</v>
      </c>
      <c r="G936" t="s">
        <v>9</v>
      </c>
      <c r="H936" t="str" cm="1">
        <f t="array" ref="H936">_xlfn.IFS(Grammys[[#This Row],[date]] &gt;= DATE(2022,2,1),"Grammys",TRUE,"Grammys TRA")</f>
        <v>Grammys TRA</v>
      </c>
      <c r="I936">
        <f>_xlfn.XLOOKUP(Grammys[[#This Row],[date]],mobile_visits[date],mobile_visits[mobile_visitors],0)</f>
        <v>0</v>
      </c>
    </row>
    <row r="937" spans="1:9">
      <c r="A937" s="1">
        <v>43671</v>
      </c>
      <c r="B937">
        <v>10667</v>
      </c>
      <c r="C937">
        <v>15746</v>
      </c>
      <c r="D937">
        <v>11308</v>
      </c>
      <c r="E937">
        <v>6345</v>
      </c>
      <c r="F937">
        <v>78</v>
      </c>
      <c r="G937" t="s">
        <v>9</v>
      </c>
      <c r="H937" t="str" cm="1">
        <f t="array" ref="H937">_xlfn.IFS(Grammys[[#This Row],[date]] &gt;= DATE(2022,2,1),"Grammys",TRUE,"Grammys TRA")</f>
        <v>Grammys TRA</v>
      </c>
      <c r="I937">
        <f>_xlfn.XLOOKUP(Grammys[[#This Row],[date]],mobile_visits[date],mobile_visits[mobile_visitors],0)</f>
        <v>0</v>
      </c>
    </row>
    <row r="938" spans="1:9">
      <c r="A938" s="1">
        <v>43672</v>
      </c>
      <c r="B938">
        <v>10266</v>
      </c>
      <c r="C938">
        <v>15396</v>
      </c>
      <c r="D938">
        <v>10966</v>
      </c>
      <c r="E938">
        <v>6336</v>
      </c>
      <c r="F938">
        <v>73</v>
      </c>
      <c r="G938" t="s">
        <v>9</v>
      </c>
      <c r="H938" t="str" cm="1">
        <f t="array" ref="H938">_xlfn.IFS(Grammys[[#This Row],[date]] &gt;= DATE(2022,2,1),"Grammys",TRUE,"Grammys TRA")</f>
        <v>Grammys TRA</v>
      </c>
      <c r="I938">
        <f>_xlfn.XLOOKUP(Grammys[[#This Row],[date]],mobile_visits[date],mobile_visits[mobile_visitors],0)</f>
        <v>0</v>
      </c>
    </row>
    <row r="939" spans="1:9">
      <c r="A939" s="1">
        <v>43673</v>
      </c>
      <c r="B939">
        <v>10433</v>
      </c>
      <c r="C939">
        <v>15119</v>
      </c>
      <c r="D939">
        <v>11132</v>
      </c>
      <c r="E939">
        <v>6044</v>
      </c>
      <c r="F939">
        <v>70</v>
      </c>
      <c r="G939" t="s">
        <v>9</v>
      </c>
      <c r="H939" t="str" cm="1">
        <f t="array" ref="H939">_xlfn.IFS(Grammys[[#This Row],[date]] &gt;= DATE(2022,2,1),"Grammys",TRUE,"Grammys TRA")</f>
        <v>Grammys TRA</v>
      </c>
      <c r="I939">
        <f>_xlfn.XLOOKUP(Grammys[[#This Row],[date]],mobile_visits[date],mobile_visits[mobile_visitors],0)</f>
        <v>0</v>
      </c>
    </row>
    <row r="940" spans="1:9">
      <c r="A940" s="1">
        <v>43674</v>
      </c>
      <c r="B940">
        <v>10215</v>
      </c>
      <c r="C940">
        <v>14895</v>
      </c>
      <c r="D940">
        <v>10903</v>
      </c>
      <c r="E940">
        <v>5948</v>
      </c>
      <c r="F940">
        <v>72</v>
      </c>
      <c r="G940" t="s">
        <v>9</v>
      </c>
      <c r="H940" t="str" cm="1">
        <f t="array" ref="H940">_xlfn.IFS(Grammys[[#This Row],[date]] &gt;= DATE(2022,2,1),"Grammys",TRUE,"Grammys TRA")</f>
        <v>Grammys TRA</v>
      </c>
      <c r="I940">
        <f>_xlfn.XLOOKUP(Grammys[[#This Row],[date]],mobile_visits[date],mobile_visits[mobile_visitors],0)</f>
        <v>0</v>
      </c>
    </row>
    <row r="941" spans="1:9">
      <c r="A941" s="1">
        <v>43675</v>
      </c>
      <c r="B941">
        <v>13938</v>
      </c>
      <c r="C941">
        <v>19368</v>
      </c>
      <c r="D941">
        <v>14627</v>
      </c>
      <c r="E941">
        <v>7304</v>
      </c>
      <c r="F941">
        <v>93</v>
      </c>
      <c r="G941" t="s">
        <v>9</v>
      </c>
      <c r="H941" t="str" cm="1">
        <f t="array" ref="H941">_xlfn.IFS(Grammys[[#This Row],[date]] &gt;= DATE(2022,2,1),"Grammys",TRUE,"Grammys TRA")</f>
        <v>Grammys TRA</v>
      </c>
      <c r="I941">
        <f>_xlfn.XLOOKUP(Grammys[[#This Row],[date]],mobile_visits[date],mobile_visits[mobile_visitors],0)</f>
        <v>0</v>
      </c>
    </row>
    <row r="942" spans="1:9">
      <c r="A942" s="1">
        <v>43676</v>
      </c>
      <c r="B942">
        <v>5964</v>
      </c>
      <c r="C942">
        <v>7773</v>
      </c>
      <c r="D942">
        <v>6325</v>
      </c>
      <c r="E942">
        <v>2467</v>
      </c>
      <c r="F942">
        <v>86</v>
      </c>
      <c r="G942" t="s">
        <v>9</v>
      </c>
      <c r="H942" t="str" cm="1">
        <f t="array" ref="H942">_xlfn.IFS(Grammys[[#This Row],[date]] &gt;= DATE(2022,2,1),"Grammys",TRUE,"Grammys TRA")</f>
        <v>Grammys TRA</v>
      </c>
      <c r="I942">
        <f>_xlfn.XLOOKUP(Grammys[[#This Row],[date]],mobile_visits[date],mobile_visits[mobile_visitors],0)</f>
        <v>0</v>
      </c>
    </row>
    <row r="943" spans="1:9">
      <c r="A943" s="1">
        <v>43677</v>
      </c>
      <c r="B943">
        <v>11359</v>
      </c>
      <c r="C943">
        <v>16330</v>
      </c>
      <c r="D943">
        <v>11997</v>
      </c>
      <c r="E943">
        <v>6786</v>
      </c>
      <c r="F943">
        <v>76</v>
      </c>
      <c r="G943" t="s">
        <v>9</v>
      </c>
      <c r="H943" t="str" cm="1">
        <f t="array" ref="H943">_xlfn.IFS(Grammys[[#This Row],[date]] &gt;= DATE(2022,2,1),"Grammys",TRUE,"Grammys TRA")</f>
        <v>Grammys TRA</v>
      </c>
      <c r="I943">
        <f>_xlfn.XLOOKUP(Grammys[[#This Row],[date]],mobile_visits[date],mobile_visits[mobile_visitors],0)</f>
        <v>0</v>
      </c>
    </row>
    <row r="944" spans="1:9">
      <c r="A944" s="1">
        <v>43678</v>
      </c>
      <c r="B944">
        <v>12507</v>
      </c>
      <c r="C944">
        <v>17639</v>
      </c>
      <c r="D944">
        <v>13281</v>
      </c>
      <c r="E944">
        <v>7699</v>
      </c>
      <c r="F944">
        <v>83</v>
      </c>
      <c r="G944" t="s">
        <v>9</v>
      </c>
      <c r="H944" t="str" cm="1">
        <f t="array" ref="H944">_xlfn.IFS(Grammys[[#This Row],[date]] &gt;= DATE(2022,2,1),"Grammys",TRUE,"Grammys TRA")</f>
        <v>Grammys TRA</v>
      </c>
      <c r="I944">
        <f>_xlfn.XLOOKUP(Grammys[[#This Row],[date]],mobile_visits[date],mobile_visits[mobile_visitors],0)</f>
        <v>0</v>
      </c>
    </row>
    <row r="945" spans="1:9">
      <c r="A945" s="1">
        <v>43679</v>
      </c>
      <c r="B945">
        <v>10905</v>
      </c>
      <c r="C945">
        <v>15866</v>
      </c>
      <c r="D945">
        <v>11561</v>
      </c>
      <c r="E945">
        <v>6287</v>
      </c>
      <c r="F945">
        <v>84</v>
      </c>
      <c r="G945" t="s">
        <v>9</v>
      </c>
      <c r="H945" t="str" cm="1">
        <f t="array" ref="H945">_xlfn.IFS(Grammys[[#This Row],[date]] &gt;= DATE(2022,2,1),"Grammys",TRUE,"Grammys TRA")</f>
        <v>Grammys TRA</v>
      </c>
      <c r="I945">
        <f>_xlfn.XLOOKUP(Grammys[[#This Row],[date]],mobile_visits[date],mobile_visits[mobile_visitors],0)</f>
        <v>0</v>
      </c>
    </row>
    <row r="946" spans="1:9">
      <c r="A946" s="1">
        <v>43680</v>
      </c>
      <c r="B946">
        <v>9087</v>
      </c>
      <c r="C946">
        <v>13134</v>
      </c>
      <c r="D946">
        <v>9665</v>
      </c>
      <c r="E946">
        <v>5531</v>
      </c>
      <c r="F946">
        <v>76</v>
      </c>
      <c r="G946" t="s">
        <v>9</v>
      </c>
      <c r="H946" t="str" cm="1">
        <f t="array" ref="H946">_xlfn.IFS(Grammys[[#This Row],[date]] &gt;= DATE(2022,2,1),"Grammys",TRUE,"Grammys TRA")</f>
        <v>Grammys TRA</v>
      </c>
      <c r="I946">
        <f>_xlfn.XLOOKUP(Grammys[[#This Row],[date]],mobile_visits[date],mobile_visits[mobile_visitors],0)</f>
        <v>0</v>
      </c>
    </row>
    <row r="947" spans="1:9">
      <c r="A947" s="1">
        <v>43681</v>
      </c>
      <c r="B947">
        <v>9963</v>
      </c>
      <c r="C947">
        <v>14563</v>
      </c>
      <c r="D947">
        <v>10632</v>
      </c>
      <c r="E947">
        <v>5656</v>
      </c>
      <c r="F947">
        <v>79</v>
      </c>
      <c r="G947" t="s">
        <v>9</v>
      </c>
      <c r="H947" t="str" cm="1">
        <f t="array" ref="H947">_xlfn.IFS(Grammys[[#This Row],[date]] &gt;= DATE(2022,2,1),"Grammys",TRUE,"Grammys TRA")</f>
        <v>Grammys TRA</v>
      </c>
      <c r="I947">
        <f>_xlfn.XLOOKUP(Grammys[[#This Row],[date]],mobile_visits[date],mobile_visits[mobile_visitors],0)</f>
        <v>0</v>
      </c>
    </row>
    <row r="948" spans="1:9">
      <c r="A948" s="1">
        <v>43682</v>
      </c>
      <c r="B948">
        <v>12422</v>
      </c>
      <c r="C948">
        <v>17279</v>
      </c>
      <c r="D948">
        <v>13065</v>
      </c>
      <c r="E948">
        <v>6728</v>
      </c>
      <c r="F948">
        <v>70</v>
      </c>
      <c r="G948" t="s">
        <v>9</v>
      </c>
      <c r="H948" t="str" cm="1">
        <f t="array" ref="H948">_xlfn.IFS(Grammys[[#This Row],[date]] &gt;= DATE(2022,2,1),"Grammys",TRUE,"Grammys TRA")</f>
        <v>Grammys TRA</v>
      </c>
      <c r="I948">
        <f>_xlfn.XLOOKUP(Grammys[[#This Row],[date]],mobile_visits[date],mobile_visits[mobile_visitors],0)</f>
        <v>0</v>
      </c>
    </row>
    <row r="949" spans="1:9">
      <c r="A949" s="1">
        <v>43683</v>
      </c>
      <c r="B949">
        <v>11118</v>
      </c>
      <c r="C949">
        <v>16524</v>
      </c>
      <c r="D949">
        <v>11877</v>
      </c>
      <c r="E949">
        <v>6032</v>
      </c>
      <c r="F949">
        <v>76</v>
      </c>
      <c r="G949" t="s">
        <v>9</v>
      </c>
      <c r="H949" t="str" cm="1">
        <f t="array" ref="H949">_xlfn.IFS(Grammys[[#This Row],[date]] &gt;= DATE(2022,2,1),"Grammys",TRUE,"Grammys TRA")</f>
        <v>Grammys TRA</v>
      </c>
      <c r="I949">
        <f>_xlfn.XLOOKUP(Grammys[[#This Row],[date]],mobile_visits[date],mobile_visits[mobile_visitors],0)</f>
        <v>0</v>
      </c>
    </row>
    <row r="950" spans="1:9">
      <c r="A950" s="1">
        <v>43684</v>
      </c>
      <c r="B950">
        <v>10262</v>
      </c>
      <c r="C950">
        <v>15004</v>
      </c>
      <c r="D950">
        <v>10932</v>
      </c>
      <c r="E950">
        <v>5969</v>
      </c>
      <c r="F950">
        <v>75</v>
      </c>
      <c r="G950" t="s">
        <v>9</v>
      </c>
      <c r="H950" t="str" cm="1">
        <f t="array" ref="H950">_xlfn.IFS(Grammys[[#This Row],[date]] &gt;= DATE(2022,2,1),"Grammys",TRUE,"Grammys TRA")</f>
        <v>Grammys TRA</v>
      </c>
      <c r="I950">
        <f>_xlfn.XLOOKUP(Grammys[[#This Row],[date]],mobile_visits[date],mobile_visits[mobile_visitors],0)</f>
        <v>0</v>
      </c>
    </row>
    <row r="951" spans="1:9">
      <c r="A951" s="1">
        <v>43685</v>
      </c>
      <c r="B951">
        <v>14950</v>
      </c>
      <c r="C951">
        <v>20165</v>
      </c>
      <c r="D951">
        <v>15679</v>
      </c>
      <c r="E951">
        <v>7302</v>
      </c>
      <c r="F951">
        <v>81</v>
      </c>
      <c r="G951" t="s">
        <v>9</v>
      </c>
      <c r="H951" t="str" cm="1">
        <f t="array" ref="H951">_xlfn.IFS(Grammys[[#This Row],[date]] &gt;= DATE(2022,2,1),"Grammys",TRUE,"Grammys TRA")</f>
        <v>Grammys TRA</v>
      </c>
      <c r="I951">
        <f>_xlfn.XLOOKUP(Grammys[[#This Row],[date]],mobile_visits[date],mobile_visits[mobile_visitors],0)</f>
        <v>0</v>
      </c>
    </row>
    <row r="952" spans="1:9">
      <c r="A952" s="1">
        <v>43686</v>
      </c>
      <c r="B952">
        <v>15261</v>
      </c>
      <c r="C952">
        <v>20305</v>
      </c>
      <c r="D952">
        <v>16127</v>
      </c>
      <c r="E952">
        <v>7469</v>
      </c>
      <c r="F952">
        <v>97</v>
      </c>
      <c r="G952" t="s">
        <v>9</v>
      </c>
      <c r="H952" t="str" cm="1">
        <f t="array" ref="H952">_xlfn.IFS(Grammys[[#This Row],[date]] &gt;= DATE(2022,2,1),"Grammys",TRUE,"Grammys TRA")</f>
        <v>Grammys TRA</v>
      </c>
      <c r="I952">
        <f>_xlfn.XLOOKUP(Grammys[[#This Row],[date]],mobile_visits[date],mobile_visits[mobile_visitors],0)</f>
        <v>0</v>
      </c>
    </row>
    <row r="953" spans="1:9">
      <c r="A953" s="1">
        <v>43687</v>
      </c>
      <c r="B953">
        <v>12390</v>
      </c>
      <c r="C953">
        <v>17348</v>
      </c>
      <c r="D953">
        <v>13249</v>
      </c>
      <c r="E953">
        <v>6527</v>
      </c>
      <c r="F953">
        <v>93</v>
      </c>
      <c r="G953" t="s">
        <v>9</v>
      </c>
      <c r="H953" t="str" cm="1">
        <f t="array" ref="H953">_xlfn.IFS(Grammys[[#This Row],[date]] &gt;= DATE(2022,2,1),"Grammys",TRUE,"Grammys TRA")</f>
        <v>Grammys TRA</v>
      </c>
      <c r="I953">
        <f>_xlfn.XLOOKUP(Grammys[[#This Row],[date]],mobile_visits[date],mobile_visits[mobile_visitors],0)</f>
        <v>0</v>
      </c>
    </row>
    <row r="954" spans="1:9">
      <c r="A954" s="1">
        <v>43688</v>
      </c>
      <c r="B954">
        <v>10405</v>
      </c>
      <c r="C954">
        <v>14656</v>
      </c>
      <c r="D954">
        <v>10996</v>
      </c>
      <c r="E954">
        <v>5914</v>
      </c>
      <c r="F954">
        <v>79</v>
      </c>
      <c r="G954" t="s">
        <v>9</v>
      </c>
      <c r="H954" t="str" cm="1">
        <f t="array" ref="H954">_xlfn.IFS(Grammys[[#This Row],[date]] &gt;= DATE(2022,2,1),"Grammys",TRUE,"Grammys TRA")</f>
        <v>Grammys TRA</v>
      </c>
      <c r="I954">
        <f>_xlfn.XLOOKUP(Grammys[[#This Row],[date]],mobile_visits[date],mobile_visits[mobile_visitors],0)</f>
        <v>0</v>
      </c>
    </row>
    <row r="955" spans="1:9">
      <c r="A955" s="1">
        <v>43689</v>
      </c>
      <c r="B955">
        <v>18366</v>
      </c>
      <c r="C955">
        <v>24391</v>
      </c>
      <c r="D955">
        <v>19344</v>
      </c>
      <c r="E955">
        <v>7647</v>
      </c>
      <c r="F955">
        <v>76</v>
      </c>
      <c r="G955" t="s">
        <v>9</v>
      </c>
      <c r="H955" t="str" cm="1">
        <f t="array" ref="H955">_xlfn.IFS(Grammys[[#This Row],[date]] &gt;= DATE(2022,2,1),"Grammys",TRUE,"Grammys TRA")</f>
        <v>Grammys TRA</v>
      </c>
      <c r="I955">
        <f>_xlfn.XLOOKUP(Grammys[[#This Row],[date]],mobile_visits[date],mobile_visits[mobile_visitors],0)</f>
        <v>0</v>
      </c>
    </row>
    <row r="956" spans="1:9">
      <c r="A956" s="1">
        <v>43690</v>
      </c>
      <c r="B956">
        <v>22868</v>
      </c>
      <c r="C956">
        <v>29473</v>
      </c>
      <c r="D956">
        <v>23849</v>
      </c>
      <c r="E956">
        <v>10105</v>
      </c>
      <c r="F956">
        <v>65</v>
      </c>
      <c r="G956" t="s">
        <v>9</v>
      </c>
      <c r="H956" t="str" cm="1">
        <f t="array" ref="H956">_xlfn.IFS(Grammys[[#This Row],[date]] &gt;= DATE(2022,2,1),"Grammys",TRUE,"Grammys TRA")</f>
        <v>Grammys TRA</v>
      </c>
      <c r="I956">
        <f>_xlfn.XLOOKUP(Grammys[[#This Row],[date]],mobile_visits[date],mobile_visits[mobile_visitors],0)</f>
        <v>0</v>
      </c>
    </row>
    <row r="957" spans="1:9">
      <c r="A957" s="1">
        <v>43691</v>
      </c>
      <c r="B957">
        <v>12030</v>
      </c>
      <c r="C957">
        <v>16952</v>
      </c>
      <c r="D957">
        <v>12746</v>
      </c>
      <c r="E957">
        <v>6909</v>
      </c>
      <c r="F957">
        <v>69</v>
      </c>
      <c r="G957" t="s">
        <v>9</v>
      </c>
      <c r="H957" t="str" cm="1">
        <f t="array" ref="H957">_xlfn.IFS(Grammys[[#This Row],[date]] &gt;= DATE(2022,2,1),"Grammys",TRUE,"Grammys TRA")</f>
        <v>Grammys TRA</v>
      </c>
      <c r="I957">
        <f>_xlfn.XLOOKUP(Grammys[[#This Row],[date]],mobile_visits[date],mobile_visits[mobile_visitors],0)</f>
        <v>0</v>
      </c>
    </row>
    <row r="958" spans="1:9">
      <c r="A958" s="1">
        <v>43692</v>
      </c>
      <c r="B958">
        <v>12000</v>
      </c>
      <c r="C958">
        <v>15960</v>
      </c>
      <c r="D958">
        <v>12515</v>
      </c>
      <c r="E958">
        <v>6537</v>
      </c>
      <c r="F958">
        <v>91</v>
      </c>
      <c r="G958" t="s">
        <v>9</v>
      </c>
      <c r="H958" t="str" cm="1">
        <f t="array" ref="H958">_xlfn.IFS(Grammys[[#This Row],[date]] &gt;= DATE(2022,2,1),"Grammys",TRUE,"Grammys TRA")</f>
        <v>Grammys TRA</v>
      </c>
      <c r="I958">
        <f>_xlfn.XLOOKUP(Grammys[[#This Row],[date]],mobile_visits[date],mobile_visits[mobile_visitors],0)</f>
        <v>0</v>
      </c>
    </row>
    <row r="959" spans="1:9">
      <c r="A959" s="1">
        <v>43693</v>
      </c>
      <c r="B959">
        <v>11373</v>
      </c>
      <c r="C959">
        <v>15525</v>
      </c>
      <c r="D959">
        <v>11922</v>
      </c>
      <c r="E959">
        <v>6860</v>
      </c>
      <c r="F959">
        <v>74</v>
      </c>
      <c r="G959" t="s">
        <v>9</v>
      </c>
      <c r="H959" t="str" cm="1">
        <f t="array" ref="H959">_xlfn.IFS(Grammys[[#This Row],[date]] &gt;= DATE(2022,2,1),"Grammys",TRUE,"Grammys TRA")</f>
        <v>Grammys TRA</v>
      </c>
      <c r="I959">
        <f>_xlfn.XLOOKUP(Grammys[[#This Row],[date]],mobile_visits[date],mobile_visits[mobile_visitors],0)</f>
        <v>0</v>
      </c>
    </row>
    <row r="960" spans="1:9">
      <c r="A960" s="1">
        <v>43694</v>
      </c>
      <c r="B960">
        <v>9070</v>
      </c>
      <c r="C960">
        <v>13362</v>
      </c>
      <c r="D960">
        <v>9651</v>
      </c>
      <c r="E960">
        <v>5355</v>
      </c>
      <c r="F960">
        <v>79</v>
      </c>
      <c r="G960" t="s">
        <v>9</v>
      </c>
      <c r="H960" t="str" cm="1">
        <f t="array" ref="H960">_xlfn.IFS(Grammys[[#This Row],[date]] &gt;= DATE(2022,2,1),"Grammys",TRUE,"Grammys TRA")</f>
        <v>Grammys TRA</v>
      </c>
      <c r="I960">
        <f>_xlfn.XLOOKUP(Grammys[[#This Row],[date]],mobile_visits[date],mobile_visits[mobile_visitors],0)</f>
        <v>0</v>
      </c>
    </row>
    <row r="961" spans="1:9">
      <c r="A961" s="1">
        <v>43695</v>
      </c>
      <c r="B961">
        <v>8840</v>
      </c>
      <c r="C961">
        <v>13295</v>
      </c>
      <c r="D961">
        <v>9445</v>
      </c>
      <c r="E961">
        <v>5178</v>
      </c>
      <c r="F961">
        <v>80</v>
      </c>
      <c r="G961" t="s">
        <v>9</v>
      </c>
      <c r="H961" t="str" cm="1">
        <f t="array" ref="H961">_xlfn.IFS(Grammys[[#This Row],[date]] &gt;= DATE(2022,2,1),"Grammys",TRUE,"Grammys TRA")</f>
        <v>Grammys TRA</v>
      </c>
      <c r="I961">
        <f>_xlfn.XLOOKUP(Grammys[[#This Row],[date]],mobile_visits[date],mobile_visits[mobile_visitors],0)</f>
        <v>0</v>
      </c>
    </row>
    <row r="962" spans="1:9">
      <c r="A962" s="1">
        <v>43696</v>
      </c>
      <c r="B962">
        <v>9310</v>
      </c>
      <c r="C962">
        <v>13995</v>
      </c>
      <c r="D962">
        <v>9814</v>
      </c>
      <c r="E962">
        <v>5643</v>
      </c>
      <c r="F962">
        <v>76</v>
      </c>
      <c r="G962" t="s">
        <v>9</v>
      </c>
      <c r="H962" t="str" cm="1">
        <f t="array" ref="H962">_xlfn.IFS(Grammys[[#This Row],[date]] &gt;= DATE(2022,2,1),"Grammys",TRUE,"Grammys TRA")</f>
        <v>Grammys TRA</v>
      </c>
      <c r="I962">
        <f>_xlfn.XLOOKUP(Grammys[[#This Row],[date]],mobile_visits[date],mobile_visits[mobile_visitors],0)</f>
        <v>0</v>
      </c>
    </row>
    <row r="963" spans="1:9">
      <c r="A963" s="1">
        <v>43697</v>
      </c>
      <c r="B963">
        <v>10197</v>
      </c>
      <c r="C963">
        <v>14888</v>
      </c>
      <c r="D963">
        <v>10819</v>
      </c>
      <c r="E963">
        <v>5819</v>
      </c>
      <c r="F963">
        <v>71</v>
      </c>
      <c r="G963" t="s">
        <v>9</v>
      </c>
      <c r="H963" t="str" cm="1">
        <f t="array" ref="H963">_xlfn.IFS(Grammys[[#This Row],[date]] &gt;= DATE(2022,2,1),"Grammys",TRUE,"Grammys TRA")</f>
        <v>Grammys TRA</v>
      </c>
      <c r="I963">
        <f>_xlfn.XLOOKUP(Grammys[[#This Row],[date]],mobile_visits[date],mobile_visits[mobile_visitors],0)</f>
        <v>0</v>
      </c>
    </row>
    <row r="964" spans="1:9">
      <c r="A964" s="1">
        <v>43698</v>
      </c>
      <c r="B964">
        <v>11365</v>
      </c>
      <c r="C964">
        <v>15865</v>
      </c>
      <c r="D964">
        <v>11996</v>
      </c>
      <c r="E964">
        <v>6092</v>
      </c>
      <c r="F964">
        <v>68</v>
      </c>
      <c r="G964" t="s">
        <v>9</v>
      </c>
      <c r="H964" t="str" cm="1">
        <f t="array" ref="H964">_xlfn.IFS(Grammys[[#This Row],[date]] &gt;= DATE(2022,2,1),"Grammys",TRUE,"Grammys TRA")</f>
        <v>Grammys TRA</v>
      </c>
      <c r="I964">
        <f>_xlfn.XLOOKUP(Grammys[[#This Row],[date]],mobile_visits[date],mobile_visits[mobile_visitors],0)</f>
        <v>0</v>
      </c>
    </row>
    <row r="965" spans="1:9">
      <c r="A965" s="1">
        <v>43699</v>
      </c>
      <c r="B965">
        <v>9347</v>
      </c>
      <c r="C965">
        <v>12687</v>
      </c>
      <c r="D965">
        <v>9742</v>
      </c>
      <c r="E965">
        <v>4378</v>
      </c>
      <c r="F965">
        <v>76</v>
      </c>
      <c r="G965" t="s">
        <v>9</v>
      </c>
      <c r="H965" t="str" cm="1">
        <f t="array" ref="H965">_xlfn.IFS(Grammys[[#This Row],[date]] &gt;= DATE(2022,2,1),"Grammys",TRUE,"Grammys TRA")</f>
        <v>Grammys TRA</v>
      </c>
      <c r="I965">
        <f>_xlfn.XLOOKUP(Grammys[[#This Row],[date]],mobile_visits[date],mobile_visits[mobile_visitors],0)</f>
        <v>0</v>
      </c>
    </row>
    <row r="966" spans="1:9">
      <c r="A966" s="1">
        <v>43700</v>
      </c>
      <c r="B966">
        <v>8160</v>
      </c>
      <c r="C966">
        <v>11245</v>
      </c>
      <c r="D966">
        <v>8523</v>
      </c>
      <c r="E966">
        <v>4174</v>
      </c>
      <c r="F966">
        <v>73</v>
      </c>
      <c r="G966" t="s">
        <v>9</v>
      </c>
      <c r="H966" t="str" cm="1">
        <f t="array" ref="H966">_xlfn.IFS(Grammys[[#This Row],[date]] &gt;= DATE(2022,2,1),"Grammys",TRUE,"Grammys TRA")</f>
        <v>Grammys TRA</v>
      </c>
      <c r="I966">
        <f>_xlfn.XLOOKUP(Grammys[[#This Row],[date]],mobile_visits[date],mobile_visits[mobile_visitors],0)</f>
        <v>0</v>
      </c>
    </row>
    <row r="967" spans="1:9">
      <c r="A967" s="1">
        <v>43701</v>
      </c>
      <c r="B967">
        <v>7001</v>
      </c>
      <c r="C967">
        <v>9968</v>
      </c>
      <c r="D967">
        <v>7310</v>
      </c>
      <c r="E967">
        <v>3539</v>
      </c>
      <c r="F967">
        <v>79</v>
      </c>
      <c r="G967" t="s">
        <v>9</v>
      </c>
      <c r="H967" t="str" cm="1">
        <f t="array" ref="H967">_xlfn.IFS(Grammys[[#This Row],[date]] &gt;= DATE(2022,2,1),"Grammys",TRUE,"Grammys TRA")</f>
        <v>Grammys TRA</v>
      </c>
      <c r="I967">
        <f>_xlfn.XLOOKUP(Grammys[[#This Row],[date]],mobile_visits[date],mobile_visits[mobile_visitors],0)</f>
        <v>0</v>
      </c>
    </row>
    <row r="968" spans="1:9">
      <c r="A968" s="1">
        <v>43702</v>
      </c>
      <c r="B968">
        <v>6959</v>
      </c>
      <c r="C968">
        <v>9739</v>
      </c>
      <c r="D968">
        <v>7241</v>
      </c>
      <c r="E968">
        <v>3515</v>
      </c>
      <c r="F968">
        <v>76</v>
      </c>
      <c r="G968" t="s">
        <v>9</v>
      </c>
      <c r="H968" t="str" cm="1">
        <f t="array" ref="H968">_xlfn.IFS(Grammys[[#This Row],[date]] &gt;= DATE(2022,2,1),"Grammys",TRUE,"Grammys TRA")</f>
        <v>Grammys TRA</v>
      </c>
      <c r="I968">
        <f>_xlfn.XLOOKUP(Grammys[[#This Row],[date]],mobile_visits[date],mobile_visits[mobile_visitors],0)</f>
        <v>0</v>
      </c>
    </row>
    <row r="969" spans="1:9">
      <c r="A969" s="1">
        <v>43703</v>
      </c>
      <c r="B969">
        <v>8033</v>
      </c>
      <c r="C969">
        <v>12085</v>
      </c>
      <c r="D969">
        <v>8496</v>
      </c>
      <c r="E969">
        <v>4072</v>
      </c>
      <c r="F969">
        <v>83</v>
      </c>
      <c r="G969" t="s">
        <v>9</v>
      </c>
      <c r="H969" t="str" cm="1">
        <f t="array" ref="H969">_xlfn.IFS(Grammys[[#This Row],[date]] &gt;= DATE(2022,2,1),"Grammys",TRUE,"Grammys TRA")</f>
        <v>Grammys TRA</v>
      </c>
      <c r="I969">
        <f>_xlfn.XLOOKUP(Grammys[[#This Row],[date]],mobile_visits[date],mobile_visits[mobile_visitors],0)</f>
        <v>0</v>
      </c>
    </row>
    <row r="970" spans="1:9">
      <c r="A970" s="1">
        <v>43704</v>
      </c>
      <c r="B970">
        <v>8315</v>
      </c>
      <c r="C970">
        <v>12225</v>
      </c>
      <c r="D970">
        <v>8797</v>
      </c>
      <c r="E970">
        <v>4307</v>
      </c>
      <c r="F970">
        <v>81</v>
      </c>
      <c r="G970" t="s">
        <v>9</v>
      </c>
      <c r="H970" t="str" cm="1">
        <f t="array" ref="H970">_xlfn.IFS(Grammys[[#This Row],[date]] &gt;= DATE(2022,2,1),"Grammys",TRUE,"Grammys TRA")</f>
        <v>Grammys TRA</v>
      </c>
      <c r="I970">
        <f>_xlfn.XLOOKUP(Grammys[[#This Row],[date]],mobile_visits[date],mobile_visits[mobile_visitors],0)</f>
        <v>0</v>
      </c>
    </row>
    <row r="971" spans="1:9">
      <c r="A971" s="1">
        <v>43705</v>
      </c>
      <c r="B971">
        <v>16128</v>
      </c>
      <c r="C971">
        <v>23256</v>
      </c>
      <c r="D971">
        <v>17176</v>
      </c>
      <c r="E971">
        <v>8092</v>
      </c>
      <c r="F971">
        <v>65</v>
      </c>
      <c r="G971" t="s">
        <v>9</v>
      </c>
      <c r="H971" t="str" cm="1">
        <f t="array" ref="H971">_xlfn.IFS(Grammys[[#This Row],[date]] &gt;= DATE(2022,2,1),"Grammys",TRUE,"Grammys TRA")</f>
        <v>Grammys TRA</v>
      </c>
      <c r="I971">
        <f>_xlfn.XLOOKUP(Grammys[[#This Row],[date]],mobile_visits[date],mobile_visits[mobile_visitors],0)</f>
        <v>0</v>
      </c>
    </row>
    <row r="972" spans="1:9">
      <c r="A972" s="1">
        <v>43706</v>
      </c>
      <c r="B972">
        <v>12813</v>
      </c>
      <c r="C972">
        <v>18124</v>
      </c>
      <c r="D972">
        <v>13458</v>
      </c>
      <c r="E972">
        <v>6553</v>
      </c>
      <c r="F972">
        <v>75</v>
      </c>
      <c r="G972" t="s">
        <v>9</v>
      </c>
      <c r="H972" t="str" cm="1">
        <f t="array" ref="H972">_xlfn.IFS(Grammys[[#This Row],[date]] &gt;= DATE(2022,2,1),"Grammys",TRUE,"Grammys TRA")</f>
        <v>Grammys TRA</v>
      </c>
      <c r="I972">
        <f>_xlfn.XLOOKUP(Grammys[[#This Row],[date]],mobile_visits[date],mobile_visits[mobile_visitors],0)</f>
        <v>0</v>
      </c>
    </row>
    <row r="973" spans="1:9">
      <c r="A973" s="1">
        <v>43707</v>
      </c>
      <c r="B973">
        <v>10930</v>
      </c>
      <c r="C973">
        <v>15938</v>
      </c>
      <c r="D973">
        <v>11504</v>
      </c>
      <c r="E973">
        <v>5591</v>
      </c>
      <c r="F973">
        <v>75</v>
      </c>
      <c r="G973" t="s">
        <v>9</v>
      </c>
      <c r="H973" t="str" cm="1">
        <f t="array" ref="H973">_xlfn.IFS(Grammys[[#This Row],[date]] &gt;= DATE(2022,2,1),"Grammys",TRUE,"Grammys TRA")</f>
        <v>Grammys TRA</v>
      </c>
      <c r="I973">
        <f>_xlfn.XLOOKUP(Grammys[[#This Row],[date]],mobile_visits[date],mobile_visits[mobile_visitors],0)</f>
        <v>0</v>
      </c>
    </row>
    <row r="974" spans="1:9">
      <c r="A974" s="1">
        <v>43708</v>
      </c>
      <c r="B974">
        <v>14794</v>
      </c>
      <c r="C974">
        <v>18583</v>
      </c>
      <c r="D974">
        <v>15549</v>
      </c>
      <c r="E974">
        <v>4947</v>
      </c>
      <c r="F974">
        <v>50</v>
      </c>
      <c r="G974" t="s">
        <v>9</v>
      </c>
      <c r="H974" t="str" cm="1">
        <f t="array" ref="H974">_xlfn.IFS(Grammys[[#This Row],[date]] &gt;= DATE(2022,2,1),"Grammys",TRUE,"Grammys TRA")</f>
        <v>Grammys TRA</v>
      </c>
      <c r="I974">
        <f>_xlfn.XLOOKUP(Grammys[[#This Row],[date]],mobile_visits[date],mobile_visits[mobile_visitors],0)</f>
        <v>0</v>
      </c>
    </row>
    <row r="975" spans="1:9">
      <c r="A975" s="1">
        <v>43709</v>
      </c>
      <c r="B975">
        <v>14627</v>
      </c>
      <c r="C975">
        <v>17877</v>
      </c>
      <c r="D975">
        <v>15121</v>
      </c>
      <c r="E975">
        <v>4827</v>
      </c>
      <c r="F975">
        <v>49</v>
      </c>
      <c r="G975" t="s">
        <v>9</v>
      </c>
      <c r="H975" t="str" cm="1">
        <f t="array" ref="H975">_xlfn.IFS(Grammys[[#This Row],[date]] &gt;= DATE(2022,2,1),"Grammys",TRUE,"Grammys TRA")</f>
        <v>Grammys TRA</v>
      </c>
      <c r="I975">
        <f>_xlfn.XLOOKUP(Grammys[[#This Row],[date]],mobile_visits[date],mobile_visits[mobile_visitors],0)</f>
        <v>0</v>
      </c>
    </row>
    <row r="976" spans="1:9">
      <c r="A976" s="1">
        <v>43710</v>
      </c>
      <c r="B976">
        <v>8695</v>
      </c>
      <c r="C976">
        <v>12655</v>
      </c>
      <c r="D976">
        <v>9176</v>
      </c>
      <c r="E976">
        <v>4346</v>
      </c>
      <c r="F976">
        <v>79</v>
      </c>
      <c r="G976" t="s">
        <v>9</v>
      </c>
      <c r="H976" t="str" cm="1">
        <f t="array" ref="H976">_xlfn.IFS(Grammys[[#This Row],[date]] &gt;= DATE(2022,2,1),"Grammys",TRUE,"Grammys TRA")</f>
        <v>Grammys TRA</v>
      </c>
      <c r="I976">
        <f>_xlfn.XLOOKUP(Grammys[[#This Row],[date]],mobile_visits[date],mobile_visits[mobile_visitors],0)</f>
        <v>0</v>
      </c>
    </row>
    <row r="977" spans="1:9">
      <c r="A977" s="1">
        <v>43711</v>
      </c>
      <c r="B977">
        <v>8340</v>
      </c>
      <c r="C977">
        <v>12519</v>
      </c>
      <c r="D977">
        <v>8781</v>
      </c>
      <c r="E977">
        <v>4285</v>
      </c>
      <c r="F977">
        <v>80</v>
      </c>
      <c r="G977" t="s">
        <v>9</v>
      </c>
      <c r="H977" t="str" cm="1">
        <f t="array" ref="H977">_xlfn.IFS(Grammys[[#This Row],[date]] &gt;= DATE(2022,2,1),"Grammys",TRUE,"Grammys TRA")</f>
        <v>Grammys TRA</v>
      </c>
      <c r="I977">
        <f>_xlfn.XLOOKUP(Grammys[[#This Row],[date]],mobile_visits[date],mobile_visits[mobile_visitors],0)</f>
        <v>0</v>
      </c>
    </row>
    <row r="978" spans="1:9">
      <c r="A978" s="1">
        <v>43712</v>
      </c>
      <c r="B978">
        <v>10296</v>
      </c>
      <c r="C978">
        <v>13732</v>
      </c>
      <c r="D978">
        <v>10767</v>
      </c>
      <c r="E978">
        <v>4909</v>
      </c>
      <c r="F978">
        <v>73</v>
      </c>
      <c r="G978" t="s">
        <v>9</v>
      </c>
      <c r="H978" t="str" cm="1">
        <f t="array" ref="H978">_xlfn.IFS(Grammys[[#This Row],[date]] &gt;= DATE(2022,2,1),"Grammys",TRUE,"Grammys TRA")</f>
        <v>Grammys TRA</v>
      </c>
      <c r="I978">
        <f>_xlfn.XLOOKUP(Grammys[[#This Row],[date]],mobile_visits[date],mobile_visits[mobile_visitors],0)</f>
        <v>0</v>
      </c>
    </row>
    <row r="979" spans="1:9">
      <c r="A979" s="1">
        <v>43713</v>
      </c>
      <c r="B979">
        <v>25821</v>
      </c>
      <c r="C979">
        <v>30424</v>
      </c>
      <c r="D979">
        <v>26382</v>
      </c>
      <c r="E979">
        <v>8042</v>
      </c>
      <c r="F979">
        <v>86</v>
      </c>
      <c r="G979" t="s">
        <v>9</v>
      </c>
      <c r="H979" t="str" cm="1">
        <f t="array" ref="H979">_xlfn.IFS(Grammys[[#This Row],[date]] &gt;= DATE(2022,2,1),"Grammys",TRUE,"Grammys TRA")</f>
        <v>Grammys TRA</v>
      </c>
      <c r="I979">
        <f>_xlfn.XLOOKUP(Grammys[[#This Row],[date]],mobile_visits[date],mobile_visits[mobile_visitors],0)</f>
        <v>0</v>
      </c>
    </row>
    <row r="980" spans="1:9">
      <c r="A980" s="1">
        <v>43714</v>
      </c>
      <c r="B980">
        <v>11170</v>
      </c>
      <c r="C980">
        <v>14380</v>
      </c>
      <c r="D980">
        <v>11742</v>
      </c>
      <c r="E980">
        <v>5360</v>
      </c>
      <c r="F980">
        <v>79</v>
      </c>
      <c r="G980" t="s">
        <v>9</v>
      </c>
      <c r="H980" t="str" cm="1">
        <f t="array" ref="H980">_xlfn.IFS(Grammys[[#This Row],[date]] &gt;= DATE(2022,2,1),"Grammys",TRUE,"Grammys TRA")</f>
        <v>Grammys TRA</v>
      </c>
      <c r="I980">
        <f>_xlfn.XLOOKUP(Grammys[[#This Row],[date]],mobile_visits[date],mobile_visits[mobile_visitors],0)</f>
        <v>0</v>
      </c>
    </row>
    <row r="981" spans="1:9">
      <c r="A981" s="1">
        <v>43715</v>
      </c>
      <c r="B981">
        <v>10037</v>
      </c>
      <c r="C981">
        <v>13005</v>
      </c>
      <c r="D981">
        <v>10528</v>
      </c>
      <c r="E981">
        <v>4615</v>
      </c>
      <c r="F981">
        <v>80</v>
      </c>
      <c r="G981" t="s">
        <v>9</v>
      </c>
      <c r="H981" t="str" cm="1">
        <f t="array" ref="H981">_xlfn.IFS(Grammys[[#This Row],[date]] &gt;= DATE(2022,2,1),"Grammys",TRUE,"Grammys TRA")</f>
        <v>Grammys TRA</v>
      </c>
      <c r="I981">
        <f>_xlfn.XLOOKUP(Grammys[[#This Row],[date]],mobile_visits[date],mobile_visits[mobile_visitors],0)</f>
        <v>0</v>
      </c>
    </row>
    <row r="982" spans="1:9">
      <c r="A982" s="1">
        <v>43716</v>
      </c>
      <c r="B982">
        <v>9921</v>
      </c>
      <c r="C982">
        <v>13048</v>
      </c>
      <c r="D982">
        <v>10285</v>
      </c>
      <c r="E982">
        <v>4307</v>
      </c>
      <c r="F982">
        <v>79</v>
      </c>
      <c r="G982" t="s">
        <v>9</v>
      </c>
      <c r="H982" t="str" cm="1">
        <f t="array" ref="H982">_xlfn.IFS(Grammys[[#This Row],[date]] &gt;= DATE(2022,2,1),"Grammys",TRUE,"Grammys TRA")</f>
        <v>Grammys TRA</v>
      </c>
      <c r="I982">
        <f>_xlfn.XLOOKUP(Grammys[[#This Row],[date]],mobile_visits[date],mobile_visits[mobile_visitors],0)</f>
        <v>0</v>
      </c>
    </row>
    <row r="983" spans="1:9">
      <c r="A983" s="1">
        <v>43717</v>
      </c>
      <c r="B983">
        <v>7993</v>
      </c>
      <c r="C983">
        <v>11929</v>
      </c>
      <c r="D983">
        <v>8515</v>
      </c>
      <c r="E983">
        <v>4135</v>
      </c>
      <c r="F983">
        <v>83</v>
      </c>
      <c r="G983" t="s">
        <v>9</v>
      </c>
      <c r="H983" t="str" cm="1">
        <f t="array" ref="H983">_xlfn.IFS(Grammys[[#This Row],[date]] &gt;= DATE(2022,2,1),"Grammys",TRUE,"Grammys TRA")</f>
        <v>Grammys TRA</v>
      </c>
      <c r="I983">
        <f>_xlfn.XLOOKUP(Grammys[[#This Row],[date]],mobile_visits[date],mobile_visits[mobile_visitors],0)</f>
        <v>0</v>
      </c>
    </row>
    <row r="984" spans="1:9">
      <c r="A984" s="1">
        <v>43718</v>
      </c>
      <c r="B984">
        <v>7871</v>
      </c>
      <c r="C984">
        <v>11633</v>
      </c>
      <c r="D984">
        <v>8298</v>
      </c>
      <c r="E984">
        <v>3829</v>
      </c>
      <c r="F984">
        <v>91</v>
      </c>
      <c r="G984" t="s">
        <v>9</v>
      </c>
      <c r="H984" t="str" cm="1">
        <f t="array" ref="H984">_xlfn.IFS(Grammys[[#This Row],[date]] &gt;= DATE(2022,2,1),"Grammys",TRUE,"Grammys TRA")</f>
        <v>Grammys TRA</v>
      </c>
      <c r="I984">
        <f>_xlfn.XLOOKUP(Grammys[[#This Row],[date]],mobile_visits[date],mobile_visits[mobile_visitors],0)</f>
        <v>0</v>
      </c>
    </row>
    <row r="985" spans="1:9">
      <c r="A985" s="1">
        <v>43719</v>
      </c>
      <c r="B985">
        <v>15129</v>
      </c>
      <c r="C985">
        <v>17449</v>
      </c>
      <c r="D985">
        <v>15883</v>
      </c>
      <c r="E985">
        <v>7896</v>
      </c>
      <c r="F985">
        <v>91</v>
      </c>
      <c r="G985" t="s">
        <v>9</v>
      </c>
      <c r="H985" t="str" cm="1">
        <f t="array" ref="H985">_xlfn.IFS(Grammys[[#This Row],[date]] &gt;= DATE(2022,2,1),"Grammys",TRUE,"Grammys TRA")</f>
        <v>Grammys TRA</v>
      </c>
      <c r="I985">
        <f>_xlfn.XLOOKUP(Grammys[[#This Row],[date]],mobile_visits[date],mobile_visits[mobile_visitors],0)</f>
        <v>0</v>
      </c>
    </row>
    <row r="986" spans="1:9">
      <c r="A986" s="1">
        <v>43720</v>
      </c>
      <c r="B986">
        <v>11051</v>
      </c>
      <c r="C986">
        <v>13777</v>
      </c>
      <c r="D986">
        <v>11461</v>
      </c>
      <c r="E986">
        <v>5312</v>
      </c>
      <c r="F986">
        <v>91</v>
      </c>
      <c r="G986" t="s">
        <v>9</v>
      </c>
      <c r="H986" t="str" cm="1">
        <f t="array" ref="H986">_xlfn.IFS(Grammys[[#This Row],[date]] &gt;= DATE(2022,2,1),"Grammys",TRUE,"Grammys TRA")</f>
        <v>Grammys TRA</v>
      </c>
      <c r="I986">
        <f>_xlfn.XLOOKUP(Grammys[[#This Row],[date]],mobile_visits[date],mobile_visits[mobile_visitors],0)</f>
        <v>0</v>
      </c>
    </row>
    <row r="987" spans="1:9">
      <c r="A987" s="1">
        <v>43721</v>
      </c>
      <c r="B987">
        <v>18065</v>
      </c>
      <c r="C987">
        <v>21594</v>
      </c>
      <c r="D987">
        <v>18658</v>
      </c>
      <c r="E987">
        <v>12083</v>
      </c>
      <c r="F987">
        <v>54</v>
      </c>
      <c r="G987" t="s">
        <v>9</v>
      </c>
      <c r="H987" t="str" cm="1">
        <f t="array" ref="H987">_xlfn.IFS(Grammys[[#This Row],[date]] &gt;= DATE(2022,2,1),"Grammys",TRUE,"Grammys TRA")</f>
        <v>Grammys TRA</v>
      </c>
      <c r="I987">
        <f>_xlfn.XLOOKUP(Grammys[[#This Row],[date]],mobile_visits[date],mobile_visits[mobile_visitors],0)</f>
        <v>0</v>
      </c>
    </row>
    <row r="988" spans="1:9">
      <c r="A988" s="1">
        <v>43722</v>
      </c>
      <c r="B988">
        <v>23228</v>
      </c>
      <c r="C988">
        <v>27025</v>
      </c>
      <c r="D988">
        <v>23578</v>
      </c>
      <c r="E988">
        <v>17495</v>
      </c>
      <c r="F988">
        <v>37</v>
      </c>
      <c r="G988" t="s">
        <v>9</v>
      </c>
      <c r="H988" t="str" cm="1">
        <f t="array" ref="H988">_xlfn.IFS(Grammys[[#This Row],[date]] &gt;= DATE(2022,2,1),"Grammys",TRUE,"Grammys TRA")</f>
        <v>Grammys TRA</v>
      </c>
      <c r="I988">
        <f>_xlfn.XLOOKUP(Grammys[[#This Row],[date]],mobile_visits[date],mobile_visits[mobile_visitors],0)</f>
        <v>0</v>
      </c>
    </row>
    <row r="989" spans="1:9">
      <c r="A989" s="1">
        <v>43723</v>
      </c>
      <c r="B989">
        <v>18797</v>
      </c>
      <c r="C989">
        <v>22900</v>
      </c>
      <c r="D989">
        <v>19270</v>
      </c>
      <c r="E989">
        <v>13640</v>
      </c>
      <c r="F989">
        <v>44</v>
      </c>
      <c r="G989" t="s">
        <v>9</v>
      </c>
      <c r="H989" t="str" cm="1">
        <f t="array" ref="H989">_xlfn.IFS(Grammys[[#This Row],[date]] &gt;= DATE(2022,2,1),"Grammys",TRUE,"Grammys TRA")</f>
        <v>Grammys TRA</v>
      </c>
      <c r="I989">
        <f>_xlfn.XLOOKUP(Grammys[[#This Row],[date]],mobile_visits[date],mobile_visits[mobile_visitors],0)</f>
        <v>0</v>
      </c>
    </row>
    <row r="990" spans="1:9">
      <c r="A990" s="1">
        <v>43724</v>
      </c>
      <c r="B990">
        <v>14136</v>
      </c>
      <c r="C990">
        <v>17913</v>
      </c>
      <c r="D990">
        <v>14702</v>
      </c>
      <c r="E990">
        <v>9333</v>
      </c>
      <c r="F990">
        <v>57</v>
      </c>
      <c r="G990" t="s">
        <v>9</v>
      </c>
      <c r="H990" t="str" cm="1">
        <f t="array" ref="H990">_xlfn.IFS(Grammys[[#This Row],[date]] &gt;= DATE(2022,2,1),"Grammys",TRUE,"Grammys TRA")</f>
        <v>Grammys TRA</v>
      </c>
      <c r="I990">
        <f>_xlfn.XLOOKUP(Grammys[[#This Row],[date]],mobile_visits[date],mobile_visits[mobile_visitors],0)</f>
        <v>0</v>
      </c>
    </row>
    <row r="991" spans="1:9">
      <c r="A991" s="1">
        <v>43725</v>
      </c>
      <c r="B991">
        <v>9528</v>
      </c>
      <c r="C991">
        <v>13382</v>
      </c>
      <c r="D991">
        <v>10084</v>
      </c>
      <c r="E991">
        <v>5203</v>
      </c>
      <c r="F991">
        <v>76</v>
      </c>
      <c r="G991" t="s">
        <v>9</v>
      </c>
      <c r="H991" t="str" cm="1">
        <f t="array" ref="H991">_xlfn.IFS(Grammys[[#This Row],[date]] &gt;= DATE(2022,2,1),"Grammys",TRUE,"Grammys TRA")</f>
        <v>Grammys TRA</v>
      </c>
      <c r="I991">
        <f>_xlfn.XLOOKUP(Grammys[[#This Row],[date]],mobile_visits[date],mobile_visits[mobile_visitors],0)</f>
        <v>0</v>
      </c>
    </row>
    <row r="992" spans="1:9">
      <c r="A992" s="1">
        <v>43726</v>
      </c>
      <c r="B992">
        <v>9187</v>
      </c>
      <c r="C992">
        <v>13050</v>
      </c>
      <c r="D992">
        <v>9661</v>
      </c>
      <c r="E992">
        <v>4671</v>
      </c>
      <c r="F992">
        <v>77</v>
      </c>
      <c r="G992" t="s">
        <v>9</v>
      </c>
      <c r="H992" t="str" cm="1">
        <f t="array" ref="H992">_xlfn.IFS(Grammys[[#This Row],[date]] &gt;= DATE(2022,2,1),"Grammys",TRUE,"Grammys TRA")</f>
        <v>Grammys TRA</v>
      </c>
      <c r="I992">
        <f>_xlfn.XLOOKUP(Grammys[[#This Row],[date]],mobile_visits[date],mobile_visits[mobile_visitors],0)</f>
        <v>0</v>
      </c>
    </row>
    <row r="993" spans="1:9">
      <c r="A993" s="1">
        <v>43727</v>
      </c>
      <c r="B993">
        <v>9078</v>
      </c>
      <c r="C993">
        <v>12770</v>
      </c>
      <c r="D993">
        <v>9630</v>
      </c>
      <c r="E993">
        <v>4570</v>
      </c>
      <c r="F993">
        <v>83</v>
      </c>
      <c r="G993" t="s">
        <v>9</v>
      </c>
      <c r="H993" t="str" cm="1">
        <f t="array" ref="H993">_xlfn.IFS(Grammys[[#This Row],[date]] &gt;= DATE(2022,2,1),"Grammys",TRUE,"Grammys TRA")</f>
        <v>Grammys TRA</v>
      </c>
      <c r="I993">
        <f>_xlfn.XLOOKUP(Grammys[[#This Row],[date]],mobile_visits[date],mobile_visits[mobile_visitors],0)</f>
        <v>0</v>
      </c>
    </row>
    <row r="994" spans="1:9">
      <c r="A994" s="1">
        <v>43728</v>
      </c>
      <c r="B994">
        <v>10102</v>
      </c>
      <c r="C994">
        <v>13531</v>
      </c>
      <c r="D994">
        <v>10645</v>
      </c>
      <c r="E994">
        <v>5333</v>
      </c>
      <c r="F994">
        <v>74</v>
      </c>
      <c r="G994" t="s">
        <v>9</v>
      </c>
      <c r="H994" t="str" cm="1">
        <f t="array" ref="H994">_xlfn.IFS(Grammys[[#This Row],[date]] &gt;= DATE(2022,2,1),"Grammys",TRUE,"Grammys TRA")</f>
        <v>Grammys TRA</v>
      </c>
      <c r="I994">
        <f>_xlfn.XLOOKUP(Grammys[[#This Row],[date]],mobile_visits[date],mobile_visits[mobile_visitors],0)</f>
        <v>0</v>
      </c>
    </row>
    <row r="995" spans="1:9">
      <c r="A995" s="1">
        <v>43729</v>
      </c>
      <c r="B995">
        <v>10161</v>
      </c>
      <c r="C995">
        <v>13843</v>
      </c>
      <c r="D995">
        <v>10710</v>
      </c>
      <c r="E995">
        <v>5251</v>
      </c>
      <c r="F995">
        <v>73</v>
      </c>
      <c r="G995" t="s">
        <v>9</v>
      </c>
      <c r="H995" t="str" cm="1">
        <f t="array" ref="H995">_xlfn.IFS(Grammys[[#This Row],[date]] &gt;= DATE(2022,2,1),"Grammys",TRUE,"Grammys TRA")</f>
        <v>Grammys TRA</v>
      </c>
      <c r="I995">
        <f>_xlfn.XLOOKUP(Grammys[[#This Row],[date]],mobile_visits[date],mobile_visits[mobile_visitors],0)</f>
        <v>0</v>
      </c>
    </row>
    <row r="996" spans="1:9">
      <c r="A996" s="1">
        <v>43730</v>
      </c>
      <c r="B996">
        <v>13074</v>
      </c>
      <c r="C996">
        <v>18192</v>
      </c>
      <c r="D996">
        <v>13544</v>
      </c>
      <c r="E996">
        <v>6246</v>
      </c>
      <c r="F996">
        <v>68</v>
      </c>
      <c r="G996" t="s">
        <v>9</v>
      </c>
      <c r="H996" t="str" cm="1">
        <f t="array" ref="H996">_xlfn.IFS(Grammys[[#This Row],[date]] &gt;= DATE(2022,2,1),"Grammys",TRUE,"Grammys TRA")</f>
        <v>Grammys TRA</v>
      </c>
      <c r="I996">
        <f>_xlfn.XLOOKUP(Grammys[[#This Row],[date]],mobile_visits[date],mobile_visits[mobile_visitors],0)</f>
        <v>0</v>
      </c>
    </row>
    <row r="997" spans="1:9">
      <c r="A997" s="1">
        <v>43731</v>
      </c>
      <c r="B997">
        <v>11947</v>
      </c>
      <c r="C997">
        <v>17078</v>
      </c>
      <c r="D997">
        <v>12455</v>
      </c>
      <c r="E997">
        <v>6304</v>
      </c>
      <c r="F997">
        <v>75</v>
      </c>
      <c r="G997" t="s">
        <v>9</v>
      </c>
      <c r="H997" t="str" cm="1">
        <f t="array" ref="H997">_xlfn.IFS(Grammys[[#This Row],[date]] &gt;= DATE(2022,2,1),"Grammys",TRUE,"Grammys TRA")</f>
        <v>Grammys TRA</v>
      </c>
      <c r="I997">
        <f>_xlfn.XLOOKUP(Grammys[[#This Row],[date]],mobile_visits[date],mobile_visits[mobile_visitors],0)</f>
        <v>0</v>
      </c>
    </row>
    <row r="998" spans="1:9">
      <c r="A998" s="1">
        <v>43732</v>
      </c>
      <c r="B998">
        <v>27064</v>
      </c>
      <c r="C998">
        <v>34492</v>
      </c>
      <c r="D998">
        <v>28229</v>
      </c>
      <c r="E998">
        <v>8150</v>
      </c>
      <c r="F998">
        <v>63</v>
      </c>
      <c r="G998" t="s">
        <v>9</v>
      </c>
      <c r="H998" t="str" cm="1">
        <f t="array" ref="H998">_xlfn.IFS(Grammys[[#This Row],[date]] &gt;= DATE(2022,2,1),"Grammys",TRUE,"Grammys TRA")</f>
        <v>Grammys TRA</v>
      </c>
      <c r="I998">
        <f>_xlfn.XLOOKUP(Grammys[[#This Row],[date]],mobile_visits[date],mobile_visits[mobile_visitors],0)</f>
        <v>0</v>
      </c>
    </row>
    <row r="999" spans="1:9">
      <c r="A999" s="1">
        <v>43733</v>
      </c>
      <c r="B999">
        <v>20065</v>
      </c>
      <c r="C999">
        <v>28921</v>
      </c>
      <c r="D999">
        <v>21178</v>
      </c>
      <c r="E999">
        <v>8656</v>
      </c>
      <c r="F999">
        <v>81</v>
      </c>
      <c r="G999" t="s">
        <v>9</v>
      </c>
      <c r="H999" t="str" cm="1">
        <f t="array" ref="H999">_xlfn.IFS(Grammys[[#This Row],[date]] &gt;= DATE(2022,2,1),"Grammys",TRUE,"Grammys TRA")</f>
        <v>Grammys TRA</v>
      </c>
      <c r="I999">
        <f>_xlfn.XLOOKUP(Grammys[[#This Row],[date]],mobile_visits[date],mobile_visits[mobile_visitors],0)</f>
        <v>0</v>
      </c>
    </row>
    <row r="1000" spans="1:9">
      <c r="A1000" s="1">
        <v>43734</v>
      </c>
      <c r="B1000">
        <v>16694</v>
      </c>
      <c r="C1000">
        <v>25131</v>
      </c>
      <c r="D1000">
        <v>17588</v>
      </c>
      <c r="E1000">
        <v>8117</v>
      </c>
      <c r="F1000">
        <v>72</v>
      </c>
      <c r="G1000" t="s">
        <v>9</v>
      </c>
      <c r="H1000" t="str" cm="1">
        <f t="array" ref="H1000">_xlfn.IFS(Grammys[[#This Row],[date]] &gt;= DATE(2022,2,1),"Grammys",TRUE,"Grammys TRA")</f>
        <v>Grammys TRA</v>
      </c>
      <c r="I1000">
        <f>_xlfn.XLOOKUP(Grammys[[#This Row],[date]],mobile_visits[date],mobile_visits[mobile_visitors],0)</f>
        <v>0</v>
      </c>
    </row>
    <row r="1001" spans="1:9">
      <c r="A1001" s="1">
        <v>43735</v>
      </c>
      <c r="B1001">
        <v>13417</v>
      </c>
      <c r="C1001">
        <v>20939</v>
      </c>
      <c r="D1001">
        <v>14267</v>
      </c>
      <c r="E1001">
        <v>6703</v>
      </c>
      <c r="F1001">
        <v>73</v>
      </c>
      <c r="G1001" t="s">
        <v>9</v>
      </c>
      <c r="H1001" t="str" cm="1">
        <f t="array" ref="H1001">_xlfn.IFS(Grammys[[#This Row],[date]] &gt;= DATE(2022,2,1),"Grammys",TRUE,"Grammys TRA")</f>
        <v>Grammys TRA</v>
      </c>
      <c r="I1001">
        <f>_xlfn.XLOOKUP(Grammys[[#This Row],[date]],mobile_visits[date],mobile_visits[mobile_visitors],0)</f>
        <v>0</v>
      </c>
    </row>
    <row r="1002" spans="1:9">
      <c r="A1002" s="1">
        <v>43736</v>
      </c>
      <c r="B1002">
        <v>11283</v>
      </c>
      <c r="C1002">
        <v>17859</v>
      </c>
      <c r="D1002">
        <v>12065</v>
      </c>
      <c r="E1002">
        <v>5695</v>
      </c>
      <c r="F1002">
        <v>78</v>
      </c>
      <c r="G1002" t="s">
        <v>9</v>
      </c>
      <c r="H1002" t="str" cm="1">
        <f t="array" ref="H1002">_xlfn.IFS(Grammys[[#This Row],[date]] &gt;= DATE(2022,2,1),"Grammys",TRUE,"Grammys TRA")</f>
        <v>Grammys TRA</v>
      </c>
      <c r="I1002">
        <f>_xlfn.XLOOKUP(Grammys[[#This Row],[date]],mobile_visits[date],mobile_visits[mobile_visitors],0)</f>
        <v>0</v>
      </c>
    </row>
    <row r="1003" spans="1:9">
      <c r="A1003" s="1">
        <v>43737</v>
      </c>
      <c r="B1003">
        <v>10719</v>
      </c>
      <c r="C1003">
        <v>16852</v>
      </c>
      <c r="D1003">
        <v>11446</v>
      </c>
      <c r="E1003">
        <v>5537</v>
      </c>
      <c r="F1003">
        <v>77</v>
      </c>
      <c r="G1003" t="s">
        <v>9</v>
      </c>
      <c r="H1003" t="str" cm="1">
        <f t="array" ref="H1003">_xlfn.IFS(Grammys[[#This Row],[date]] &gt;= DATE(2022,2,1),"Grammys",TRUE,"Grammys TRA")</f>
        <v>Grammys TRA</v>
      </c>
      <c r="I1003">
        <f>_xlfn.XLOOKUP(Grammys[[#This Row],[date]],mobile_visits[date],mobile_visits[mobile_visitors],0)</f>
        <v>0</v>
      </c>
    </row>
    <row r="1004" spans="1:9">
      <c r="A1004" s="1">
        <v>43738</v>
      </c>
      <c r="B1004">
        <v>11582</v>
      </c>
      <c r="C1004">
        <v>17360</v>
      </c>
      <c r="D1004">
        <v>12392</v>
      </c>
      <c r="E1004">
        <v>5776</v>
      </c>
      <c r="F1004">
        <v>81</v>
      </c>
      <c r="G1004" t="s">
        <v>9</v>
      </c>
      <c r="H1004" t="str" cm="1">
        <f t="array" ref="H1004">_xlfn.IFS(Grammys[[#This Row],[date]] &gt;= DATE(2022,2,1),"Grammys",TRUE,"Grammys TRA")</f>
        <v>Grammys TRA</v>
      </c>
      <c r="I1004">
        <f>_xlfn.XLOOKUP(Grammys[[#This Row],[date]],mobile_visits[date],mobile_visits[mobile_visitors],0)</f>
        <v>0</v>
      </c>
    </row>
    <row r="1005" spans="1:9">
      <c r="A1005" s="1">
        <v>43739</v>
      </c>
      <c r="B1005">
        <v>12212</v>
      </c>
      <c r="C1005">
        <v>17328</v>
      </c>
      <c r="D1005">
        <v>12816</v>
      </c>
      <c r="E1005">
        <v>5960</v>
      </c>
      <c r="F1005">
        <v>76</v>
      </c>
      <c r="G1005" t="s">
        <v>9</v>
      </c>
      <c r="H1005" t="str" cm="1">
        <f t="array" ref="H1005">_xlfn.IFS(Grammys[[#This Row],[date]] &gt;= DATE(2022,2,1),"Grammys",TRUE,"Grammys TRA")</f>
        <v>Grammys TRA</v>
      </c>
      <c r="I1005">
        <f>_xlfn.XLOOKUP(Grammys[[#This Row],[date]],mobile_visits[date],mobile_visits[mobile_visitors],0)</f>
        <v>0</v>
      </c>
    </row>
    <row r="1006" spans="1:9">
      <c r="A1006" s="1">
        <v>43740</v>
      </c>
      <c r="B1006">
        <v>11405</v>
      </c>
      <c r="C1006">
        <v>16876</v>
      </c>
      <c r="D1006">
        <v>12034</v>
      </c>
      <c r="E1006">
        <v>5600</v>
      </c>
      <c r="F1006">
        <v>75</v>
      </c>
      <c r="G1006" t="s">
        <v>9</v>
      </c>
      <c r="H1006" t="str" cm="1">
        <f t="array" ref="H1006">_xlfn.IFS(Grammys[[#This Row],[date]] &gt;= DATE(2022,2,1),"Grammys",TRUE,"Grammys TRA")</f>
        <v>Grammys TRA</v>
      </c>
      <c r="I1006">
        <f>_xlfn.XLOOKUP(Grammys[[#This Row],[date]],mobile_visits[date],mobile_visits[mobile_visitors],0)</f>
        <v>0</v>
      </c>
    </row>
    <row r="1007" spans="1:9">
      <c r="A1007" s="1">
        <v>43741</v>
      </c>
      <c r="B1007">
        <v>11627</v>
      </c>
      <c r="C1007">
        <v>17068</v>
      </c>
      <c r="D1007">
        <v>12341</v>
      </c>
      <c r="E1007">
        <v>5862</v>
      </c>
      <c r="F1007">
        <v>81</v>
      </c>
      <c r="G1007" t="s">
        <v>9</v>
      </c>
      <c r="H1007" t="str" cm="1">
        <f t="array" ref="H1007">_xlfn.IFS(Grammys[[#This Row],[date]] &gt;= DATE(2022,2,1),"Grammys",TRUE,"Grammys TRA")</f>
        <v>Grammys TRA</v>
      </c>
      <c r="I1007">
        <f>_xlfn.XLOOKUP(Grammys[[#This Row],[date]],mobile_visits[date],mobile_visits[mobile_visitors],0)</f>
        <v>0</v>
      </c>
    </row>
    <row r="1008" spans="1:9">
      <c r="A1008" s="1">
        <v>43742</v>
      </c>
      <c r="B1008">
        <v>11427</v>
      </c>
      <c r="C1008">
        <v>16908</v>
      </c>
      <c r="D1008">
        <v>12244</v>
      </c>
      <c r="E1008">
        <v>5625</v>
      </c>
      <c r="F1008">
        <v>79</v>
      </c>
      <c r="G1008" t="s">
        <v>9</v>
      </c>
      <c r="H1008" t="str" cm="1">
        <f t="array" ref="H1008">_xlfn.IFS(Grammys[[#This Row],[date]] &gt;= DATE(2022,2,1),"Grammys",TRUE,"Grammys TRA")</f>
        <v>Grammys TRA</v>
      </c>
      <c r="I1008">
        <f>_xlfn.XLOOKUP(Grammys[[#This Row],[date]],mobile_visits[date],mobile_visits[mobile_visitors],0)</f>
        <v>0</v>
      </c>
    </row>
    <row r="1009" spans="1:9">
      <c r="A1009" s="1">
        <v>43743</v>
      </c>
      <c r="B1009">
        <v>12796</v>
      </c>
      <c r="C1009">
        <v>20098</v>
      </c>
      <c r="D1009">
        <v>13735</v>
      </c>
      <c r="E1009">
        <v>6813</v>
      </c>
      <c r="F1009">
        <v>66</v>
      </c>
      <c r="G1009" t="s">
        <v>9</v>
      </c>
      <c r="H1009" t="str" cm="1">
        <f t="array" ref="H1009">_xlfn.IFS(Grammys[[#This Row],[date]] &gt;= DATE(2022,2,1),"Grammys",TRUE,"Grammys TRA")</f>
        <v>Grammys TRA</v>
      </c>
      <c r="I1009">
        <f>_xlfn.XLOOKUP(Grammys[[#This Row],[date]],mobile_visits[date],mobile_visits[mobile_visitors],0)</f>
        <v>0</v>
      </c>
    </row>
    <row r="1010" spans="1:9">
      <c r="A1010" s="1">
        <v>43744</v>
      </c>
      <c r="B1010">
        <v>14441</v>
      </c>
      <c r="C1010">
        <v>23729</v>
      </c>
      <c r="D1010">
        <v>15540</v>
      </c>
      <c r="E1010">
        <v>7614</v>
      </c>
      <c r="F1010">
        <v>72</v>
      </c>
      <c r="G1010" t="s">
        <v>9</v>
      </c>
      <c r="H1010" t="str" cm="1">
        <f t="array" ref="H1010">_xlfn.IFS(Grammys[[#This Row],[date]] &gt;= DATE(2022,2,1),"Grammys",TRUE,"Grammys TRA")</f>
        <v>Grammys TRA</v>
      </c>
      <c r="I1010">
        <f>_xlfn.XLOOKUP(Grammys[[#This Row],[date]],mobile_visits[date],mobile_visits[mobile_visitors],0)</f>
        <v>0</v>
      </c>
    </row>
    <row r="1011" spans="1:9">
      <c r="A1011" s="1">
        <v>43745</v>
      </c>
      <c r="B1011">
        <v>17752</v>
      </c>
      <c r="C1011">
        <v>27229</v>
      </c>
      <c r="D1011">
        <v>18772</v>
      </c>
      <c r="E1011">
        <v>10274</v>
      </c>
      <c r="F1011">
        <v>64</v>
      </c>
      <c r="G1011" t="s">
        <v>9</v>
      </c>
      <c r="H1011" t="str" cm="1">
        <f t="array" ref="H1011">_xlfn.IFS(Grammys[[#This Row],[date]] &gt;= DATE(2022,2,1),"Grammys",TRUE,"Grammys TRA")</f>
        <v>Grammys TRA</v>
      </c>
      <c r="I1011">
        <f>_xlfn.XLOOKUP(Grammys[[#This Row],[date]],mobile_visits[date],mobile_visits[mobile_visitors],0)</f>
        <v>0</v>
      </c>
    </row>
    <row r="1012" spans="1:9">
      <c r="A1012" s="1">
        <v>43746</v>
      </c>
      <c r="B1012">
        <v>16721</v>
      </c>
      <c r="C1012">
        <v>25420</v>
      </c>
      <c r="D1012">
        <v>17664</v>
      </c>
      <c r="E1012">
        <v>8771</v>
      </c>
      <c r="F1012">
        <v>70</v>
      </c>
      <c r="G1012" t="s">
        <v>9</v>
      </c>
      <c r="H1012" t="str" cm="1">
        <f t="array" ref="H1012">_xlfn.IFS(Grammys[[#This Row],[date]] &gt;= DATE(2022,2,1),"Grammys",TRUE,"Grammys TRA")</f>
        <v>Grammys TRA</v>
      </c>
      <c r="I1012">
        <f>_xlfn.XLOOKUP(Grammys[[#This Row],[date]],mobile_visits[date],mobile_visits[mobile_visitors],0)</f>
        <v>0</v>
      </c>
    </row>
    <row r="1013" spans="1:9">
      <c r="A1013" s="1">
        <v>43747</v>
      </c>
      <c r="B1013">
        <v>13744</v>
      </c>
      <c r="C1013">
        <v>21194</v>
      </c>
      <c r="D1013">
        <v>14515</v>
      </c>
      <c r="E1013">
        <v>6879</v>
      </c>
      <c r="F1013">
        <v>75</v>
      </c>
      <c r="G1013" t="s">
        <v>9</v>
      </c>
      <c r="H1013" t="str" cm="1">
        <f t="array" ref="H1013">_xlfn.IFS(Grammys[[#This Row],[date]] &gt;= DATE(2022,2,1),"Grammys",TRUE,"Grammys TRA")</f>
        <v>Grammys TRA</v>
      </c>
      <c r="I1013">
        <f>_xlfn.XLOOKUP(Grammys[[#This Row],[date]],mobile_visits[date],mobile_visits[mobile_visitors],0)</f>
        <v>0</v>
      </c>
    </row>
    <row r="1014" spans="1:9">
      <c r="A1014" s="1">
        <v>43748</v>
      </c>
      <c r="B1014">
        <v>12265</v>
      </c>
      <c r="C1014">
        <v>19320</v>
      </c>
      <c r="D1014">
        <v>13126</v>
      </c>
      <c r="E1014">
        <v>5995</v>
      </c>
      <c r="F1014">
        <v>77</v>
      </c>
      <c r="G1014" t="s">
        <v>9</v>
      </c>
      <c r="H1014" t="str" cm="1">
        <f t="array" ref="H1014">_xlfn.IFS(Grammys[[#This Row],[date]] &gt;= DATE(2022,2,1),"Grammys",TRUE,"Grammys TRA")</f>
        <v>Grammys TRA</v>
      </c>
      <c r="I1014">
        <f>_xlfn.XLOOKUP(Grammys[[#This Row],[date]],mobile_visits[date],mobile_visits[mobile_visitors],0)</f>
        <v>0</v>
      </c>
    </row>
    <row r="1015" spans="1:9">
      <c r="A1015" s="1">
        <v>43749</v>
      </c>
      <c r="B1015">
        <v>10819</v>
      </c>
      <c r="C1015">
        <v>15829</v>
      </c>
      <c r="D1015">
        <v>11510</v>
      </c>
      <c r="E1015">
        <v>5576</v>
      </c>
      <c r="F1015">
        <v>71</v>
      </c>
      <c r="G1015" t="s">
        <v>9</v>
      </c>
      <c r="H1015" t="str" cm="1">
        <f t="array" ref="H1015">_xlfn.IFS(Grammys[[#This Row],[date]] &gt;= DATE(2022,2,1),"Grammys",TRUE,"Grammys TRA")</f>
        <v>Grammys TRA</v>
      </c>
      <c r="I1015">
        <f>_xlfn.XLOOKUP(Grammys[[#This Row],[date]],mobile_visits[date],mobile_visits[mobile_visitors],0)</f>
        <v>0</v>
      </c>
    </row>
    <row r="1016" spans="1:9">
      <c r="A1016" s="1">
        <v>43750</v>
      </c>
      <c r="B1016">
        <v>10731</v>
      </c>
      <c r="C1016">
        <v>15343</v>
      </c>
      <c r="D1016">
        <v>11457</v>
      </c>
      <c r="E1016">
        <v>5304</v>
      </c>
      <c r="F1016">
        <v>73</v>
      </c>
      <c r="G1016" t="s">
        <v>9</v>
      </c>
      <c r="H1016" t="str" cm="1">
        <f t="array" ref="H1016">_xlfn.IFS(Grammys[[#This Row],[date]] &gt;= DATE(2022,2,1),"Grammys",TRUE,"Grammys TRA")</f>
        <v>Grammys TRA</v>
      </c>
      <c r="I1016">
        <f>_xlfn.XLOOKUP(Grammys[[#This Row],[date]],mobile_visits[date],mobile_visits[mobile_visitors],0)</f>
        <v>0</v>
      </c>
    </row>
    <row r="1017" spans="1:9">
      <c r="A1017" s="1">
        <v>43751</v>
      </c>
      <c r="B1017">
        <v>11359</v>
      </c>
      <c r="C1017">
        <v>16675</v>
      </c>
      <c r="D1017">
        <v>12208</v>
      </c>
      <c r="E1017">
        <v>5235</v>
      </c>
      <c r="F1017">
        <v>76</v>
      </c>
      <c r="G1017" t="s">
        <v>9</v>
      </c>
      <c r="H1017" t="str" cm="1">
        <f t="array" ref="H1017">_xlfn.IFS(Grammys[[#This Row],[date]] &gt;= DATE(2022,2,1),"Grammys",TRUE,"Grammys TRA")</f>
        <v>Grammys TRA</v>
      </c>
      <c r="I1017">
        <f>_xlfn.XLOOKUP(Grammys[[#This Row],[date]],mobile_visits[date],mobile_visits[mobile_visitors],0)</f>
        <v>0</v>
      </c>
    </row>
    <row r="1018" spans="1:9">
      <c r="A1018" s="1">
        <v>43752</v>
      </c>
      <c r="B1018">
        <v>11114</v>
      </c>
      <c r="C1018">
        <v>15872</v>
      </c>
      <c r="D1018">
        <v>11783</v>
      </c>
      <c r="E1018">
        <v>5421</v>
      </c>
      <c r="F1018">
        <v>72</v>
      </c>
      <c r="G1018" t="s">
        <v>9</v>
      </c>
      <c r="H1018" t="str" cm="1">
        <f t="array" ref="H1018">_xlfn.IFS(Grammys[[#This Row],[date]] &gt;= DATE(2022,2,1),"Grammys",TRUE,"Grammys TRA")</f>
        <v>Grammys TRA</v>
      </c>
      <c r="I1018">
        <f>_xlfn.XLOOKUP(Grammys[[#This Row],[date]],mobile_visits[date],mobile_visits[mobile_visitors],0)</f>
        <v>0</v>
      </c>
    </row>
    <row r="1019" spans="1:9">
      <c r="A1019" s="1">
        <v>43753</v>
      </c>
      <c r="B1019">
        <v>10913</v>
      </c>
      <c r="C1019">
        <v>15477</v>
      </c>
      <c r="D1019">
        <v>11404</v>
      </c>
      <c r="E1019">
        <v>5661</v>
      </c>
      <c r="F1019">
        <v>72</v>
      </c>
      <c r="G1019" t="s">
        <v>9</v>
      </c>
      <c r="H1019" t="str" cm="1">
        <f t="array" ref="H1019">_xlfn.IFS(Grammys[[#This Row],[date]] &gt;= DATE(2022,2,1),"Grammys",TRUE,"Grammys TRA")</f>
        <v>Grammys TRA</v>
      </c>
      <c r="I1019">
        <f>_xlfn.XLOOKUP(Grammys[[#This Row],[date]],mobile_visits[date],mobile_visits[mobile_visitors],0)</f>
        <v>0</v>
      </c>
    </row>
    <row r="1020" spans="1:9">
      <c r="A1020" s="1">
        <v>43754</v>
      </c>
      <c r="B1020">
        <v>9965</v>
      </c>
      <c r="C1020">
        <v>14896</v>
      </c>
      <c r="D1020">
        <v>10591</v>
      </c>
      <c r="E1020">
        <v>5298</v>
      </c>
      <c r="F1020">
        <v>76</v>
      </c>
      <c r="G1020" t="s">
        <v>9</v>
      </c>
      <c r="H1020" t="str" cm="1">
        <f t="array" ref="H1020">_xlfn.IFS(Grammys[[#This Row],[date]] &gt;= DATE(2022,2,1),"Grammys",TRUE,"Grammys TRA")</f>
        <v>Grammys TRA</v>
      </c>
      <c r="I1020">
        <f>_xlfn.XLOOKUP(Grammys[[#This Row],[date]],mobile_visits[date],mobile_visits[mobile_visitors],0)</f>
        <v>0</v>
      </c>
    </row>
    <row r="1021" spans="1:9">
      <c r="A1021" s="1">
        <v>43755</v>
      </c>
      <c r="B1021">
        <v>10564</v>
      </c>
      <c r="C1021">
        <v>15268</v>
      </c>
      <c r="D1021">
        <v>11211</v>
      </c>
      <c r="E1021">
        <v>5667</v>
      </c>
      <c r="F1021">
        <v>72</v>
      </c>
      <c r="G1021" t="s">
        <v>9</v>
      </c>
      <c r="H1021" t="str" cm="1">
        <f t="array" ref="H1021">_xlfn.IFS(Grammys[[#This Row],[date]] &gt;= DATE(2022,2,1),"Grammys",TRUE,"Grammys TRA")</f>
        <v>Grammys TRA</v>
      </c>
      <c r="I1021">
        <f>_xlfn.XLOOKUP(Grammys[[#This Row],[date]],mobile_visits[date],mobile_visits[mobile_visitors],0)</f>
        <v>0</v>
      </c>
    </row>
    <row r="1022" spans="1:9">
      <c r="A1022" s="1">
        <v>43756</v>
      </c>
      <c r="B1022">
        <v>10955</v>
      </c>
      <c r="C1022">
        <v>15391</v>
      </c>
      <c r="D1022">
        <v>11645</v>
      </c>
      <c r="E1022">
        <v>5984</v>
      </c>
      <c r="F1022">
        <v>68</v>
      </c>
      <c r="G1022" t="s">
        <v>9</v>
      </c>
      <c r="H1022" t="str" cm="1">
        <f t="array" ref="H1022">_xlfn.IFS(Grammys[[#This Row],[date]] &gt;= DATE(2022,2,1),"Grammys",TRUE,"Grammys TRA")</f>
        <v>Grammys TRA</v>
      </c>
      <c r="I1022">
        <f>_xlfn.XLOOKUP(Grammys[[#This Row],[date]],mobile_visits[date],mobile_visits[mobile_visitors],0)</f>
        <v>0</v>
      </c>
    </row>
    <row r="1023" spans="1:9">
      <c r="A1023" s="1">
        <v>43757</v>
      </c>
      <c r="B1023">
        <v>9374</v>
      </c>
      <c r="C1023">
        <v>14128</v>
      </c>
      <c r="D1023">
        <v>9831</v>
      </c>
      <c r="E1023">
        <v>4996</v>
      </c>
      <c r="F1023">
        <v>73</v>
      </c>
      <c r="G1023" t="s">
        <v>9</v>
      </c>
      <c r="H1023" t="str" cm="1">
        <f t="array" ref="H1023">_xlfn.IFS(Grammys[[#This Row],[date]] &gt;= DATE(2022,2,1),"Grammys",TRUE,"Grammys TRA")</f>
        <v>Grammys TRA</v>
      </c>
      <c r="I1023">
        <f>_xlfn.XLOOKUP(Grammys[[#This Row],[date]],mobile_visits[date],mobile_visits[mobile_visitors],0)</f>
        <v>0</v>
      </c>
    </row>
    <row r="1024" spans="1:9">
      <c r="A1024" s="1">
        <v>43758</v>
      </c>
      <c r="B1024">
        <v>9363</v>
      </c>
      <c r="C1024">
        <v>14163</v>
      </c>
      <c r="D1024">
        <v>9980</v>
      </c>
      <c r="E1024">
        <v>5030</v>
      </c>
      <c r="F1024">
        <v>70</v>
      </c>
      <c r="G1024" t="s">
        <v>9</v>
      </c>
      <c r="H1024" t="str" cm="1">
        <f t="array" ref="H1024">_xlfn.IFS(Grammys[[#This Row],[date]] &gt;= DATE(2022,2,1),"Grammys",TRUE,"Grammys TRA")</f>
        <v>Grammys TRA</v>
      </c>
      <c r="I1024">
        <f>_xlfn.XLOOKUP(Grammys[[#This Row],[date]],mobile_visits[date],mobile_visits[mobile_visitors],0)</f>
        <v>0</v>
      </c>
    </row>
    <row r="1025" spans="1:9">
      <c r="A1025" s="1">
        <v>43759</v>
      </c>
      <c r="B1025">
        <v>10841</v>
      </c>
      <c r="C1025">
        <v>15819</v>
      </c>
      <c r="D1025">
        <v>11470</v>
      </c>
      <c r="E1025">
        <v>4981</v>
      </c>
      <c r="F1025">
        <v>72</v>
      </c>
      <c r="G1025" t="s">
        <v>9</v>
      </c>
      <c r="H1025" t="str" cm="1">
        <f t="array" ref="H1025">_xlfn.IFS(Grammys[[#This Row],[date]] &gt;= DATE(2022,2,1),"Grammys",TRUE,"Grammys TRA")</f>
        <v>Grammys TRA</v>
      </c>
      <c r="I1025">
        <f>_xlfn.XLOOKUP(Grammys[[#This Row],[date]],mobile_visits[date],mobile_visits[mobile_visitors],0)</f>
        <v>0</v>
      </c>
    </row>
    <row r="1026" spans="1:9">
      <c r="A1026" s="1">
        <v>43760</v>
      </c>
      <c r="B1026">
        <v>12348</v>
      </c>
      <c r="C1026">
        <v>17285</v>
      </c>
      <c r="D1026">
        <v>13163</v>
      </c>
      <c r="E1026">
        <v>5929</v>
      </c>
      <c r="F1026">
        <v>69</v>
      </c>
      <c r="G1026" t="s">
        <v>9</v>
      </c>
      <c r="H1026" t="str" cm="1">
        <f t="array" ref="H1026">_xlfn.IFS(Grammys[[#This Row],[date]] &gt;= DATE(2022,2,1),"Grammys",TRUE,"Grammys TRA")</f>
        <v>Grammys TRA</v>
      </c>
      <c r="I1026">
        <f>_xlfn.XLOOKUP(Grammys[[#This Row],[date]],mobile_visits[date],mobile_visits[mobile_visitors],0)</f>
        <v>0</v>
      </c>
    </row>
    <row r="1027" spans="1:9">
      <c r="A1027" s="1">
        <v>43761</v>
      </c>
      <c r="B1027">
        <v>9297</v>
      </c>
      <c r="C1027">
        <v>13491</v>
      </c>
      <c r="D1027">
        <v>9827</v>
      </c>
      <c r="E1027">
        <v>4796</v>
      </c>
      <c r="F1027">
        <v>80</v>
      </c>
      <c r="G1027" t="s">
        <v>9</v>
      </c>
      <c r="H1027" t="str" cm="1">
        <f t="array" ref="H1027">_xlfn.IFS(Grammys[[#This Row],[date]] &gt;= DATE(2022,2,1),"Grammys",TRUE,"Grammys TRA")</f>
        <v>Grammys TRA</v>
      </c>
      <c r="I1027">
        <f>_xlfn.XLOOKUP(Grammys[[#This Row],[date]],mobile_visits[date],mobile_visits[mobile_visitors],0)</f>
        <v>0</v>
      </c>
    </row>
    <row r="1028" spans="1:9">
      <c r="A1028" s="1">
        <v>43762</v>
      </c>
      <c r="B1028">
        <v>10441</v>
      </c>
      <c r="C1028">
        <v>15149</v>
      </c>
      <c r="D1028">
        <v>11055</v>
      </c>
      <c r="E1028">
        <v>5138</v>
      </c>
      <c r="F1028">
        <v>91</v>
      </c>
      <c r="G1028" t="s">
        <v>9</v>
      </c>
      <c r="H1028" t="str" cm="1">
        <f t="array" ref="H1028">_xlfn.IFS(Grammys[[#This Row],[date]] &gt;= DATE(2022,2,1),"Grammys",TRUE,"Grammys TRA")</f>
        <v>Grammys TRA</v>
      </c>
      <c r="I1028">
        <f>_xlfn.XLOOKUP(Grammys[[#This Row],[date]],mobile_visits[date],mobile_visits[mobile_visitors],0)</f>
        <v>0</v>
      </c>
    </row>
    <row r="1029" spans="1:9">
      <c r="A1029" s="1">
        <v>43763</v>
      </c>
      <c r="B1029">
        <v>11573</v>
      </c>
      <c r="C1029">
        <v>16098</v>
      </c>
      <c r="D1029">
        <v>12315</v>
      </c>
      <c r="E1029">
        <v>6094</v>
      </c>
      <c r="F1029">
        <v>69</v>
      </c>
      <c r="G1029" t="s">
        <v>9</v>
      </c>
      <c r="H1029" t="str" cm="1">
        <f t="array" ref="H1029">_xlfn.IFS(Grammys[[#This Row],[date]] &gt;= DATE(2022,2,1),"Grammys",TRUE,"Grammys TRA")</f>
        <v>Grammys TRA</v>
      </c>
      <c r="I1029">
        <f>_xlfn.XLOOKUP(Grammys[[#This Row],[date]],mobile_visits[date],mobile_visits[mobile_visitors],0)</f>
        <v>0</v>
      </c>
    </row>
    <row r="1030" spans="1:9">
      <c r="A1030" s="1">
        <v>43764</v>
      </c>
      <c r="B1030">
        <v>9629</v>
      </c>
      <c r="C1030">
        <v>13729</v>
      </c>
      <c r="D1030">
        <v>10105</v>
      </c>
      <c r="E1030">
        <v>5140</v>
      </c>
      <c r="F1030">
        <v>72</v>
      </c>
      <c r="G1030" t="s">
        <v>9</v>
      </c>
      <c r="H1030" t="str" cm="1">
        <f t="array" ref="H1030">_xlfn.IFS(Grammys[[#This Row],[date]] &gt;= DATE(2022,2,1),"Grammys",TRUE,"Grammys TRA")</f>
        <v>Grammys TRA</v>
      </c>
      <c r="I1030">
        <f>_xlfn.XLOOKUP(Grammys[[#This Row],[date]],mobile_visits[date],mobile_visits[mobile_visitors],0)</f>
        <v>0</v>
      </c>
    </row>
    <row r="1031" spans="1:9">
      <c r="A1031" s="1">
        <v>43765</v>
      </c>
      <c r="B1031">
        <v>8494</v>
      </c>
      <c r="C1031">
        <v>12702</v>
      </c>
      <c r="D1031">
        <v>9068</v>
      </c>
      <c r="E1031">
        <v>4662</v>
      </c>
      <c r="F1031">
        <v>69</v>
      </c>
      <c r="G1031" t="s">
        <v>9</v>
      </c>
      <c r="H1031" t="str" cm="1">
        <f t="array" ref="H1031">_xlfn.IFS(Grammys[[#This Row],[date]] &gt;= DATE(2022,2,1),"Grammys",TRUE,"Grammys TRA")</f>
        <v>Grammys TRA</v>
      </c>
      <c r="I1031">
        <f>_xlfn.XLOOKUP(Grammys[[#This Row],[date]],mobile_visits[date],mobile_visits[mobile_visitors],0)</f>
        <v>0</v>
      </c>
    </row>
    <row r="1032" spans="1:9">
      <c r="A1032" s="1">
        <v>43766</v>
      </c>
      <c r="B1032">
        <v>9180</v>
      </c>
      <c r="C1032">
        <v>13755</v>
      </c>
      <c r="D1032">
        <v>9759</v>
      </c>
      <c r="E1032">
        <v>4941</v>
      </c>
      <c r="F1032">
        <v>75</v>
      </c>
      <c r="G1032" t="s">
        <v>9</v>
      </c>
      <c r="H1032" t="str" cm="1">
        <f t="array" ref="H1032">_xlfn.IFS(Grammys[[#This Row],[date]] &gt;= DATE(2022,2,1),"Grammys",TRUE,"Grammys TRA")</f>
        <v>Grammys TRA</v>
      </c>
      <c r="I1032">
        <f>_xlfn.XLOOKUP(Grammys[[#This Row],[date]],mobile_visits[date],mobile_visits[mobile_visitors],0)</f>
        <v>0</v>
      </c>
    </row>
    <row r="1033" spans="1:9">
      <c r="A1033" s="1">
        <v>43767</v>
      </c>
      <c r="B1033">
        <v>10130</v>
      </c>
      <c r="C1033">
        <v>14605</v>
      </c>
      <c r="D1033">
        <v>10694</v>
      </c>
      <c r="E1033">
        <v>5328</v>
      </c>
      <c r="F1033">
        <v>80</v>
      </c>
      <c r="G1033" t="s">
        <v>9</v>
      </c>
      <c r="H1033" t="str" cm="1">
        <f t="array" ref="H1033">_xlfn.IFS(Grammys[[#This Row],[date]] &gt;= DATE(2022,2,1),"Grammys",TRUE,"Grammys TRA")</f>
        <v>Grammys TRA</v>
      </c>
      <c r="I1033">
        <f>_xlfn.XLOOKUP(Grammys[[#This Row],[date]],mobile_visits[date],mobile_visits[mobile_visitors],0)</f>
        <v>0</v>
      </c>
    </row>
    <row r="1034" spans="1:9">
      <c r="A1034" s="1">
        <v>43768</v>
      </c>
      <c r="B1034">
        <v>9234</v>
      </c>
      <c r="C1034">
        <v>13093</v>
      </c>
      <c r="D1034">
        <v>9767</v>
      </c>
      <c r="E1034">
        <v>4787</v>
      </c>
      <c r="F1034">
        <v>78</v>
      </c>
      <c r="G1034" t="s">
        <v>9</v>
      </c>
      <c r="H1034" t="str" cm="1">
        <f t="array" ref="H1034">_xlfn.IFS(Grammys[[#This Row],[date]] &gt;= DATE(2022,2,1),"Grammys",TRUE,"Grammys TRA")</f>
        <v>Grammys TRA</v>
      </c>
      <c r="I1034">
        <f>_xlfn.XLOOKUP(Grammys[[#This Row],[date]],mobile_visits[date],mobile_visits[mobile_visitors],0)</f>
        <v>0</v>
      </c>
    </row>
    <row r="1035" spans="1:9">
      <c r="A1035" s="1">
        <v>43769</v>
      </c>
      <c r="B1035">
        <v>7856</v>
      </c>
      <c r="C1035">
        <v>11073</v>
      </c>
      <c r="D1035">
        <v>8183</v>
      </c>
      <c r="E1035">
        <v>4109</v>
      </c>
      <c r="F1035">
        <v>78</v>
      </c>
      <c r="G1035" t="s">
        <v>9</v>
      </c>
      <c r="H1035" t="str" cm="1">
        <f t="array" ref="H1035">_xlfn.IFS(Grammys[[#This Row],[date]] &gt;= DATE(2022,2,1),"Grammys",TRUE,"Grammys TRA")</f>
        <v>Grammys TRA</v>
      </c>
      <c r="I1035">
        <f>_xlfn.XLOOKUP(Grammys[[#This Row],[date]],mobile_visits[date],mobile_visits[mobile_visitors],0)</f>
        <v>0</v>
      </c>
    </row>
    <row r="1036" spans="1:9">
      <c r="A1036" s="1">
        <v>43770</v>
      </c>
      <c r="B1036">
        <v>9494</v>
      </c>
      <c r="C1036">
        <v>13369</v>
      </c>
      <c r="D1036">
        <v>10037</v>
      </c>
      <c r="E1036">
        <v>5038</v>
      </c>
      <c r="F1036">
        <v>79</v>
      </c>
      <c r="G1036" t="s">
        <v>9</v>
      </c>
      <c r="H1036" t="str" cm="1">
        <f t="array" ref="H1036">_xlfn.IFS(Grammys[[#This Row],[date]] &gt;= DATE(2022,2,1),"Grammys",TRUE,"Grammys TRA")</f>
        <v>Grammys TRA</v>
      </c>
      <c r="I1036">
        <f>_xlfn.XLOOKUP(Grammys[[#This Row],[date]],mobile_visits[date],mobile_visits[mobile_visitors],0)</f>
        <v>0</v>
      </c>
    </row>
    <row r="1037" spans="1:9">
      <c r="A1037" s="1">
        <v>43771</v>
      </c>
      <c r="B1037">
        <v>8702</v>
      </c>
      <c r="C1037">
        <v>12735</v>
      </c>
      <c r="D1037">
        <v>9118</v>
      </c>
      <c r="E1037">
        <v>4311</v>
      </c>
      <c r="F1037">
        <v>75</v>
      </c>
      <c r="G1037" t="s">
        <v>9</v>
      </c>
      <c r="H1037" t="str" cm="1">
        <f t="array" ref="H1037">_xlfn.IFS(Grammys[[#This Row],[date]] &gt;= DATE(2022,2,1),"Grammys",TRUE,"Grammys TRA")</f>
        <v>Grammys TRA</v>
      </c>
      <c r="I1037">
        <f>_xlfn.XLOOKUP(Grammys[[#This Row],[date]],mobile_visits[date],mobile_visits[mobile_visitors],0)</f>
        <v>0</v>
      </c>
    </row>
    <row r="1038" spans="1:9">
      <c r="A1038" s="1">
        <v>43772</v>
      </c>
      <c r="B1038">
        <v>10333</v>
      </c>
      <c r="C1038">
        <v>14736</v>
      </c>
      <c r="D1038">
        <v>10771</v>
      </c>
      <c r="E1038">
        <v>4895</v>
      </c>
      <c r="F1038">
        <v>74</v>
      </c>
      <c r="G1038" t="s">
        <v>9</v>
      </c>
      <c r="H1038" t="str" cm="1">
        <f t="array" ref="H1038">_xlfn.IFS(Grammys[[#This Row],[date]] &gt;= DATE(2022,2,1),"Grammys",TRUE,"Grammys TRA")</f>
        <v>Grammys TRA</v>
      </c>
      <c r="I1038">
        <f>_xlfn.XLOOKUP(Grammys[[#This Row],[date]],mobile_visits[date],mobile_visits[mobile_visitors],0)</f>
        <v>0</v>
      </c>
    </row>
    <row r="1039" spans="1:9">
      <c r="A1039" s="1">
        <v>43773</v>
      </c>
      <c r="B1039">
        <v>9978</v>
      </c>
      <c r="C1039">
        <v>14584</v>
      </c>
      <c r="D1039">
        <v>10543</v>
      </c>
      <c r="E1039">
        <v>5140</v>
      </c>
      <c r="F1039">
        <v>75</v>
      </c>
      <c r="G1039" t="s">
        <v>9</v>
      </c>
      <c r="H1039" t="str" cm="1">
        <f t="array" ref="H1039">_xlfn.IFS(Grammys[[#This Row],[date]] &gt;= DATE(2022,2,1),"Grammys",TRUE,"Grammys TRA")</f>
        <v>Grammys TRA</v>
      </c>
      <c r="I1039">
        <f>_xlfn.XLOOKUP(Grammys[[#This Row],[date]],mobile_visits[date],mobile_visits[mobile_visitors],0)</f>
        <v>0</v>
      </c>
    </row>
    <row r="1040" spans="1:9">
      <c r="A1040" s="1">
        <v>43774</v>
      </c>
      <c r="B1040">
        <v>10297</v>
      </c>
      <c r="C1040">
        <v>14928</v>
      </c>
      <c r="D1040">
        <v>10967</v>
      </c>
      <c r="E1040">
        <v>5165</v>
      </c>
      <c r="F1040">
        <v>72</v>
      </c>
      <c r="G1040" t="s">
        <v>9</v>
      </c>
      <c r="H1040" t="str" cm="1">
        <f t="array" ref="H1040">_xlfn.IFS(Grammys[[#This Row],[date]] &gt;= DATE(2022,2,1),"Grammys",TRUE,"Grammys TRA")</f>
        <v>Grammys TRA</v>
      </c>
      <c r="I1040">
        <f>_xlfn.XLOOKUP(Grammys[[#This Row],[date]],mobile_visits[date],mobile_visits[mobile_visitors],0)</f>
        <v>0</v>
      </c>
    </row>
    <row r="1041" spans="1:9">
      <c r="A1041" s="1">
        <v>43775</v>
      </c>
      <c r="B1041">
        <v>10591</v>
      </c>
      <c r="C1041">
        <v>14923</v>
      </c>
      <c r="D1041">
        <v>11110</v>
      </c>
      <c r="E1041">
        <v>5531</v>
      </c>
      <c r="F1041">
        <v>74</v>
      </c>
      <c r="G1041" t="s">
        <v>9</v>
      </c>
      <c r="H1041" t="str" cm="1">
        <f t="array" ref="H1041">_xlfn.IFS(Grammys[[#This Row],[date]] &gt;= DATE(2022,2,1),"Grammys",TRUE,"Grammys TRA")</f>
        <v>Grammys TRA</v>
      </c>
      <c r="I1041">
        <f>_xlfn.XLOOKUP(Grammys[[#This Row],[date]],mobile_visits[date],mobile_visits[mobile_visitors],0)</f>
        <v>0</v>
      </c>
    </row>
    <row r="1042" spans="1:9">
      <c r="A1042" s="1">
        <v>43776</v>
      </c>
      <c r="B1042">
        <v>9534</v>
      </c>
      <c r="C1042">
        <v>14168</v>
      </c>
      <c r="D1042">
        <v>10082</v>
      </c>
      <c r="E1042">
        <v>4993</v>
      </c>
      <c r="F1042">
        <v>78</v>
      </c>
      <c r="G1042" t="s">
        <v>9</v>
      </c>
      <c r="H1042" t="str" cm="1">
        <f t="array" ref="H1042">_xlfn.IFS(Grammys[[#This Row],[date]] &gt;= DATE(2022,2,1),"Grammys",TRUE,"Grammys TRA")</f>
        <v>Grammys TRA</v>
      </c>
      <c r="I1042">
        <f>_xlfn.XLOOKUP(Grammys[[#This Row],[date]],mobile_visits[date],mobile_visits[mobile_visitors],0)</f>
        <v>0</v>
      </c>
    </row>
    <row r="1043" spans="1:9">
      <c r="A1043" s="1">
        <v>43777</v>
      </c>
      <c r="B1043">
        <v>8732</v>
      </c>
      <c r="C1043">
        <v>12936</v>
      </c>
      <c r="D1043">
        <v>9184</v>
      </c>
      <c r="E1043">
        <v>4477</v>
      </c>
      <c r="F1043">
        <v>79</v>
      </c>
      <c r="G1043" t="s">
        <v>9</v>
      </c>
      <c r="H1043" t="str" cm="1">
        <f t="array" ref="H1043">_xlfn.IFS(Grammys[[#This Row],[date]] &gt;= DATE(2022,2,1),"Grammys",TRUE,"Grammys TRA")</f>
        <v>Grammys TRA</v>
      </c>
      <c r="I1043">
        <f>_xlfn.XLOOKUP(Grammys[[#This Row],[date]],mobile_visits[date],mobile_visits[mobile_visitors],0)</f>
        <v>0</v>
      </c>
    </row>
    <row r="1044" spans="1:9">
      <c r="A1044" s="1">
        <v>43778</v>
      </c>
      <c r="B1044">
        <v>8736</v>
      </c>
      <c r="C1044">
        <v>12271</v>
      </c>
      <c r="D1044">
        <v>9174</v>
      </c>
      <c r="E1044">
        <v>4465</v>
      </c>
      <c r="F1044">
        <v>76</v>
      </c>
      <c r="G1044" t="s">
        <v>9</v>
      </c>
      <c r="H1044" t="str" cm="1">
        <f t="array" ref="H1044">_xlfn.IFS(Grammys[[#This Row],[date]] &gt;= DATE(2022,2,1),"Grammys",TRUE,"Grammys TRA")</f>
        <v>Grammys TRA</v>
      </c>
      <c r="I1044">
        <f>_xlfn.XLOOKUP(Grammys[[#This Row],[date]],mobile_visits[date],mobile_visits[mobile_visitors],0)</f>
        <v>0</v>
      </c>
    </row>
    <row r="1045" spans="1:9">
      <c r="A1045" s="1">
        <v>43779</v>
      </c>
      <c r="B1045">
        <v>9430</v>
      </c>
      <c r="C1045">
        <v>14059</v>
      </c>
      <c r="D1045">
        <v>10023</v>
      </c>
      <c r="E1045">
        <v>4782</v>
      </c>
      <c r="F1045">
        <v>74</v>
      </c>
      <c r="G1045" t="s">
        <v>9</v>
      </c>
      <c r="H1045" t="str" cm="1">
        <f t="array" ref="H1045">_xlfn.IFS(Grammys[[#This Row],[date]] &gt;= DATE(2022,2,1),"Grammys",TRUE,"Grammys TRA")</f>
        <v>Grammys TRA</v>
      </c>
      <c r="I1045">
        <f>_xlfn.XLOOKUP(Grammys[[#This Row],[date]],mobile_visits[date],mobile_visits[mobile_visitors],0)</f>
        <v>0</v>
      </c>
    </row>
    <row r="1046" spans="1:9">
      <c r="A1046" s="1">
        <v>43780</v>
      </c>
      <c r="B1046">
        <v>10541</v>
      </c>
      <c r="C1046">
        <v>15736</v>
      </c>
      <c r="D1046">
        <v>11207</v>
      </c>
      <c r="E1046">
        <v>5397</v>
      </c>
      <c r="F1046">
        <v>79</v>
      </c>
      <c r="G1046" t="s">
        <v>9</v>
      </c>
      <c r="H1046" t="str" cm="1">
        <f t="array" ref="H1046">_xlfn.IFS(Grammys[[#This Row],[date]] &gt;= DATE(2022,2,1),"Grammys",TRUE,"Grammys TRA")</f>
        <v>Grammys TRA</v>
      </c>
      <c r="I1046">
        <f>_xlfn.XLOOKUP(Grammys[[#This Row],[date]],mobile_visits[date],mobile_visits[mobile_visitors],0)</f>
        <v>0</v>
      </c>
    </row>
    <row r="1047" spans="1:9">
      <c r="A1047" s="1">
        <v>43781</v>
      </c>
      <c r="B1047">
        <v>11674</v>
      </c>
      <c r="C1047">
        <v>17844</v>
      </c>
      <c r="D1047">
        <v>12547</v>
      </c>
      <c r="E1047">
        <v>5524</v>
      </c>
      <c r="F1047">
        <v>85</v>
      </c>
      <c r="G1047" t="s">
        <v>9</v>
      </c>
      <c r="H1047" t="str" cm="1">
        <f t="array" ref="H1047">_xlfn.IFS(Grammys[[#This Row],[date]] &gt;= DATE(2022,2,1),"Grammys",TRUE,"Grammys TRA")</f>
        <v>Grammys TRA</v>
      </c>
      <c r="I1047">
        <f>_xlfn.XLOOKUP(Grammys[[#This Row],[date]],mobile_visits[date],mobile_visits[mobile_visitors],0)</f>
        <v>0</v>
      </c>
    </row>
    <row r="1048" spans="1:9">
      <c r="A1048" s="1">
        <v>43782</v>
      </c>
      <c r="B1048">
        <v>16101</v>
      </c>
      <c r="C1048">
        <v>22758</v>
      </c>
      <c r="D1048">
        <v>16984</v>
      </c>
      <c r="E1048">
        <v>6879</v>
      </c>
      <c r="F1048">
        <v>79</v>
      </c>
      <c r="G1048" t="s">
        <v>9</v>
      </c>
      <c r="H1048" t="str" cm="1">
        <f t="array" ref="H1048">_xlfn.IFS(Grammys[[#This Row],[date]] &gt;= DATE(2022,2,1),"Grammys",TRUE,"Grammys TRA")</f>
        <v>Grammys TRA</v>
      </c>
      <c r="I1048">
        <f>_xlfn.XLOOKUP(Grammys[[#This Row],[date]],mobile_visits[date],mobile_visits[mobile_visitors],0)</f>
        <v>0</v>
      </c>
    </row>
    <row r="1049" spans="1:9">
      <c r="A1049" s="1">
        <v>43783</v>
      </c>
      <c r="B1049">
        <v>35920</v>
      </c>
      <c r="C1049">
        <v>47951</v>
      </c>
      <c r="D1049">
        <v>38470</v>
      </c>
      <c r="E1049">
        <v>12996</v>
      </c>
      <c r="F1049">
        <v>72</v>
      </c>
      <c r="G1049" t="s">
        <v>9</v>
      </c>
      <c r="H1049" t="str" cm="1">
        <f t="array" ref="H1049">_xlfn.IFS(Grammys[[#This Row],[date]] &gt;= DATE(2022,2,1),"Grammys",TRUE,"Grammys TRA")</f>
        <v>Grammys TRA</v>
      </c>
      <c r="I1049">
        <f>_xlfn.XLOOKUP(Grammys[[#This Row],[date]],mobile_visits[date],mobile_visits[mobile_visitors],0)</f>
        <v>0</v>
      </c>
    </row>
    <row r="1050" spans="1:9">
      <c r="A1050" s="1">
        <v>43784</v>
      </c>
      <c r="B1050">
        <v>31921</v>
      </c>
      <c r="C1050">
        <v>40709</v>
      </c>
      <c r="D1050">
        <v>33095</v>
      </c>
      <c r="E1050">
        <v>11905</v>
      </c>
      <c r="F1050">
        <v>66</v>
      </c>
      <c r="G1050" t="s">
        <v>9</v>
      </c>
      <c r="H1050" t="str" cm="1">
        <f t="array" ref="H1050">_xlfn.IFS(Grammys[[#This Row],[date]] &gt;= DATE(2022,2,1),"Grammys",TRUE,"Grammys TRA")</f>
        <v>Grammys TRA</v>
      </c>
      <c r="I1050">
        <f>_xlfn.XLOOKUP(Grammys[[#This Row],[date]],mobile_visits[date],mobile_visits[mobile_visitors],0)</f>
        <v>0</v>
      </c>
    </row>
    <row r="1051" spans="1:9">
      <c r="A1051" s="1">
        <v>43785</v>
      </c>
      <c r="B1051">
        <v>20894</v>
      </c>
      <c r="C1051">
        <v>30222</v>
      </c>
      <c r="D1051">
        <v>21928</v>
      </c>
      <c r="E1051">
        <v>9041</v>
      </c>
      <c r="F1051">
        <v>67</v>
      </c>
      <c r="G1051" t="s">
        <v>9</v>
      </c>
      <c r="H1051" t="str" cm="1">
        <f t="array" ref="H1051">_xlfn.IFS(Grammys[[#This Row],[date]] &gt;= DATE(2022,2,1),"Grammys",TRUE,"Grammys TRA")</f>
        <v>Grammys TRA</v>
      </c>
      <c r="I1051">
        <f>_xlfn.XLOOKUP(Grammys[[#This Row],[date]],mobile_visits[date],mobile_visits[mobile_visitors],0)</f>
        <v>0</v>
      </c>
    </row>
    <row r="1052" spans="1:9">
      <c r="A1052" s="1">
        <v>43786</v>
      </c>
      <c r="B1052">
        <v>15511</v>
      </c>
      <c r="C1052">
        <v>23757</v>
      </c>
      <c r="D1052">
        <v>16273</v>
      </c>
      <c r="E1052">
        <v>7167</v>
      </c>
      <c r="F1052">
        <v>76</v>
      </c>
      <c r="G1052" t="s">
        <v>9</v>
      </c>
      <c r="H1052" t="str" cm="1">
        <f t="array" ref="H1052">_xlfn.IFS(Grammys[[#This Row],[date]] &gt;= DATE(2022,2,1),"Grammys",TRUE,"Grammys TRA")</f>
        <v>Grammys TRA</v>
      </c>
      <c r="I1052">
        <f>_xlfn.XLOOKUP(Grammys[[#This Row],[date]],mobile_visits[date],mobile_visits[mobile_visitors],0)</f>
        <v>0</v>
      </c>
    </row>
    <row r="1053" spans="1:9">
      <c r="A1053" s="1">
        <v>43787</v>
      </c>
      <c r="B1053">
        <v>22021</v>
      </c>
      <c r="C1053">
        <v>32224</v>
      </c>
      <c r="D1053">
        <v>23391</v>
      </c>
      <c r="E1053">
        <v>8583</v>
      </c>
      <c r="F1053">
        <v>74</v>
      </c>
      <c r="G1053" t="s">
        <v>9</v>
      </c>
      <c r="H1053" t="str" cm="1">
        <f t="array" ref="H1053">_xlfn.IFS(Grammys[[#This Row],[date]] &gt;= DATE(2022,2,1),"Grammys",TRUE,"Grammys TRA")</f>
        <v>Grammys TRA</v>
      </c>
      <c r="I1053">
        <f>_xlfn.XLOOKUP(Grammys[[#This Row],[date]],mobile_visits[date],mobile_visits[mobile_visitors],0)</f>
        <v>0</v>
      </c>
    </row>
    <row r="1054" spans="1:9">
      <c r="A1054" s="1">
        <v>43788</v>
      </c>
      <c r="B1054">
        <v>82270</v>
      </c>
      <c r="C1054">
        <v>167996</v>
      </c>
      <c r="D1054">
        <v>93174</v>
      </c>
      <c r="E1054">
        <v>26490</v>
      </c>
      <c r="F1054">
        <v>101</v>
      </c>
      <c r="G1054" t="s">
        <v>10</v>
      </c>
      <c r="H1054" t="str" cm="1">
        <f t="array" ref="H1054">_xlfn.IFS(Grammys[[#This Row],[date]] &gt;= DATE(2022,2,1),"Grammys",TRUE,"Grammys TRA")</f>
        <v>Grammys TRA</v>
      </c>
      <c r="I1054">
        <f>_xlfn.XLOOKUP(Grammys[[#This Row],[date]],mobile_visits[date],mobile_visits[mobile_visitors],0)</f>
        <v>0</v>
      </c>
    </row>
    <row r="1055" spans="1:9">
      <c r="A1055" s="1">
        <v>43789</v>
      </c>
      <c r="B1055">
        <v>1130463</v>
      </c>
      <c r="C1055">
        <v>1648239</v>
      </c>
      <c r="D1055">
        <v>1266668</v>
      </c>
      <c r="E1055">
        <v>334908</v>
      </c>
      <c r="F1055">
        <v>151</v>
      </c>
      <c r="G1055" t="s">
        <v>9</v>
      </c>
      <c r="H1055" t="str" cm="1">
        <f t="array" ref="H1055">_xlfn.IFS(Grammys[[#This Row],[date]] &gt;= DATE(2022,2,1),"Grammys",TRUE,"Grammys TRA")</f>
        <v>Grammys TRA</v>
      </c>
      <c r="I1055">
        <f>_xlfn.XLOOKUP(Grammys[[#This Row],[date]],mobile_visits[date],mobile_visits[mobile_visitors],0)</f>
        <v>0</v>
      </c>
    </row>
    <row r="1056" spans="1:9">
      <c r="A1056" s="1">
        <v>43790</v>
      </c>
      <c r="B1056">
        <v>299375</v>
      </c>
      <c r="C1056">
        <v>391840</v>
      </c>
      <c r="D1056">
        <v>327475</v>
      </c>
      <c r="E1056">
        <v>122804</v>
      </c>
      <c r="F1056">
        <v>122</v>
      </c>
      <c r="G1056" t="s">
        <v>9</v>
      </c>
      <c r="H1056" t="str" cm="1">
        <f t="array" ref="H1056">_xlfn.IFS(Grammys[[#This Row],[date]] &gt;= DATE(2022,2,1),"Grammys",TRUE,"Grammys TRA")</f>
        <v>Grammys TRA</v>
      </c>
      <c r="I1056">
        <f>_xlfn.XLOOKUP(Grammys[[#This Row],[date]],mobile_visits[date],mobile_visits[mobile_visitors],0)</f>
        <v>0</v>
      </c>
    </row>
    <row r="1057" spans="1:9">
      <c r="A1057" s="1">
        <v>43791</v>
      </c>
      <c r="B1057">
        <v>117189</v>
      </c>
      <c r="C1057">
        <v>159397</v>
      </c>
      <c r="D1057">
        <v>130105</v>
      </c>
      <c r="E1057">
        <v>50234</v>
      </c>
      <c r="F1057">
        <v>120</v>
      </c>
      <c r="G1057" t="s">
        <v>9</v>
      </c>
      <c r="H1057" t="str" cm="1">
        <f t="array" ref="H1057">_xlfn.IFS(Grammys[[#This Row],[date]] &gt;= DATE(2022,2,1),"Grammys",TRUE,"Grammys TRA")</f>
        <v>Grammys TRA</v>
      </c>
      <c r="I1057">
        <f>_xlfn.XLOOKUP(Grammys[[#This Row],[date]],mobile_visits[date],mobile_visits[mobile_visitors],0)</f>
        <v>0</v>
      </c>
    </row>
    <row r="1058" spans="1:9">
      <c r="A1058" s="1">
        <v>43792</v>
      </c>
      <c r="B1058">
        <v>80045</v>
      </c>
      <c r="C1058">
        <v>112196</v>
      </c>
      <c r="D1058">
        <v>88071</v>
      </c>
      <c r="E1058">
        <v>34198</v>
      </c>
      <c r="F1058">
        <v>118</v>
      </c>
      <c r="G1058" t="s">
        <v>9</v>
      </c>
      <c r="H1058" t="str" cm="1">
        <f t="array" ref="H1058">_xlfn.IFS(Grammys[[#This Row],[date]] &gt;= DATE(2022,2,1),"Grammys",TRUE,"Grammys TRA")</f>
        <v>Grammys TRA</v>
      </c>
      <c r="I1058">
        <f>_xlfn.XLOOKUP(Grammys[[#This Row],[date]],mobile_visits[date],mobile_visits[mobile_visitors],0)</f>
        <v>0</v>
      </c>
    </row>
    <row r="1059" spans="1:9">
      <c r="A1059" s="1">
        <v>43793</v>
      </c>
      <c r="B1059">
        <v>82649</v>
      </c>
      <c r="C1059">
        <v>121816</v>
      </c>
      <c r="D1059">
        <v>90178</v>
      </c>
      <c r="E1059">
        <v>34349</v>
      </c>
      <c r="F1059">
        <v>115</v>
      </c>
      <c r="G1059" t="s">
        <v>9</v>
      </c>
      <c r="H1059" t="str" cm="1">
        <f t="array" ref="H1059">_xlfn.IFS(Grammys[[#This Row],[date]] &gt;= DATE(2022,2,1),"Grammys",TRUE,"Grammys TRA")</f>
        <v>Grammys TRA</v>
      </c>
      <c r="I1059">
        <f>_xlfn.XLOOKUP(Grammys[[#This Row],[date]],mobile_visits[date],mobile_visits[mobile_visitors],0)</f>
        <v>0</v>
      </c>
    </row>
    <row r="1060" spans="1:9">
      <c r="A1060" s="1">
        <v>43794</v>
      </c>
      <c r="B1060">
        <v>77906</v>
      </c>
      <c r="C1060">
        <v>122232</v>
      </c>
      <c r="D1060">
        <v>85790</v>
      </c>
      <c r="E1060">
        <v>32086</v>
      </c>
      <c r="F1060">
        <v>107</v>
      </c>
      <c r="G1060" t="s">
        <v>9</v>
      </c>
      <c r="H1060" t="str" cm="1">
        <f t="array" ref="H1060">_xlfn.IFS(Grammys[[#This Row],[date]] &gt;= DATE(2022,2,1),"Grammys",TRUE,"Grammys TRA")</f>
        <v>Grammys TRA</v>
      </c>
      <c r="I1060">
        <f>_xlfn.XLOOKUP(Grammys[[#This Row],[date]],mobile_visits[date],mobile_visits[mobile_visitors],0)</f>
        <v>0</v>
      </c>
    </row>
    <row r="1061" spans="1:9">
      <c r="A1061" s="1">
        <v>43795</v>
      </c>
      <c r="B1061">
        <v>61179</v>
      </c>
      <c r="C1061">
        <v>104900</v>
      </c>
      <c r="D1061">
        <v>68266</v>
      </c>
      <c r="E1061">
        <v>22569</v>
      </c>
      <c r="F1061">
        <v>105</v>
      </c>
      <c r="G1061" t="s">
        <v>9</v>
      </c>
      <c r="H1061" t="str" cm="1">
        <f t="array" ref="H1061">_xlfn.IFS(Grammys[[#This Row],[date]] &gt;= DATE(2022,2,1),"Grammys",TRUE,"Grammys TRA")</f>
        <v>Grammys TRA</v>
      </c>
      <c r="I1061">
        <f>_xlfn.XLOOKUP(Grammys[[#This Row],[date]],mobile_visits[date],mobile_visits[mobile_visitors],0)</f>
        <v>0</v>
      </c>
    </row>
    <row r="1062" spans="1:9">
      <c r="A1062" s="1">
        <v>43796</v>
      </c>
      <c r="B1062">
        <v>62492</v>
      </c>
      <c r="C1062">
        <v>114200</v>
      </c>
      <c r="D1062">
        <v>71187</v>
      </c>
      <c r="E1062">
        <v>20132</v>
      </c>
      <c r="F1062">
        <v>94</v>
      </c>
      <c r="G1062" t="s">
        <v>9</v>
      </c>
      <c r="H1062" t="str" cm="1">
        <f t="array" ref="H1062">_xlfn.IFS(Grammys[[#This Row],[date]] &gt;= DATE(2022,2,1),"Grammys",TRUE,"Grammys TRA")</f>
        <v>Grammys TRA</v>
      </c>
      <c r="I1062">
        <f>_xlfn.XLOOKUP(Grammys[[#This Row],[date]],mobile_visits[date],mobile_visits[mobile_visitors],0)</f>
        <v>0</v>
      </c>
    </row>
    <row r="1063" spans="1:9">
      <c r="A1063" s="1">
        <v>43797</v>
      </c>
      <c r="B1063">
        <v>38787</v>
      </c>
      <c r="C1063">
        <v>66015</v>
      </c>
      <c r="D1063">
        <v>42528</v>
      </c>
      <c r="E1063">
        <v>14239</v>
      </c>
      <c r="F1063">
        <v>91</v>
      </c>
      <c r="G1063" t="s">
        <v>9</v>
      </c>
      <c r="H1063" t="str" cm="1">
        <f t="array" ref="H1063">_xlfn.IFS(Grammys[[#This Row],[date]] &gt;= DATE(2022,2,1),"Grammys",TRUE,"Grammys TRA")</f>
        <v>Grammys TRA</v>
      </c>
      <c r="I1063">
        <f>_xlfn.XLOOKUP(Grammys[[#This Row],[date]],mobile_visits[date],mobile_visits[mobile_visitors],0)</f>
        <v>0</v>
      </c>
    </row>
    <row r="1064" spans="1:9">
      <c r="A1064" s="1">
        <v>43798</v>
      </c>
      <c r="B1064">
        <v>30157</v>
      </c>
      <c r="C1064">
        <v>50691</v>
      </c>
      <c r="D1064">
        <v>32560</v>
      </c>
      <c r="E1064">
        <v>10628</v>
      </c>
      <c r="F1064">
        <v>96</v>
      </c>
      <c r="G1064" t="s">
        <v>9</v>
      </c>
      <c r="H1064" t="str" cm="1">
        <f t="array" ref="H1064">_xlfn.IFS(Grammys[[#This Row],[date]] &gt;= DATE(2022,2,1),"Grammys",TRUE,"Grammys TRA")</f>
        <v>Grammys TRA</v>
      </c>
      <c r="I1064">
        <f>_xlfn.XLOOKUP(Grammys[[#This Row],[date]],mobile_visits[date],mobile_visits[mobile_visitors],0)</f>
        <v>0</v>
      </c>
    </row>
    <row r="1065" spans="1:9">
      <c r="A1065" s="1">
        <v>43799</v>
      </c>
      <c r="B1065">
        <v>27939</v>
      </c>
      <c r="C1065">
        <v>45503</v>
      </c>
      <c r="D1065">
        <v>30239</v>
      </c>
      <c r="E1065">
        <v>10255</v>
      </c>
      <c r="F1065">
        <v>90</v>
      </c>
      <c r="G1065" t="s">
        <v>9</v>
      </c>
      <c r="H1065" t="str" cm="1">
        <f t="array" ref="H1065">_xlfn.IFS(Grammys[[#This Row],[date]] &gt;= DATE(2022,2,1),"Grammys",TRUE,"Grammys TRA")</f>
        <v>Grammys TRA</v>
      </c>
      <c r="I1065">
        <f>_xlfn.XLOOKUP(Grammys[[#This Row],[date]],mobile_visits[date],mobile_visits[mobile_visitors],0)</f>
        <v>0</v>
      </c>
    </row>
    <row r="1066" spans="1:9">
      <c r="A1066" s="1">
        <v>43800</v>
      </c>
      <c r="B1066">
        <v>24553</v>
      </c>
      <c r="C1066">
        <v>37584</v>
      </c>
      <c r="D1066">
        <v>26007</v>
      </c>
      <c r="E1066">
        <v>9342</v>
      </c>
      <c r="F1066">
        <v>97</v>
      </c>
      <c r="G1066" t="s">
        <v>9</v>
      </c>
      <c r="H1066" t="str" cm="1">
        <f t="array" ref="H1066">_xlfn.IFS(Grammys[[#This Row],[date]] &gt;= DATE(2022,2,1),"Grammys",TRUE,"Grammys TRA")</f>
        <v>Grammys TRA</v>
      </c>
      <c r="I1066">
        <f>_xlfn.XLOOKUP(Grammys[[#This Row],[date]],mobile_visits[date],mobile_visits[mobile_visitors],0)</f>
        <v>0</v>
      </c>
    </row>
    <row r="1067" spans="1:9">
      <c r="A1067" s="1">
        <v>43801</v>
      </c>
      <c r="B1067">
        <v>22364</v>
      </c>
      <c r="C1067">
        <v>34416</v>
      </c>
      <c r="D1067">
        <v>23810</v>
      </c>
      <c r="E1067">
        <v>8991</v>
      </c>
      <c r="F1067">
        <v>102</v>
      </c>
      <c r="G1067" t="s">
        <v>9</v>
      </c>
      <c r="H1067" t="str" cm="1">
        <f t="array" ref="H1067">_xlfn.IFS(Grammys[[#This Row],[date]] &gt;= DATE(2022,2,1),"Grammys",TRUE,"Grammys TRA")</f>
        <v>Grammys TRA</v>
      </c>
      <c r="I1067">
        <f>_xlfn.XLOOKUP(Grammys[[#This Row],[date]],mobile_visits[date],mobile_visits[mobile_visitors],0)</f>
        <v>0</v>
      </c>
    </row>
    <row r="1068" spans="1:9">
      <c r="A1068" s="1">
        <v>43802</v>
      </c>
      <c r="B1068">
        <v>22129</v>
      </c>
      <c r="C1068">
        <v>34005</v>
      </c>
      <c r="D1068">
        <v>23924</v>
      </c>
      <c r="E1068">
        <v>9154</v>
      </c>
      <c r="F1068">
        <v>102</v>
      </c>
      <c r="G1068" t="s">
        <v>9</v>
      </c>
      <c r="H1068" t="str" cm="1">
        <f t="array" ref="H1068">_xlfn.IFS(Grammys[[#This Row],[date]] &gt;= DATE(2022,2,1),"Grammys",TRUE,"Grammys TRA")</f>
        <v>Grammys TRA</v>
      </c>
      <c r="I1068">
        <f>_xlfn.XLOOKUP(Grammys[[#This Row],[date]],mobile_visits[date],mobile_visits[mobile_visitors],0)</f>
        <v>0</v>
      </c>
    </row>
    <row r="1069" spans="1:9">
      <c r="A1069" s="1">
        <v>43803</v>
      </c>
      <c r="B1069">
        <v>24693</v>
      </c>
      <c r="C1069">
        <v>36077</v>
      </c>
      <c r="D1069">
        <v>26619</v>
      </c>
      <c r="E1069">
        <v>10606</v>
      </c>
      <c r="F1069">
        <v>96</v>
      </c>
      <c r="G1069" t="s">
        <v>9</v>
      </c>
      <c r="H1069" t="str" cm="1">
        <f t="array" ref="H1069">_xlfn.IFS(Grammys[[#This Row],[date]] &gt;= DATE(2022,2,1),"Grammys",TRUE,"Grammys TRA")</f>
        <v>Grammys TRA</v>
      </c>
      <c r="I1069">
        <f>_xlfn.XLOOKUP(Grammys[[#This Row],[date]],mobile_visits[date],mobile_visits[mobile_visitors],0)</f>
        <v>0</v>
      </c>
    </row>
    <row r="1070" spans="1:9">
      <c r="A1070" s="1">
        <v>43804</v>
      </c>
      <c r="B1070">
        <v>25202</v>
      </c>
      <c r="C1070">
        <v>36047</v>
      </c>
      <c r="D1070">
        <v>26643</v>
      </c>
      <c r="E1070">
        <v>10751</v>
      </c>
      <c r="F1070">
        <v>95</v>
      </c>
      <c r="G1070" t="s">
        <v>9</v>
      </c>
      <c r="H1070" t="str" cm="1">
        <f t="array" ref="H1070">_xlfn.IFS(Grammys[[#This Row],[date]] &gt;= DATE(2022,2,1),"Grammys",TRUE,"Grammys TRA")</f>
        <v>Grammys TRA</v>
      </c>
      <c r="I1070">
        <f>_xlfn.XLOOKUP(Grammys[[#This Row],[date]],mobile_visits[date],mobile_visits[mobile_visitors],0)</f>
        <v>0</v>
      </c>
    </row>
    <row r="1071" spans="1:9">
      <c r="A1071" s="1">
        <v>43805</v>
      </c>
      <c r="B1071">
        <v>21967</v>
      </c>
      <c r="C1071">
        <v>32791</v>
      </c>
      <c r="D1071">
        <v>23657</v>
      </c>
      <c r="E1071">
        <v>9747</v>
      </c>
      <c r="F1071">
        <v>98</v>
      </c>
      <c r="G1071" t="s">
        <v>9</v>
      </c>
      <c r="H1071" t="str" cm="1">
        <f t="array" ref="H1071">_xlfn.IFS(Grammys[[#This Row],[date]] &gt;= DATE(2022,2,1),"Grammys",TRUE,"Grammys TRA")</f>
        <v>Grammys TRA</v>
      </c>
      <c r="I1071">
        <f>_xlfn.XLOOKUP(Grammys[[#This Row],[date]],mobile_visits[date],mobile_visits[mobile_visitors],0)</f>
        <v>0</v>
      </c>
    </row>
    <row r="1072" spans="1:9">
      <c r="A1072" s="1">
        <v>43806</v>
      </c>
      <c r="B1072">
        <v>18397</v>
      </c>
      <c r="C1072">
        <v>27406</v>
      </c>
      <c r="D1072">
        <v>19723</v>
      </c>
      <c r="E1072">
        <v>8663</v>
      </c>
      <c r="F1072">
        <v>98</v>
      </c>
      <c r="G1072" t="s">
        <v>9</v>
      </c>
      <c r="H1072" t="str" cm="1">
        <f t="array" ref="H1072">_xlfn.IFS(Grammys[[#This Row],[date]] &gt;= DATE(2022,2,1),"Grammys",TRUE,"Grammys TRA")</f>
        <v>Grammys TRA</v>
      </c>
      <c r="I1072">
        <f>_xlfn.XLOOKUP(Grammys[[#This Row],[date]],mobile_visits[date],mobile_visits[mobile_visitors],0)</f>
        <v>0</v>
      </c>
    </row>
    <row r="1073" spans="1:9">
      <c r="A1073" s="1">
        <v>43807</v>
      </c>
      <c r="B1073">
        <v>20762</v>
      </c>
      <c r="C1073">
        <v>30991</v>
      </c>
      <c r="D1073">
        <v>22423</v>
      </c>
      <c r="E1073">
        <v>9932</v>
      </c>
      <c r="F1073">
        <v>96</v>
      </c>
      <c r="G1073" t="s">
        <v>9</v>
      </c>
      <c r="H1073" t="str" cm="1">
        <f t="array" ref="H1073">_xlfn.IFS(Grammys[[#This Row],[date]] &gt;= DATE(2022,2,1),"Grammys",TRUE,"Grammys TRA")</f>
        <v>Grammys TRA</v>
      </c>
      <c r="I1073">
        <f>_xlfn.XLOOKUP(Grammys[[#This Row],[date]],mobile_visits[date],mobile_visits[mobile_visitors],0)</f>
        <v>0</v>
      </c>
    </row>
    <row r="1074" spans="1:9">
      <c r="A1074" s="1">
        <v>43808</v>
      </c>
      <c r="B1074">
        <v>25476</v>
      </c>
      <c r="C1074">
        <v>38792</v>
      </c>
      <c r="D1074">
        <v>27703</v>
      </c>
      <c r="E1074">
        <v>11420</v>
      </c>
      <c r="F1074">
        <v>98</v>
      </c>
      <c r="G1074" t="s">
        <v>9</v>
      </c>
      <c r="H1074" t="str" cm="1">
        <f t="array" ref="H1074">_xlfn.IFS(Grammys[[#This Row],[date]] &gt;= DATE(2022,2,1),"Grammys",TRUE,"Grammys TRA")</f>
        <v>Grammys TRA</v>
      </c>
      <c r="I1074">
        <f>_xlfn.XLOOKUP(Grammys[[#This Row],[date]],mobile_visits[date],mobile_visits[mobile_visitors],0)</f>
        <v>0</v>
      </c>
    </row>
    <row r="1075" spans="1:9">
      <c r="A1075" s="1">
        <v>43809</v>
      </c>
      <c r="B1075">
        <v>25792</v>
      </c>
      <c r="C1075">
        <v>38603</v>
      </c>
      <c r="D1075">
        <v>27751</v>
      </c>
      <c r="E1075">
        <v>11451</v>
      </c>
      <c r="F1075">
        <v>100</v>
      </c>
      <c r="G1075" t="s">
        <v>9</v>
      </c>
      <c r="H1075" t="str" cm="1">
        <f t="array" ref="H1075">_xlfn.IFS(Grammys[[#This Row],[date]] &gt;= DATE(2022,2,1),"Grammys",TRUE,"Grammys TRA")</f>
        <v>Grammys TRA</v>
      </c>
      <c r="I1075">
        <f>_xlfn.XLOOKUP(Grammys[[#This Row],[date]],mobile_visits[date],mobile_visits[mobile_visitors],0)</f>
        <v>0</v>
      </c>
    </row>
    <row r="1076" spans="1:9">
      <c r="A1076" s="1">
        <v>43810</v>
      </c>
      <c r="B1076">
        <v>23778</v>
      </c>
      <c r="C1076">
        <v>33978</v>
      </c>
      <c r="D1076">
        <v>25450</v>
      </c>
      <c r="E1076">
        <v>11160</v>
      </c>
      <c r="F1076">
        <v>99</v>
      </c>
      <c r="G1076" t="s">
        <v>9</v>
      </c>
      <c r="H1076" t="str" cm="1">
        <f t="array" ref="H1076">_xlfn.IFS(Grammys[[#This Row],[date]] &gt;= DATE(2022,2,1),"Grammys",TRUE,"Grammys TRA")</f>
        <v>Grammys TRA</v>
      </c>
      <c r="I1076">
        <f>_xlfn.XLOOKUP(Grammys[[#This Row],[date]],mobile_visits[date],mobile_visits[mobile_visitors],0)</f>
        <v>0</v>
      </c>
    </row>
    <row r="1077" spans="1:9">
      <c r="A1077" s="1">
        <v>43811</v>
      </c>
      <c r="B1077">
        <v>20997</v>
      </c>
      <c r="C1077">
        <v>30602</v>
      </c>
      <c r="D1077">
        <v>22870</v>
      </c>
      <c r="E1077">
        <v>9645</v>
      </c>
      <c r="F1077">
        <v>97</v>
      </c>
      <c r="G1077" t="s">
        <v>9</v>
      </c>
      <c r="H1077" t="str" cm="1">
        <f t="array" ref="H1077">_xlfn.IFS(Grammys[[#This Row],[date]] &gt;= DATE(2022,2,1),"Grammys",TRUE,"Grammys TRA")</f>
        <v>Grammys TRA</v>
      </c>
      <c r="I1077">
        <f>_xlfn.XLOOKUP(Grammys[[#This Row],[date]],mobile_visits[date],mobile_visits[mobile_visitors],0)</f>
        <v>0</v>
      </c>
    </row>
    <row r="1078" spans="1:9">
      <c r="A1078" s="1">
        <v>43812</v>
      </c>
      <c r="B1078">
        <v>20475</v>
      </c>
      <c r="C1078">
        <v>29799</v>
      </c>
      <c r="D1078">
        <v>22249</v>
      </c>
      <c r="E1078">
        <v>9677</v>
      </c>
      <c r="F1078">
        <v>96</v>
      </c>
      <c r="G1078" t="s">
        <v>9</v>
      </c>
      <c r="H1078" t="str" cm="1">
        <f t="array" ref="H1078">_xlfn.IFS(Grammys[[#This Row],[date]] &gt;= DATE(2022,2,1),"Grammys",TRUE,"Grammys TRA")</f>
        <v>Grammys TRA</v>
      </c>
      <c r="I1078">
        <f>_xlfn.XLOOKUP(Grammys[[#This Row],[date]],mobile_visits[date],mobile_visits[mobile_visitors],0)</f>
        <v>0</v>
      </c>
    </row>
    <row r="1079" spans="1:9">
      <c r="A1079" s="1">
        <v>43813</v>
      </c>
      <c r="B1079">
        <v>18742</v>
      </c>
      <c r="C1079">
        <v>27880</v>
      </c>
      <c r="D1079">
        <v>20367</v>
      </c>
      <c r="E1079">
        <v>9217</v>
      </c>
      <c r="F1079">
        <v>98</v>
      </c>
      <c r="G1079" t="s">
        <v>9</v>
      </c>
      <c r="H1079" t="str" cm="1">
        <f t="array" ref="H1079">_xlfn.IFS(Grammys[[#This Row],[date]] &gt;= DATE(2022,2,1),"Grammys",TRUE,"Grammys TRA")</f>
        <v>Grammys TRA</v>
      </c>
      <c r="I1079">
        <f>_xlfn.XLOOKUP(Grammys[[#This Row],[date]],mobile_visits[date],mobile_visits[mobile_visitors],0)</f>
        <v>0</v>
      </c>
    </row>
    <row r="1080" spans="1:9">
      <c r="A1080" s="1">
        <v>43814</v>
      </c>
      <c r="B1080">
        <v>19131</v>
      </c>
      <c r="C1080">
        <v>27595</v>
      </c>
      <c r="D1080">
        <v>20439</v>
      </c>
      <c r="E1080">
        <v>9016</v>
      </c>
      <c r="F1080">
        <v>99</v>
      </c>
      <c r="G1080" t="s">
        <v>9</v>
      </c>
      <c r="H1080" t="str" cm="1">
        <f t="array" ref="H1080">_xlfn.IFS(Grammys[[#This Row],[date]] &gt;= DATE(2022,2,1),"Grammys",TRUE,"Grammys TRA")</f>
        <v>Grammys TRA</v>
      </c>
      <c r="I1080">
        <f>_xlfn.XLOOKUP(Grammys[[#This Row],[date]],mobile_visits[date],mobile_visits[mobile_visitors],0)</f>
        <v>0</v>
      </c>
    </row>
    <row r="1081" spans="1:9">
      <c r="A1081" s="1">
        <v>43815</v>
      </c>
      <c r="B1081">
        <v>18022</v>
      </c>
      <c r="C1081">
        <v>26803</v>
      </c>
      <c r="D1081">
        <v>19511</v>
      </c>
      <c r="E1081">
        <v>8583</v>
      </c>
      <c r="F1081">
        <v>102</v>
      </c>
      <c r="G1081" t="s">
        <v>9</v>
      </c>
      <c r="H1081" t="str" cm="1">
        <f t="array" ref="H1081">_xlfn.IFS(Grammys[[#This Row],[date]] &gt;= DATE(2022,2,1),"Grammys",TRUE,"Grammys TRA")</f>
        <v>Grammys TRA</v>
      </c>
      <c r="I1081">
        <f>_xlfn.XLOOKUP(Grammys[[#This Row],[date]],mobile_visits[date],mobile_visits[mobile_visitors],0)</f>
        <v>0</v>
      </c>
    </row>
    <row r="1082" spans="1:9">
      <c r="A1082" s="1">
        <v>43816</v>
      </c>
      <c r="B1082">
        <v>19550</v>
      </c>
      <c r="C1082">
        <v>28747</v>
      </c>
      <c r="D1082">
        <v>20888</v>
      </c>
      <c r="E1082">
        <v>8966</v>
      </c>
      <c r="F1082">
        <v>106</v>
      </c>
      <c r="G1082" t="s">
        <v>9</v>
      </c>
      <c r="H1082" t="str" cm="1">
        <f t="array" ref="H1082">_xlfn.IFS(Grammys[[#This Row],[date]] &gt;= DATE(2022,2,1),"Grammys",TRUE,"Grammys TRA")</f>
        <v>Grammys TRA</v>
      </c>
      <c r="I1082">
        <f>_xlfn.XLOOKUP(Grammys[[#This Row],[date]],mobile_visits[date],mobile_visits[mobile_visitors],0)</f>
        <v>0</v>
      </c>
    </row>
    <row r="1083" spans="1:9">
      <c r="A1083" s="1">
        <v>43817</v>
      </c>
      <c r="B1083">
        <v>18721</v>
      </c>
      <c r="C1083">
        <v>26936</v>
      </c>
      <c r="D1083">
        <v>19973</v>
      </c>
      <c r="E1083">
        <v>8627</v>
      </c>
      <c r="F1083">
        <v>100</v>
      </c>
      <c r="G1083" t="s">
        <v>9</v>
      </c>
      <c r="H1083" t="str" cm="1">
        <f t="array" ref="H1083">_xlfn.IFS(Grammys[[#This Row],[date]] &gt;= DATE(2022,2,1),"Grammys",TRUE,"Grammys TRA")</f>
        <v>Grammys TRA</v>
      </c>
      <c r="I1083">
        <f>_xlfn.XLOOKUP(Grammys[[#This Row],[date]],mobile_visits[date],mobile_visits[mobile_visitors],0)</f>
        <v>0</v>
      </c>
    </row>
    <row r="1084" spans="1:9">
      <c r="A1084" s="1">
        <v>43818</v>
      </c>
      <c r="B1084">
        <v>18308</v>
      </c>
      <c r="C1084">
        <v>26561</v>
      </c>
      <c r="D1084">
        <v>19588</v>
      </c>
      <c r="E1084">
        <v>9033</v>
      </c>
      <c r="F1084">
        <v>96</v>
      </c>
      <c r="G1084" t="s">
        <v>9</v>
      </c>
      <c r="H1084" t="str" cm="1">
        <f t="array" ref="H1084">_xlfn.IFS(Grammys[[#This Row],[date]] &gt;= DATE(2022,2,1),"Grammys",TRUE,"Grammys TRA")</f>
        <v>Grammys TRA</v>
      </c>
      <c r="I1084">
        <f>_xlfn.XLOOKUP(Grammys[[#This Row],[date]],mobile_visits[date],mobile_visits[mobile_visitors],0)</f>
        <v>0</v>
      </c>
    </row>
    <row r="1085" spans="1:9">
      <c r="A1085" s="1">
        <v>43819</v>
      </c>
      <c r="B1085">
        <v>17747</v>
      </c>
      <c r="C1085">
        <v>25199</v>
      </c>
      <c r="D1085">
        <v>19122</v>
      </c>
      <c r="E1085">
        <v>8663</v>
      </c>
      <c r="F1085">
        <v>87</v>
      </c>
      <c r="G1085" t="s">
        <v>9</v>
      </c>
      <c r="H1085" t="str" cm="1">
        <f t="array" ref="H1085">_xlfn.IFS(Grammys[[#This Row],[date]] &gt;= DATE(2022,2,1),"Grammys",TRUE,"Grammys TRA")</f>
        <v>Grammys TRA</v>
      </c>
      <c r="I1085">
        <f>_xlfn.XLOOKUP(Grammys[[#This Row],[date]],mobile_visits[date],mobile_visits[mobile_visitors],0)</f>
        <v>0</v>
      </c>
    </row>
    <row r="1086" spans="1:9">
      <c r="A1086" s="1">
        <v>43820</v>
      </c>
      <c r="B1086">
        <v>15927</v>
      </c>
      <c r="C1086">
        <v>23174</v>
      </c>
      <c r="D1086">
        <v>17305</v>
      </c>
      <c r="E1086">
        <v>8113</v>
      </c>
      <c r="F1086">
        <v>89</v>
      </c>
      <c r="G1086" t="s">
        <v>9</v>
      </c>
      <c r="H1086" t="str" cm="1">
        <f t="array" ref="H1086">_xlfn.IFS(Grammys[[#This Row],[date]] &gt;= DATE(2022,2,1),"Grammys",TRUE,"Grammys TRA")</f>
        <v>Grammys TRA</v>
      </c>
      <c r="I1086">
        <f>_xlfn.XLOOKUP(Grammys[[#This Row],[date]],mobile_visits[date],mobile_visits[mobile_visitors],0)</f>
        <v>0</v>
      </c>
    </row>
    <row r="1087" spans="1:9">
      <c r="A1087" s="1">
        <v>43821</v>
      </c>
      <c r="B1087">
        <v>15731</v>
      </c>
      <c r="C1087">
        <v>23614</v>
      </c>
      <c r="D1087">
        <v>17337</v>
      </c>
      <c r="E1087">
        <v>8033</v>
      </c>
      <c r="F1087">
        <v>95</v>
      </c>
      <c r="G1087" t="s">
        <v>9</v>
      </c>
      <c r="H1087" t="str" cm="1">
        <f t="array" ref="H1087">_xlfn.IFS(Grammys[[#This Row],[date]] &gt;= DATE(2022,2,1),"Grammys",TRUE,"Grammys TRA")</f>
        <v>Grammys TRA</v>
      </c>
      <c r="I1087">
        <f>_xlfn.XLOOKUP(Grammys[[#This Row],[date]],mobile_visits[date],mobile_visits[mobile_visitors],0)</f>
        <v>0</v>
      </c>
    </row>
    <row r="1088" spans="1:9">
      <c r="A1088" s="1">
        <v>43822</v>
      </c>
      <c r="B1088">
        <v>16400</v>
      </c>
      <c r="C1088">
        <v>23477</v>
      </c>
      <c r="D1088">
        <v>17524</v>
      </c>
      <c r="E1088">
        <v>7637</v>
      </c>
      <c r="F1088">
        <v>94</v>
      </c>
      <c r="G1088" t="s">
        <v>9</v>
      </c>
      <c r="H1088" t="str" cm="1">
        <f t="array" ref="H1088">_xlfn.IFS(Grammys[[#This Row],[date]] &gt;= DATE(2022,2,1),"Grammys",TRUE,"Grammys TRA")</f>
        <v>Grammys TRA</v>
      </c>
      <c r="I1088">
        <f>_xlfn.XLOOKUP(Grammys[[#This Row],[date]],mobile_visits[date],mobile_visits[mobile_visitors],0)</f>
        <v>0</v>
      </c>
    </row>
    <row r="1089" spans="1:9">
      <c r="A1089" s="1">
        <v>43823</v>
      </c>
      <c r="B1089">
        <v>15063</v>
      </c>
      <c r="C1089">
        <v>21327</v>
      </c>
      <c r="D1089">
        <v>16201</v>
      </c>
      <c r="E1089">
        <v>6988</v>
      </c>
      <c r="F1089">
        <v>91</v>
      </c>
      <c r="G1089" t="s">
        <v>9</v>
      </c>
      <c r="H1089" t="str" cm="1">
        <f t="array" ref="H1089">_xlfn.IFS(Grammys[[#This Row],[date]] &gt;= DATE(2022,2,1),"Grammys",TRUE,"Grammys TRA")</f>
        <v>Grammys TRA</v>
      </c>
      <c r="I1089">
        <f>_xlfn.XLOOKUP(Grammys[[#This Row],[date]],mobile_visits[date],mobile_visits[mobile_visitors],0)</f>
        <v>0</v>
      </c>
    </row>
    <row r="1090" spans="1:9">
      <c r="A1090" s="1">
        <v>43824</v>
      </c>
      <c r="B1090">
        <v>14357</v>
      </c>
      <c r="C1090">
        <v>20952</v>
      </c>
      <c r="D1090">
        <v>15384</v>
      </c>
      <c r="E1090">
        <v>6885</v>
      </c>
      <c r="F1090">
        <v>91</v>
      </c>
      <c r="G1090" t="s">
        <v>9</v>
      </c>
      <c r="H1090" t="str" cm="1">
        <f t="array" ref="H1090">_xlfn.IFS(Grammys[[#This Row],[date]] &gt;= DATE(2022,2,1),"Grammys",TRUE,"Grammys TRA")</f>
        <v>Grammys TRA</v>
      </c>
      <c r="I1090">
        <f>_xlfn.XLOOKUP(Grammys[[#This Row],[date]],mobile_visits[date],mobile_visits[mobile_visitors],0)</f>
        <v>0</v>
      </c>
    </row>
    <row r="1091" spans="1:9">
      <c r="A1091" s="1">
        <v>43825</v>
      </c>
      <c r="B1091">
        <v>15433</v>
      </c>
      <c r="C1091">
        <v>23630</v>
      </c>
      <c r="D1091">
        <v>16581</v>
      </c>
      <c r="E1091">
        <v>7379</v>
      </c>
      <c r="F1091">
        <v>102</v>
      </c>
      <c r="G1091" t="s">
        <v>9</v>
      </c>
      <c r="H1091" t="str" cm="1">
        <f t="array" ref="H1091">_xlfn.IFS(Grammys[[#This Row],[date]] &gt;= DATE(2022,2,1),"Grammys",TRUE,"Grammys TRA")</f>
        <v>Grammys TRA</v>
      </c>
      <c r="I1091">
        <f>_xlfn.XLOOKUP(Grammys[[#This Row],[date]],mobile_visits[date],mobile_visits[mobile_visitors],0)</f>
        <v>0</v>
      </c>
    </row>
    <row r="1092" spans="1:9">
      <c r="A1092" s="1">
        <v>43826</v>
      </c>
      <c r="B1092">
        <v>16127</v>
      </c>
      <c r="C1092">
        <v>23795</v>
      </c>
      <c r="D1092">
        <v>17490</v>
      </c>
      <c r="E1092">
        <v>7969</v>
      </c>
      <c r="F1092">
        <v>97</v>
      </c>
      <c r="G1092" t="s">
        <v>9</v>
      </c>
      <c r="H1092" t="str" cm="1">
        <f t="array" ref="H1092">_xlfn.IFS(Grammys[[#This Row],[date]] &gt;= DATE(2022,2,1),"Grammys",TRUE,"Grammys TRA")</f>
        <v>Grammys TRA</v>
      </c>
      <c r="I1092">
        <f>_xlfn.XLOOKUP(Grammys[[#This Row],[date]],mobile_visits[date],mobile_visits[mobile_visitors],0)</f>
        <v>0</v>
      </c>
    </row>
    <row r="1093" spans="1:9">
      <c r="A1093" s="1">
        <v>43827</v>
      </c>
      <c r="B1093">
        <v>16420</v>
      </c>
      <c r="C1093">
        <v>24097</v>
      </c>
      <c r="D1093">
        <v>17577</v>
      </c>
      <c r="E1093">
        <v>7877</v>
      </c>
      <c r="F1093">
        <v>99</v>
      </c>
      <c r="G1093" t="s">
        <v>9</v>
      </c>
      <c r="H1093" t="str" cm="1">
        <f t="array" ref="H1093">_xlfn.IFS(Grammys[[#This Row],[date]] &gt;= DATE(2022,2,1),"Grammys",TRUE,"Grammys TRA")</f>
        <v>Grammys TRA</v>
      </c>
      <c r="I1093">
        <f>_xlfn.XLOOKUP(Grammys[[#This Row],[date]],mobile_visits[date],mobile_visits[mobile_visitors],0)</f>
        <v>0</v>
      </c>
    </row>
    <row r="1094" spans="1:9">
      <c r="A1094" s="1">
        <v>43828</v>
      </c>
      <c r="B1094">
        <v>18250</v>
      </c>
      <c r="C1094">
        <v>26428</v>
      </c>
      <c r="D1094">
        <v>19465</v>
      </c>
      <c r="E1094">
        <v>8699</v>
      </c>
      <c r="F1094">
        <v>100</v>
      </c>
      <c r="G1094" t="s">
        <v>9</v>
      </c>
      <c r="H1094" t="str" cm="1">
        <f t="array" ref="H1094">_xlfn.IFS(Grammys[[#This Row],[date]] &gt;= DATE(2022,2,1),"Grammys",TRUE,"Grammys TRA")</f>
        <v>Grammys TRA</v>
      </c>
      <c r="I1094">
        <f>_xlfn.XLOOKUP(Grammys[[#This Row],[date]],mobile_visits[date],mobile_visits[mobile_visitors],0)</f>
        <v>0</v>
      </c>
    </row>
    <row r="1095" spans="1:9">
      <c r="A1095" s="1">
        <v>43829</v>
      </c>
      <c r="B1095">
        <v>18083</v>
      </c>
      <c r="C1095">
        <v>27361</v>
      </c>
      <c r="D1095">
        <v>19740</v>
      </c>
      <c r="E1095">
        <v>8439</v>
      </c>
      <c r="F1095">
        <v>104</v>
      </c>
      <c r="G1095" t="s">
        <v>9</v>
      </c>
      <c r="H1095" t="str" cm="1">
        <f t="array" ref="H1095">_xlfn.IFS(Grammys[[#This Row],[date]] &gt;= DATE(2022,2,1),"Grammys",TRUE,"Grammys TRA")</f>
        <v>Grammys TRA</v>
      </c>
      <c r="I1095">
        <f>_xlfn.XLOOKUP(Grammys[[#This Row],[date]],mobile_visits[date],mobile_visits[mobile_visitors],0)</f>
        <v>0</v>
      </c>
    </row>
    <row r="1096" spans="1:9">
      <c r="A1096" s="1">
        <v>43830</v>
      </c>
      <c r="B1096">
        <v>29389</v>
      </c>
      <c r="C1096">
        <v>37027</v>
      </c>
      <c r="D1096">
        <v>31068</v>
      </c>
      <c r="E1096">
        <v>13385</v>
      </c>
      <c r="F1096">
        <v>69</v>
      </c>
      <c r="G1096" t="s">
        <v>9</v>
      </c>
      <c r="H1096" t="str" cm="1">
        <f t="array" ref="H1096">_xlfn.IFS(Grammys[[#This Row],[date]] &gt;= DATE(2022,2,1),"Grammys",TRUE,"Grammys TRA")</f>
        <v>Grammys TRA</v>
      </c>
      <c r="I1096">
        <f>_xlfn.XLOOKUP(Grammys[[#This Row],[date]],mobile_visits[date],mobile_visits[mobile_visitors],0)</f>
        <v>0</v>
      </c>
    </row>
    <row r="1097" spans="1:9">
      <c r="A1097" s="1">
        <v>43831</v>
      </c>
      <c r="B1097">
        <v>18485</v>
      </c>
      <c r="C1097">
        <v>26293</v>
      </c>
      <c r="D1097">
        <v>19936</v>
      </c>
      <c r="E1097">
        <v>8896</v>
      </c>
      <c r="F1097">
        <v>98</v>
      </c>
      <c r="G1097" t="s">
        <v>9</v>
      </c>
      <c r="H1097" t="str" cm="1">
        <f t="array" ref="H1097">_xlfn.IFS(Grammys[[#This Row],[date]] &gt;= DATE(2022,2,1),"Grammys",TRUE,"Grammys TRA")</f>
        <v>Grammys TRA</v>
      </c>
      <c r="I1097">
        <f>_xlfn.XLOOKUP(Grammys[[#This Row],[date]],mobile_visits[date],mobile_visits[mobile_visitors],0)</f>
        <v>0</v>
      </c>
    </row>
    <row r="1098" spans="1:9">
      <c r="A1098" s="1">
        <v>43832</v>
      </c>
      <c r="B1098">
        <v>20550</v>
      </c>
      <c r="C1098">
        <v>30007</v>
      </c>
      <c r="D1098">
        <v>22236</v>
      </c>
      <c r="E1098">
        <v>9024</v>
      </c>
      <c r="F1098">
        <v>107</v>
      </c>
      <c r="G1098" t="s">
        <v>9</v>
      </c>
      <c r="H1098" t="str" cm="1">
        <f t="array" ref="H1098">_xlfn.IFS(Grammys[[#This Row],[date]] &gt;= DATE(2022,2,1),"Grammys",TRUE,"Grammys TRA")</f>
        <v>Grammys TRA</v>
      </c>
      <c r="I1098">
        <f>_xlfn.XLOOKUP(Grammys[[#This Row],[date]],mobile_visits[date],mobile_visits[mobile_visitors],0)</f>
        <v>0</v>
      </c>
    </row>
    <row r="1099" spans="1:9">
      <c r="A1099" s="1">
        <v>43833</v>
      </c>
      <c r="B1099">
        <v>20712</v>
      </c>
      <c r="C1099">
        <v>29158</v>
      </c>
      <c r="D1099">
        <v>22353</v>
      </c>
      <c r="E1099">
        <v>9076</v>
      </c>
      <c r="F1099">
        <v>99</v>
      </c>
      <c r="G1099" t="s">
        <v>9</v>
      </c>
      <c r="H1099" t="str" cm="1">
        <f t="array" ref="H1099">_xlfn.IFS(Grammys[[#This Row],[date]] &gt;= DATE(2022,2,1),"Grammys",TRUE,"Grammys TRA")</f>
        <v>Grammys TRA</v>
      </c>
      <c r="I1099">
        <f>_xlfn.XLOOKUP(Grammys[[#This Row],[date]],mobile_visits[date],mobile_visits[mobile_visitors],0)</f>
        <v>0</v>
      </c>
    </row>
    <row r="1100" spans="1:9">
      <c r="A1100" s="1">
        <v>43834</v>
      </c>
      <c r="B1100">
        <v>20738</v>
      </c>
      <c r="C1100">
        <v>29467</v>
      </c>
      <c r="D1100">
        <v>22157</v>
      </c>
      <c r="E1100">
        <v>9657</v>
      </c>
      <c r="F1100">
        <v>99</v>
      </c>
      <c r="G1100" t="s">
        <v>9</v>
      </c>
      <c r="H1100" t="str" cm="1">
        <f t="array" ref="H1100">_xlfn.IFS(Grammys[[#This Row],[date]] &gt;= DATE(2022,2,1),"Grammys",TRUE,"Grammys TRA")</f>
        <v>Grammys TRA</v>
      </c>
      <c r="I1100">
        <f>_xlfn.XLOOKUP(Grammys[[#This Row],[date]],mobile_visits[date],mobile_visits[mobile_visitors],0)</f>
        <v>0</v>
      </c>
    </row>
    <row r="1101" spans="1:9">
      <c r="A1101" s="1">
        <v>43835</v>
      </c>
      <c r="B1101">
        <v>30413</v>
      </c>
      <c r="C1101">
        <v>42773</v>
      </c>
      <c r="D1101">
        <v>31971</v>
      </c>
      <c r="E1101">
        <v>14995</v>
      </c>
      <c r="F1101">
        <v>95</v>
      </c>
      <c r="G1101" t="s">
        <v>9</v>
      </c>
      <c r="H1101" t="str" cm="1">
        <f t="array" ref="H1101">_xlfn.IFS(Grammys[[#This Row],[date]] &gt;= DATE(2022,2,1),"Grammys",TRUE,"Grammys TRA")</f>
        <v>Grammys TRA</v>
      </c>
      <c r="I1101">
        <f>_xlfn.XLOOKUP(Grammys[[#This Row],[date]],mobile_visits[date],mobile_visits[mobile_visitors],0)</f>
        <v>0</v>
      </c>
    </row>
    <row r="1102" spans="1:9">
      <c r="A1102" s="1">
        <v>43836</v>
      </c>
      <c r="B1102">
        <v>34103</v>
      </c>
      <c r="C1102">
        <v>46393</v>
      </c>
      <c r="D1102">
        <v>36787</v>
      </c>
      <c r="E1102">
        <v>18640</v>
      </c>
      <c r="F1102">
        <v>85</v>
      </c>
      <c r="G1102" t="s">
        <v>9</v>
      </c>
      <c r="H1102" t="str" cm="1">
        <f t="array" ref="H1102">_xlfn.IFS(Grammys[[#This Row],[date]] &gt;= DATE(2022,2,1),"Grammys",TRUE,"Grammys TRA")</f>
        <v>Grammys TRA</v>
      </c>
      <c r="I1102">
        <f>_xlfn.XLOOKUP(Grammys[[#This Row],[date]],mobile_visits[date],mobile_visits[mobile_visitors],0)</f>
        <v>0</v>
      </c>
    </row>
    <row r="1103" spans="1:9">
      <c r="A1103" s="1">
        <v>43837</v>
      </c>
      <c r="B1103">
        <v>27628</v>
      </c>
      <c r="C1103">
        <v>41006</v>
      </c>
      <c r="D1103">
        <v>29776</v>
      </c>
      <c r="E1103">
        <v>12977</v>
      </c>
      <c r="F1103">
        <v>107</v>
      </c>
      <c r="G1103" t="s">
        <v>9</v>
      </c>
      <c r="H1103" t="str" cm="1">
        <f t="array" ref="H1103">_xlfn.IFS(Grammys[[#This Row],[date]] &gt;= DATE(2022,2,1),"Grammys",TRUE,"Grammys TRA")</f>
        <v>Grammys TRA</v>
      </c>
      <c r="I1103">
        <f>_xlfn.XLOOKUP(Grammys[[#This Row],[date]],mobile_visits[date],mobile_visits[mobile_visitors],0)</f>
        <v>0</v>
      </c>
    </row>
    <row r="1104" spans="1:9">
      <c r="A1104" s="1">
        <v>43838</v>
      </c>
      <c r="B1104">
        <v>44062</v>
      </c>
      <c r="C1104">
        <v>60557</v>
      </c>
      <c r="D1104">
        <v>47554</v>
      </c>
      <c r="E1104">
        <v>16973</v>
      </c>
      <c r="F1104">
        <v>93</v>
      </c>
      <c r="G1104" t="s">
        <v>9</v>
      </c>
      <c r="H1104" t="str" cm="1">
        <f t="array" ref="H1104">_xlfn.IFS(Grammys[[#This Row],[date]] &gt;= DATE(2022,2,1),"Grammys",TRUE,"Grammys TRA")</f>
        <v>Grammys TRA</v>
      </c>
      <c r="I1104">
        <f>_xlfn.XLOOKUP(Grammys[[#This Row],[date]],mobile_visits[date],mobile_visits[mobile_visitors],0)</f>
        <v>0</v>
      </c>
    </row>
    <row r="1105" spans="1:9">
      <c r="A1105" s="1">
        <v>43839</v>
      </c>
      <c r="B1105">
        <v>33177</v>
      </c>
      <c r="C1105">
        <v>46770</v>
      </c>
      <c r="D1105">
        <v>35669</v>
      </c>
      <c r="E1105">
        <v>14232</v>
      </c>
      <c r="F1105">
        <v>98</v>
      </c>
      <c r="G1105" t="s">
        <v>9</v>
      </c>
      <c r="H1105" t="str" cm="1">
        <f t="array" ref="H1105">_xlfn.IFS(Grammys[[#This Row],[date]] &gt;= DATE(2022,2,1),"Grammys",TRUE,"Grammys TRA")</f>
        <v>Grammys TRA</v>
      </c>
      <c r="I1105">
        <f>_xlfn.XLOOKUP(Grammys[[#This Row],[date]],mobile_visits[date],mobile_visits[mobile_visitors],0)</f>
        <v>0</v>
      </c>
    </row>
    <row r="1106" spans="1:9">
      <c r="A1106" s="1">
        <v>43840</v>
      </c>
      <c r="B1106">
        <v>27813</v>
      </c>
      <c r="C1106">
        <v>39093</v>
      </c>
      <c r="D1106">
        <v>29454</v>
      </c>
      <c r="E1106">
        <v>12121</v>
      </c>
      <c r="F1106">
        <v>100</v>
      </c>
      <c r="G1106" t="s">
        <v>9</v>
      </c>
      <c r="H1106" t="str" cm="1">
        <f t="array" ref="H1106">_xlfn.IFS(Grammys[[#This Row],[date]] &gt;= DATE(2022,2,1),"Grammys",TRUE,"Grammys TRA")</f>
        <v>Grammys TRA</v>
      </c>
      <c r="I1106">
        <f>_xlfn.XLOOKUP(Grammys[[#This Row],[date]],mobile_visits[date],mobile_visits[mobile_visitors],0)</f>
        <v>0</v>
      </c>
    </row>
    <row r="1107" spans="1:9">
      <c r="A1107" s="1">
        <v>43841</v>
      </c>
      <c r="B1107">
        <v>35869</v>
      </c>
      <c r="C1107">
        <v>51048</v>
      </c>
      <c r="D1107">
        <v>38471</v>
      </c>
      <c r="E1107">
        <v>15381</v>
      </c>
      <c r="F1107">
        <v>97</v>
      </c>
      <c r="G1107" t="s">
        <v>9</v>
      </c>
      <c r="H1107" t="str" cm="1">
        <f t="array" ref="H1107">_xlfn.IFS(Grammys[[#This Row],[date]] &gt;= DATE(2022,2,1),"Grammys",TRUE,"Grammys TRA")</f>
        <v>Grammys TRA</v>
      </c>
      <c r="I1107">
        <f>_xlfn.XLOOKUP(Grammys[[#This Row],[date]],mobile_visits[date],mobile_visits[mobile_visitors],0)</f>
        <v>0</v>
      </c>
    </row>
    <row r="1108" spans="1:9">
      <c r="A1108" s="1">
        <v>43842</v>
      </c>
      <c r="B1108">
        <v>33297</v>
      </c>
      <c r="C1108">
        <v>48803</v>
      </c>
      <c r="D1108">
        <v>36243</v>
      </c>
      <c r="E1108">
        <v>15027</v>
      </c>
      <c r="F1108">
        <v>103</v>
      </c>
      <c r="G1108" t="s">
        <v>9</v>
      </c>
      <c r="H1108" t="str" cm="1">
        <f t="array" ref="H1108">_xlfn.IFS(Grammys[[#This Row],[date]] &gt;= DATE(2022,2,1),"Grammys",TRUE,"Grammys TRA")</f>
        <v>Grammys TRA</v>
      </c>
      <c r="I1108">
        <f>_xlfn.XLOOKUP(Grammys[[#This Row],[date]],mobile_visits[date],mobile_visits[mobile_visitors],0)</f>
        <v>0</v>
      </c>
    </row>
    <row r="1109" spans="1:9">
      <c r="A1109" s="1">
        <v>43843</v>
      </c>
      <c r="B1109">
        <v>33987</v>
      </c>
      <c r="C1109">
        <v>49624</v>
      </c>
      <c r="D1109">
        <v>36675</v>
      </c>
      <c r="E1109">
        <v>14498</v>
      </c>
      <c r="F1109">
        <v>114</v>
      </c>
      <c r="G1109" t="s">
        <v>9</v>
      </c>
      <c r="H1109" t="str" cm="1">
        <f t="array" ref="H1109">_xlfn.IFS(Grammys[[#This Row],[date]] &gt;= DATE(2022,2,1),"Grammys",TRUE,"Grammys TRA")</f>
        <v>Grammys TRA</v>
      </c>
      <c r="I1109">
        <f>_xlfn.XLOOKUP(Grammys[[#This Row],[date]],mobile_visits[date],mobile_visits[mobile_visitors],0)</f>
        <v>0</v>
      </c>
    </row>
    <row r="1110" spans="1:9">
      <c r="A1110" s="1">
        <v>43844</v>
      </c>
      <c r="B1110">
        <v>52583</v>
      </c>
      <c r="C1110">
        <v>75105</v>
      </c>
      <c r="D1110">
        <v>56261</v>
      </c>
      <c r="E1110">
        <v>23422</v>
      </c>
      <c r="F1110">
        <v>95</v>
      </c>
      <c r="G1110" t="s">
        <v>9</v>
      </c>
      <c r="H1110" t="str" cm="1">
        <f t="array" ref="H1110">_xlfn.IFS(Grammys[[#This Row],[date]] &gt;= DATE(2022,2,1),"Grammys",TRUE,"Grammys TRA")</f>
        <v>Grammys TRA</v>
      </c>
      <c r="I1110">
        <f>_xlfn.XLOOKUP(Grammys[[#This Row],[date]],mobile_visits[date],mobile_visits[mobile_visitors],0)</f>
        <v>0</v>
      </c>
    </row>
    <row r="1111" spans="1:9">
      <c r="A1111" s="1">
        <v>43845</v>
      </c>
      <c r="B1111">
        <v>58571</v>
      </c>
      <c r="C1111">
        <v>86819</v>
      </c>
      <c r="D1111">
        <v>63958</v>
      </c>
      <c r="E1111">
        <v>25878</v>
      </c>
      <c r="F1111">
        <v>101</v>
      </c>
      <c r="G1111" t="s">
        <v>9</v>
      </c>
      <c r="H1111" t="str" cm="1">
        <f t="array" ref="H1111">_xlfn.IFS(Grammys[[#This Row],[date]] &gt;= DATE(2022,2,1),"Grammys",TRUE,"Grammys TRA")</f>
        <v>Grammys TRA</v>
      </c>
      <c r="I1111">
        <f>_xlfn.XLOOKUP(Grammys[[#This Row],[date]],mobile_visits[date],mobile_visits[mobile_visitors],0)</f>
        <v>0</v>
      </c>
    </row>
    <row r="1112" spans="1:9">
      <c r="A1112" s="1">
        <v>43846</v>
      </c>
      <c r="B1112">
        <v>40561</v>
      </c>
      <c r="C1112">
        <v>60485</v>
      </c>
      <c r="D1112">
        <v>43829</v>
      </c>
      <c r="E1112">
        <v>17747</v>
      </c>
      <c r="F1112">
        <v>110</v>
      </c>
      <c r="G1112" t="s">
        <v>9</v>
      </c>
      <c r="H1112" t="str" cm="1">
        <f t="array" ref="H1112">_xlfn.IFS(Grammys[[#This Row],[date]] &gt;= DATE(2022,2,1),"Grammys",TRUE,"Grammys TRA")</f>
        <v>Grammys TRA</v>
      </c>
      <c r="I1112">
        <f>_xlfn.XLOOKUP(Grammys[[#This Row],[date]],mobile_visits[date],mobile_visits[mobile_visitors],0)</f>
        <v>0</v>
      </c>
    </row>
    <row r="1113" spans="1:9">
      <c r="A1113" s="1">
        <v>43847</v>
      </c>
      <c r="B1113">
        <v>37597</v>
      </c>
      <c r="C1113">
        <v>55752</v>
      </c>
      <c r="D1113">
        <v>40722</v>
      </c>
      <c r="E1113">
        <v>16314</v>
      </c>
      <c r="F1113">
        <v>108</v>
      </c>
      <c r="G1113" t="s">
        <v>9</v>
      </c>
      <c r="H1113" t="str" cm="1">
        <f t="array" ref="H1113">_xlfn.IFS(Grammys[[#This Row],[date]] &gt;= DATE(2022,2,1),"Grammys",TRUE,"Grammys TRA")</f>
        <v>Grammys TRA</v>
      </c>
      <c r="I1113">
        <f>_xlfn.XLOOKUP(Grammys[[#This Row],[date]],mobile_visits[date],mobile_visits[mobile_visitors],0)</f>
        <v>0</v>
      </c>
    </row>
    <row r="1114" spans="1:9">
      <c r="A1114" s="1">
        <v>43848</v>
      </c>
      <c r="B1114">
        <v>34892</v>
      </c>
      <c r="C1114">
        <v>50430</v>
      </c>
      <c r="D1114">
        <v>37524</v>
      </c>
      <c r="E1114">
        <v>15847</v>
      </c>
      <c r="F1114">
        <v>100</v>
      </c>
      <c r="G1114" t="s">
        <v>9</v>
      </c>
      <c r="H1114" t="str" cm="1">
        <f t="array" ref="H1114">_xlfn.IFS(Grammys[[#This Row],[date]] &gt;= DATE(2022,2,1),"Grammys",TRUE,"Grammys TRA")</f>
        <v>Grammys TRA</v>
      </c>
      <c r="I1114">
        <f>_xlfn.XLOOKUP(Grammys[[#This Row],[date]],mobile_visits[date],mobile_visits[mobile_visitors],0)</f>
        <v>0</v>
      </c>
    </row>
    <row r="1115" spans="1:9">
      <c r="A1115" s="1">
        <v>43849</v>
      </c>
      <c r="B1115">
        <v>55119</v>
      </c>
      <c r="C1115">
        <v>79862</v>
      </c>
      <c r="D1115">
        <v>59662</v>
      </c>
      <c r="E1115">
        <v>24384</v>
      </c>
      <c r="F1115">
        <v>108</v>
      </c>
      <c r="G1115" t="s">
        <v>9</v>
      </c>
      <c r="H1115" t="str" cm="1">
        <f t="array" ref="H1115">_xlfn.IFS(Grammys[[#This Row],[date]] &gt;= DATE(2022,2,1),"Grammys",TRUE,"Grammys TRA")</f>
        <v>Grammys TRA</v>
      </c>
      <c r="I1115">
        <f>_xlfn.XLOOKUP(Grammys[[#This Row],[date]],mobile_visits[date],mobile_visits[mobile_visitors],0)</f>
        <v>0</v>
      </c>
    </row>
    <row r="1116" spans="1:9">
      <c r="A1116" s="1">
        <v>43850</v>
      </c>
      <c r="B1116">
        <v>46281</v>
      </c>
      <c r="C1116">
        <v>71863</v>
      </c>
      <c r="D1116">
        <v>51351</v>
      </c>
      <c r="E1116">
        <v>21311</v>
      </c>
      <c r="F1116">
        <v>118</v>
      </c>
      <c r="G1116" t="s">
        <v>9</v>
      </c>
      <c r="H1116" t="str" cm="1">
        <f t="array" ref="H1116">_xlfn.IFS(Grammys[[#This Row],[date]] &gt;= DATE(2022,2,1),"Grammys",TRUE,"Grammys TRA")</f>
        <v>Grammys TRA</v>
      </c>
      <c r="I1116">
        <f>_xlfn.XLOOKUP(Grammys[[#This Row],[date]],mobile_visits[date],mobile_visits[mobile_visitors],0)</f>
        <v>0</v>
      </c>
    </row>
    <row r="1117" spans="1:9">
      <c r="A1117" s="1">
        <v>43851</v>
      </c>
      <c r="B1117">
        <v>60163</v>
      </c>
      <c r="C1117">
        <v>91734</v>
      </c>
      <c r="D1117">
        <v>65946</v>
      </c>
      <c r="E1117">
        <v>25805</v>
      </c>
      <c r="F1117">
        <v>119</v>
      </c>
      <c r="G1117" t="s">
        <v>9</v>
      </c>
      <c r="H1117" t="str" cm="1">
        <f t="array" ref="H1117">_xlfn.IFS(Grammys[[#This Row],[date]] &gt;= DATE(2022,2,1),"Grammys",TRUE,"Grammys TRA")</f>
        <v>Grammys TRA</v>
      </c>
      <c r="I1117">
        <f>_xlfn.XLOOKUP(Grammys[[#This Row],[date]],mobile_visits[date],mobile_visits[mobile_visitors],0)</f>
        <v>0</v>
      </c>
    </row>
    <row r="1118" spans="1:9">
      <c r="A1118" s="1">
        <v>43852</v>
      </c>
      <c r="B1118">
        <v>86179</v>
      </c>
      <c r="C1118">
        <v>130932</v>
      </c>
      <c r="D1118">
        <v>95372</v>
      </c>
      <c r="E1118">
        <v>39408</v>
      </c>
      <c r="F1118">
        <v>113</v>
      </c>
      <c r="G1118" t="s">
        <v>9</v>
      </c>
      <c r="H1118" t="str" cm="1">
        <f t="array" ref="H1118">_xlfn.IFS(Grammys[[#This Row],[date]] &gt;= DATE(2022,2,1),"Grammys",TRUE,"Grammys TRA")</f>
        <v>Grammys TRA</v>
      </c>
      <c r="I1118">
        <f>_xlfn.XLOOKUP(Grammys[[#This Row],[date]],mobile_visits[date],mobile_visits[mobile_visitors],0)</f>
        <v>0</v>
      </c>
    </row>
    <row r="1119" spans="1:9">
      <c r="A1119" s="1">
        <v>43853</v>
      </c>
      <c r="B1119">
        <v>166060</v>
      </c>
      <c r="C1119">
        <v>245647</v>
      </c>
      <c r="D1119">
        <v>186227</v>
      </c>
      <c r="E1119">
        <v>79482</v>
      </c>
      <c r="F1119">
        <v>91</v>
      </c>
      <c r="G1119" t="s">
        <v>9</v>
      </c>
      <c r="H1119" t="str" cm="1">
        <f t="array" ref="H1119">_xlfn.IFS(Grammys[[#This Row],[date]] &gt;= DATE(2022,2,1),"Grammys",TRUE,"Grammys TRA")</f>
        <v>Grammys TRA</v>
      </c>
      <c r="I1119">
        <f>_xlfn.XLOOKUP(Grammys[[#This Row],[date]],mobile_visits[date],mobile_visits[mobile_visitors],0)</f>
        <v>0</v>
      </c>
    </row>
    <row r="1120" spans="1:9">
      <c r="A1120" s="1">
        <v>43854</v>
      </c>
      <c r="B1120">
        <v>145152</v>
      </c>
      <c r="C1120">
        <v>209696</v>
      </c>
      <c r="D1120">
        <v>156763</v>
      </c>
      <c r="E1120">
        <v>67173</v>
      </c>
      <c r="F1120">
        <v>109</v>
      </c>
      <c r="G1120" t="s">
        <v>9</v>
      </c>
      <c r="H1120" t="str" cm="1">
        <f t="array" ref="H1120">_xlfn.IFS(Grammys[[#This Row],[date]] &gt;= DATE(2022,2,1),"Grammys",TRUE,"Grammys TRA")</f>
        <v>Grammys TRA</v>
      </c>
      <c r="I1120">
        <f>_xlfn.XLOOKUP(Grammys[[#This Row],[date]],mobile_visits[date],mobile_visits[mobile_visitors],0)</f>
        <v>0</v>
      </c>
    </row>
    <row r="1121" spans="1:9">
      <c r="A1121" s="1">
        <v>43855</v>
      </c>
      <c r="B1121">
        <v>208046</v>
      </c>
      <c r="C1121">
        <v>304052</v>
      </c>
      <c r="D1121">
        <v>225912</v>
      </c>
      <c r="E1121">
        <v>101458</v>
      </c>
      <c r="F1121">
        <v>111</v>
      </c>
      <c r="G1121" t="s">
        <v>9</v>
      </c>
      <c r="H1121" t="str" cm="1">
        <f t="array" ref="H1121">_xlfn.IFS(Grammys[[#This Row],[date]] &gt;= DATE(2022,2,1),"Grammys",TRUE,"Grammys TRA")</f>
        <v>Grammys TRA</v>
      </c>
      <c r="I1121">
        <f>_xlfn.XLOOKUP(Grammys[[#This Row],[date]],mobile_visits[date],mobile_visits[mobile_visitors],0)</f>
        <v>0</v>
      </c>
    </row>
    <row r="1122" spans="1:9">
      <c r="A1122" s="1">
        <v>43856</v>
      </c>
      <c r="B1122">
        <v>2261512</v>
      </c>
      <c r="C1122">
        <v>6688450</v>
      </c>
      <c r="D1122">
        <v>2634408</v>
      </c>
      <c r="E1122">
        <v>796382</v>
      </c>
      <c r="F1122">
        <v>230</v>
      </c>
      <c r="G1122" t="s">
        <v>10</v>
      </c>
      <c r="H1122" t="str" cm="1">
        <f t="array" ref="H1122">_xlfn.IFS(Grammys[[#This Row],[date]] &gt;= DATE(2022,2,1),"Grammys",TRUE,"Grammys TRA")</f>
        <v>Grammys TRA</v>
      </c>
      <c r="I1122">
        <f>_xlfn.XLOOKUP(Grammys[[#This Row],[date]],mobile_visits[date],mobile_visits[mobile_visitors],0)</f>
        <v>0</v>
      </c>
    </row>
    <row r="1123" spans="1:9">
      <c r="A1123" s="1">
        <v>43857</v>
      </c>
      <c r="B1123">
        <v>1473248</v>
      </c>
      <c r="C1123">
        <v>2837611</v>
      </c>
      <c r="D1123">
        <v>1563182</v>
      </c>
      <c r="E1123">
        <v>480366</v>
      </c>
      <c r="F1123">
        <v>142</v>
      </c>
      <c r="G1123" t="s">
        <v>9</v>
      </c>
      <c r="H1123" t="str" cm="1">
        <f t="array" ref="H1123">_xlfn.IFS(Grammys[[#This Row],[date]] &gt;= DATE(2022,2,1),"Grammys",TRUE,"Grammys TRA")</f>
        <v>Grammys TRA</v>
      </c>
      <c r="I1123">
        <f>_xlfn.XLOOKUP(Grammys[[#This Row],[date]],mobile_visits[date],mobile_visits[mobile_visitors],0)</f>
        <v>0</v>
      </c>
    </row>
    <row r="1124" spans="1:9">
      <c r="A1124" s="1">
        <v>43858</v>
      </c>
      <c r="B1124">
        <v>402339</v>
      </c>
      <c r="C1124">
        <v>741599</v>
      </c>
      <c r="D1124">
        <v>412677</v>
      </c>
      <c r="E1124">
        <v>150009</v>
      </c>
      <c r="F1124">
        <v>145</v>
      </c>
      <c r="G1124" t="s">
        <v>9</v>
      </c>
      <c r="H1124" t="str" cm="1">
        <f t="array" ref="H1124">_xlfn.IFS(Grammys[[#This Row],[date]] &gt;= DATE(2022,2,1),"Grammys",TRUE,"Grammys TRA")</f>
        <v>Grammys TRA</v>
      </c>
      <c r="I1124">
        <f>_xlfn.XLOOKUP(Grammys[[#This Row],[date]],mobile_visits[date],mobile_visits[mobile_visitors],0)</f>
        <v>0</v>
      </c>
    </row>
    <row r="1125" spans="1:9">
      <c r="A1125" s="1">
        <v>43859</v>
      </c>
      <c r="B1125">
        <v>185134</v>
      </c>
      <c r="C1125">
        <v>352986</v>
      </c>
      <c r="D1125">
        <v>191260</v>
      </c>
      <c r="E1125">
        <v>73119</v>
      </c>
      <c r="F1125">
        <v>140</v>
      </c>
      <c r="G1125" t="s">
        <v>9</v>
      </c>
      <c r="H1125" t="str" cm="1">
        <f t="array" ref="H1125">_xlfn.IFS(Grammys[[#This Row],[date]] &gt;= DATE(2022,2,1),"Grammys",TRUE,"Grammys TRA")</f>
        <v>Grammys TRA</v>
      </c>
      <c r="I1125">
        <f>_xlfn.XLOOKUP(Grammys[[#This Row],[date]],mobile_visits[date],mobile_visits[mobile_visitors],0)</f>
        <v>0</v>
      </c>
    </row>
    <row r="1126" spans="1:9">
      <c r="A1126" s="1">
        <v>43860</v>
      </c>
      <c r="B1126">
        <v>109443</v>
      </c>
      <c r="C1126">
        <v>217120</v>
      </c>
      <c r="D1126">
        <v>115193</v>
      </c>
      <c r="E1126">
        <v>47690</v>
      </c>
      <c r="F1126">
        <v>123</v>
      </c>
      <c r="G1126" t="s">
        <v>9</v>
      </c>
      <c r="H1126" t="str" cm="1">
        <f t="array" ref="H1126">_xlfn.IFS(Grammys[[#This Row],[date]] &gt;= DATE(2022,2,1),"Grammys",TRUE,"Grammys TRA")</f>
        <v>Grammys TRA</v>
      </c>
      <c r="I1126">
        <f>_xlfn.XLOOKUP(Grammys[[#This Row],[date]],mobile_visits[date],mobile_visits[mobile_visitors],0)</f>
        <v>0</v>
      </c>
    </row>
    <row r="1127" spans="1:9">
      <c r="A1127" s="1">
        <v>43861</v>
      </c>
      <c r="B1127">
        <v>106853</v>
      </c>
      <c r="C1127">
        <v>190538</v>
      </c>
      <c r="D1127">
        <v>110860</v>
      </c>
      <c r="E1127">
        <v>46916</v>
      </c>
      <c r="F1127">
        <v>113</v>
      </c>
      <c r="G1127" t="s">
        <v>9</v>
      </c>
      <c r="H1127" t="str" cm="1">
        <f t="array" ref="H1127">_xlfn.IFS(Grammys[[#This Row],[date]] &gt;= DATE(2022,2,1),"Grammys",TRUE,"Grammys TRA")</f>
        <v>Grammys TRA</v>
      </c>
      <c r="I1127">
        <f>_xlfn.XLOOKUP(Grammys[[#This Row],[date]],mobile_visits[date],mobile_visits[mobile_visitors],0)</f>
        <v>0</v>
      </c>
    </row>
    <row r="1128" spans="1:9">
      <c r="A1128" s="1">
        <v>43862</v>
      </c>
      <c r="B1128">
        <v>98319</v>
      </c>
      <c r="C1128">
        <v>160279</v>
      </c>
      <c r="D1128">
        <v>101703</v>
      </c>
      <c r="E1128">
        <v>44597</v>
      </c>
      <c r="F1128">
        <v>101</v>
      </c>
      <c r="G1128" t="s">
        <v>9</v>
      </c>
      <c r="H1128" t="str" cm="1">
        <f t="array" ref="H1128">_xlfn.IFS(Grammys[[#This Row],[date]] &gt;= DATE(2022,2,1),"Grammys",TRUE,"Grammys TRA")</f>
        <v>Grammys TRA</v>
      </c>
      <c r="I1128">
        <f>_xlfn.XLOOKUP(Grammys[[#This Row],[date]],mobile_visits[date],mobile_visits[mobile_visitors],0)</f>
        <v>0</v>
      </c>
    </row>
    <row r="1129" spans="1:9">
      <c r="A1129" s="1">
        <v>43863</v>
      </c>
      <c r="B1129">
        <v>94254</v>
      </c>
      <c r="C1129">
        <v>145051</v>
      </c>
      <c r="D1129">
        <v>98917</v>
      </c>
      <c r="E1129">
        <v>44790</v>
      </c>
      <c r="F1129">
        <v>90</v>
      </c>
      <c r="G1129" t="s">
        <v>9</v>
      </c>
      <c r="H1129" t="str" cm="1">
        <f t="array" ref="H1129">_xlfn.IFS(Grammys[[#This Row],[date]] &gt;= DATE(2022,2,1),"Grammys",TRUE,"Grammys TRA")</f>
        <v>Grammys TRA</v>
      </c>
      <c r="I1129">
        <f>_xlfn.XLOOKUP(Grammys[[#This Row],[date]],mobile_visits[date],mobile_visits[mobile_visitors],0)</f>
        <v>0</v>
      </c>
    </row>
    <row r="1130" spans="1:9">
      <c r="A1130" s="1">
        <v>43864</v>
      </c>
      <c r="B1130">
        <v>80043</v>
      </c>
      <c r="C1130">
        <v>117792</v>
      </c>
      <c r="D1130">
        <v>84444</v>
      </c>
      <c r="E1130">
        <v>34884</v>
      </c>
      <c r="F1130">
        <v>101</v>
      </c>
      <c r="G1130" t="s">
        <v>9</v>
      </c>
      <c r="H1130" t="str" cm="1">
        <f t="array" ref="H1130">_xlfn.IFS(Grammys[[#This Row],[date]] &gt;= DATE(2022,2,1),"Grammys",TRUE,"Grammys TRA")</f>
        <v>Grammys TRA</v>
      </c>
      <c r="I1130">
        <f>_xlfn.XLOOKUP(Grammys[[#This Row],[date]],mobile_visits[date],mobile_visits[mobile_visitors],0)</f>
        <v>0</v>
      </c>
    </row>
    <row r="1131" spans="1:9">
      <c r="A1131" s="1">
        <v>43865</v>
      </c>
      <c r="B1131">
        <v>54334</v>
      </c>
      <c r="C1131">
        <v>76752</v>
      </c>
      <c r="D1131">
        <v>57429</v>
      </c>
      <c r="E1131">
        <v>24907</v>
      </c>
      <c r="F1131">
        <v>88</v>
      </c>
      <c r="G1131" t="s">
        <v>9</v>
      </c>
      <c r="H1131" t="str" cm="1">
        <f t="array" ref="H1131">_xlfn.IFS(Grammys[[#This Row],[date]] &gt;= DATE(2022,2,1),"Grammys",TRUE,"Grammys TRA")</f>
        <v>Grammys TRA</v>
      </c>
      <c r="I1131">
        <f>_xlfn.XLOOKUP(Grammys[[#This Row],[date]],mobile_visits[date],mobile_visits[mobile_visitors],0)</f>
        <v>0</v>
      </c>
    </row>
    <row r="1132" spans="1:9">
      <c r="A1132" s="1">
        <v>43866</v>
      </c>
      <c r="B1132">
        <v>41409</v>
      </c>
      <c r="C1132">
        <v>59957</v>
      </c>
      <c r="D1132">
        <v>44059</v>
      </c>
      <c r="E1132">
        <v>20298</v>
      </c>
      <c r="F1132">
        <v>95</v>
      </c>
      <c r="G1132" t="s">
        <v>9</v>
      </c>
      <c r="H1132" t="str" cm="1">
        <f t="array" ref="H1132">_xlfn.IFS(Grammys[[#This Row],[date]] &gt;= DATE(2022,2,1),"Grammys",TRUE,"Grammys TRA")</f>
        <v>Grammys TRA</v>
      </c>
      <c r="I1132">
        <f>_xlfn.XLOOKUP(Grammys[[#This Row],[date]],mobile_visits[date],mobile_visits[mobile_visitors],0)</f>
        <v>0</v>
      </c>
    </row>
    <row r="1133" spans="1:9">
      <c r="A1133" s="1">
        <v>43867</v>
      </c>
      <c r="B1133">
        <v>38833</v>
      </c>
      <c r="C1133">
        <v>55270</v>
      </c>
      <c r="D1133">
        <v>40895</v>
      </c>
      <c r="E1133">
        <v>18882</v>
      </c>
      <c r="F1133">
        <v>93</v>
      </c>
      <c r="G1133" t="s">
        <v>9</v>
      </c>
      <c r="H1133" t="str" cm="1">
        <f t="array" ref="H1133">_xlfn.IFS(Grammys[[#This Row],[date]] &gt;= DATE(2022,2,1),"Grammys",TRUE,"Grammys TRA")</f>
        <v>Grammys TRA</v>
      </c>
      <c r="I1133">
        <f>_xlfn.XLOOKUP(Grammys[[#This Row],[date]],mobile_visits[date],mobile_visits[mobile_visitors],0)</f>
        <v>0</v>
      </c>
    </row>
    <row r="1134" spans="1:9">
      <c r="A1134" s="1">
        <v>43868</v>
      </c>
      <c r="B1134">
        <v>35022</v>
      </c>
      <c r="C1134">
        <v>50920</v>
      </c>
      <c r="D1134">
        <v>37638</v>
      </c>
      <c r="E1134">
        <v>17732</v>
      </c>
      <c r="F1134">
        <v>91</v>
      </c>
      <c r="G1134" t="s">
        <v>9</v>
      </c>
      <c r="H1134" t="str" cm="1">
        <f t="array" ref="H1134">_xlfn.IFS(Grammys[[#This Row],[date]] &gt;= DATE(2022,2,1),"Grammys",TRUE,"Grammys TRA")</f>
        <v>Grammys TRA</v>
      </c>
      <c r="I1134">
        <f>_xlfn.XLOOKUP(Grammys[[#This Row],[date]],mobile_visits[date],mobile_visits[mobile_visitors],0)</f>
        <v>0</v>
      </c>
    </row>
    <row r="1135" spans="1:9">
      <c r="A1135" s="1">
        <v>43869</v>
      </c>
      <c r="B1135">
        <v>35951</v>
      </c>
      <c r="C1135">
        <v>49920</v>
      </c>
      <c r="D1135">
        <v>38169</v>
      </c>
      <c r="E1135">
        <v>18593</v>
      </c>
      <c r="F1135">
        <v>87</v>
      </c>
      <c r="G1135" t="s">
        <v>9</v>
      </c>
      <c r="H1135" t="str" cm="1">
        <f t="array" ref="H1135">_xlfn.IFS(Grammys[[#This Row],[date]] &gt;= DATE(2022,2,1),"Grammys",TRUE,"Grammys TRA")</f>
        <v>Grammys TRA</v>
      </c>
      <c r="I1135">
        <f>_xlfn.XLOOKUP(Grammys[[#This Row],[date]],mobile_visits[date],mobile_visits[mobile_visitors],0)</f>
        <v>0</v>
      </c>
    </row>
    <row r="1136" spans="1:9">
      <c r="A1136" s="1">
        <v>43870</v>
      </c>
      <c r="B1136">
        <v>74640</v>
      </c>
      <c r="C1136">
        <v>94059</v>
      </c>
      <c r="D1136">
        <v>76864</v>
      </c>
      <c r="E1136">
        <v>40008</v>
      </c>
      <c r="F1136">
        <v>67</v>
      </c>
      <c r="G1136" t="s">
        <v>9</v>
      </c>
      <c r="H1136" t="str" cm="1">
        <f t="array" ref="H1136">_xlfn.IFS(Grammys[[#This Row],[date]] &gt;= DATE(2022,2,1),"Grammys",TRUE,"Grammys TRA")</f>
        <v>Grammys TRA</v>
      </c>
      <c r="I1136">
        <f>_xlfn.XLOOKUP(Grammys[[#This Row],[date]],mobile_visits[date],mobile_visits[mobile_visitors],0)</f>
        <v>0</v>
      </c>
    </row>
    <row r="1137" spans="1:9">
      <c r="A1137" s="1">
        <v>43871</v>
      </c>
      <c r="B1137">
        <v>86393</v>
      </c>
      <c r="C1137">
        <v>105695</v>
      </c>
      <c r="D1137">
        <v>90116</v>
      </c>
      <c r="E1137">
        <v>37795</v>
      </c>
      <c r="F1137">
        <v>69</v>
      </c>
      <c r="G1137" t="s">
        <v>9</v>
      </c>
      <c r="H1137" t="str" cm="1">
        <f t="array" ref="H1137">_xlfn.IFS(Grammys[[#This Row],[date]] &gt;= DATE(2022,2,1),"Grammys",TRUE,"Grammys TRA")</f>
        <v>Grammys TRA</v>
      </c>
      <c r="I1137">
        <f>_xlfn.XLOOKUP(Grammys[[#This Row],[date]],mobile_visits[date],mobile_visits[mobile_visitors],0)</f>
        <v>0</v>
      </c>
    </row>
    <row r="1138" spans="1:9">
      <c r="A1138" s="1">
        <v>43872</v>
      </c>
      <c r="B1138">
        <v>40484</v>
      </c>
      <c r="C1138">
        <v>53623</v>
      </c>
      <c r="D1138">
        <v>42351</v>
      </c>
      <c r="E1138">
        <v>18410</v>
      </c>
      <c r="F1138">
        <v>88</v>
      </c>
      <c r="G1138" t="s">
        <v>9</v>
      </c>
      <c r="H1138" t="str" cm="1">
        <f t="array" ref="H1138">_xlfn.IFS(Grammys[[#This Row],[date]] &gt;= DATE(2022,2,1),"Grammys",TRUE,"Grammys TRA")</f>
        <v>Grammys TRA</v>
      </c>
      <c r="I1138">
        <f>_xlfn.XLOOKUP(Grammys[[#This Row],[date]],mobile_visits[date],mobile_visits[mobile_visitors],0)</f>
        <v>0</v>
      </c>
    </row>
    <row r="1139" spans="1:9">
      <c r="A1139" s="1">
        <v>43873</v>
      </c>
      <c r="B1139">
        <v>32930</v>
      </c>
      <c r="C1139">
        <v>44242</v>
      </c>
      <c r="D1139">
        <v>34861</v>
      </c>
      <c r="E1139">
        <v>16103</v>
      </c>
      <c r="F1139">
        <v>88</v>
      </c>
      <c r="G1139" t="s">
        <v>9</v>
      </c>
      <c r="H1139" t="str" cm="1">
        <f t="array" ref="H1139">_xlfn.IFS(Grammys[[#This Row],[date]] &gt;= DATE(2022,2,1),"Grammys",TRUE,"Grammys TRA")</f>
        <v>Grammys TRA</v>
      </c>
      <c r="I1139">
        <f>_xlfn.XLOOKUP(Grammys[[#This Row],[date]],mobile_visits[date],mobile_visits[mobile_visitors],0)</f>
        <v>0</v>
      </c>
    </row>
    <row r="1140" spans="1:9">
      <c r="A1140" s="1">
        <v>43874</v>
      </c>
      <c r="B1140">
        <v>30210</v>
      </c>
      <c r="C1140">
        <v>37863</v>
      </c>
      <c r="D1140">
        <v>31760</v>
      </c>
      <c r="E1140">
        <v>13892</v>
      </c>
      <c r="F1140">
        <v>81</v>
      </c>
      <c r="G1140" t="s">
        <v>9</v>
      </c>
      <c r="H1140" t="str" cm="1">
        <f t="array" ref="H1140">_xlfn.IFS(Grammys[[#This Row],[date]] &gt;= DATE(2022,2,1),"Grammys",TRUE,"Grammys TRA")</f>
        <v>Grammys TRA</v>
      </c>
      <c r="I1140">
        <f>_xlfn.XLOOKUP(Grammys[[#This Row],[date]],mobile_visits[date],mobile_visits[mobile_visitors],0)</f>
        <v>0</v>
      </c>
    </row>
    <row r="1141" spans="1:9">
      <c r="A1141" s="1">
        <v>43875</v>
      </c>
      <c r="B1141">
        <v>29348</v>
      </c>
      <c r="C1141">
        <v>37498</v>
      </c>
      <c r="D1141">
        <v>30809</v>
      </c>
      <c r="E1141">
        <v>13812</v>
      </c>
      <c r="F1141">
        <v>76</v>
      </c>
      <c r="G1141" t="s">
        <v>9</v>
      </c>
      <c r="H1141" t="str" cm="1">
        <f t="array" ref="H1141">_xlfn.IFS(Grammys[[#This Row],[date]] &gt;= DATE(2022,2,1),"Grammys",TRUE,"Grammys TRA")</f>
        <v>Grammys TRA</v>
      </c>
      <c r="I1141">
        <f>_xlfn.XLOOKUP(Grammys[[#This Row],[date]],mobile_visits[date],mobile_visits[mobile_visitors],0)</f>
        <v>0</v>
      </c>
    </row>
    <row r="1142" spans="1:9">
      <c r="A1142" s="1">
        <v>43876</v>
      </c>
      <c r="B1142">
        <v>28108</v>
      </c>
      <c r="C1142">
        <v>38672</v>
      </c>
      <c r="D1142">
        <v>29910</v>
      </c>
      <c r="E1142">
        <v>14372</v>
      </c>
      <c r="F1142">
        <v>82</v>
      </c>
      <c r="G1142" t="s">
        <v>9</v>
      </c>
      <c r="H1142" t="str" cm="1">
        <f t="array" ref="H1142">_xlfn.IFS(Grammys[[#This Row],[date]] &gt;= DATE(2022,2,1),"Grammys",TRUE,"Grammys TRA")</f>
        <v>Grammys TRA</v>
      </c>
      <c r="I1142">
        <f>_xlfn.XLOOKUP(Grammys[[#This Row],[date]],mobile_visits[date],mobile_visits[mobile_visitors],0)</f>
        <v>0</v>
      </c>
    </row>
    <row r="1143" spans="1:9">
      <c r="A1143" s="1">
        <v>43877</v>
      </c>
      <c r="B1143">
        <v>32926</v>
      </c>
      <c r="C1143">
        <v>43729</v>
      </c>
      <c r="D1143">
        <v>34668</v>
      </c>
      <c r="E1143">
        <v>16870</v>
      </c>
      <c r="F1143">
        <v>81</v>
      </c>
      <c r="G1143" t="s">
        <v>9</v>
      </c>
      <c r="H1143" t="str" cm="1">
        <f t="array" ref="H1143">_xlfn.IFS(Grammys[[#This Row],[date]] &gt;= DATE(2022,2,1),"Grammys",TRUE,"Grammys TRA")</f>
        <v>Grammys TRA</v>
      </c>
      <c r="I1143">
        <f>_xlfn.XLOOKUP(Grammys[[#This Row],[date]],mobile_visits[date],mobile_visits[mobile_visitors],0)</f>
        <v>0</v>
      </c>
    </row>
    <row r="1144" spans="1:9">
      <c r="A1144" s="1">
        <v>43878</v>
      </c>
      <c r="B1144">
        <v>38721</v>
      </c>
      <c r="C1144">
        <v>50771</v>
      </c>
      <c r="D1144">
        <v>41253</v>
      </c>
      <c r="E1144">
        <v>15829</v>
      </c>
      <c r="F1144">
        <v>90</v>
      </c>
      <c r="G1144" t="s">
        <v>9</v>
      </c>
      <c r="H1144" t="str" cm="1">
        <f t="array" ref="H1144">_xlfn.IFS(Grammys[[#This Row],[date]] &gt;= DATE(2022,2,1),"Grammys",TRUE,"Grammys TRA")</f>
        <v>Grammys TRA</v>
      </c>
      <c r="I1144">
        <f>_xlfn.XLOOKUP(Grammys[[#This Row],[date]],mobile_visits[date],mobile_visits[mobile_visitors],0)</f>
        <v>0</v>
      </c>
    </row>
    <row r="1145" spans="1:9">
      <c r="A1145" s="1">
        <v>43879</v>
      </c>
      <c r="B1145">
        <v>24945</v>
      </c>
      <c r="C1145">
        <v>34840</v>
      </c>
      <c r="D1145">
        <v>26615</v>
      </c>
      <c r="E1145">
        <v>11969</v>
      </c>
      <c r="F1145">
        <v>86</v>
      </c>
      <c r="G1145" t="s">
        <v>9</v>
      </c>
      <c r="H1145" t="str" cm="1">
        <f t="array" ref="H1145">_xlfn.IFS(Grammys[[#This Row],[date]] &gt;= DATE(2022,2,1),"Grammys",TRUE,"Grammys TRA")</f>
        <v>Grammys TRA</v>
      </c>
      <c r="I1145">
        <f>_xlfn.XLOOKUP(Grammys[[#This Row],[date]],mobile_visits[date],mobile_visits[mobile_visitors],0)</f>
        <v>0</v>
      </c>
    </row>
    <row r="1146" spans="1:9">
      <c r="A1146" s="1">
        <v>43880</v>
      </c>
      <c r="B1146">
        <v>24581</v>
      </c>
      <c r="C1146">
        <v>33734</v>
      </c>
      <c r="D1146">
        <v>25646</v>
      </c>
      <c r="E1146">
        <v>11834</v>
      </c>
      <c r="F1146">
        <v>82</v>
      </c>
      <c r="G1146" t="s">
        <v>9</v>
      </c>
      <c r="H1146" t="str" cm="1">
        <f t="array" ref="H1146">_xlfn.IFS(Grammys[[#This Row],[date]] &gt;= DATE(2022,2,1),"Grammys",TRUE,"Grammys TRA")</f>
        <v>Grammys TRA</v>
      </c>
      <c r="I1146">
        <f>_xlfn.XLOOKUP(Grammys[[#This Row],[date]],mobile_visits[date],mobile_visits[mobile_visitors],0)</f>
        <v>0</v>
      </c>
    </row>
    <row r="1147" spans="1:9">
      <c r="A1147" s="1">
        <v>43881</v>
      </c>
      <c r="B1147">
        <v>20553</v>
      </c>
      <c r="C1147">
        <v>28565</v>
      </c>
      <c r="D1147">
        <v>21641</v>
      </c>
      <c r="E1147">
        <v>10460</v>
      </c>
      <c r="F1147">
        <v>77</v>
      </c>
      <c r="G1147" t="s">
        <v>9</v>
      </c>
      <c r="H1147" t="str" cm="1">
        <f t="array" ref="H1147">_xlfn.IFS(Grammys[[#This Row],[date]] &gt;= DATE(2022,2,1),"Grammys",TRUE,"Grammys TRA")</f>
        <v>Grammys TRA</v>
      </c>
      <c r="I1147">
        <f>_xlfn.XLOOKUP(Grammys[[#This Row],[date]],mobile_visits[date],mobile_visits[mobile_visitors],0)</f>
        <v>0</v>
      </c>
    </row>
    <row r="1148" spans="1:9">
      <c r="A1148" s="1">
        <v>43882</v>
      </c>
      <c r="B1148">
        <v>20345</v>
      </c>
      <c r="C1148">
        <v>28083</v>
      </c>
      <c r="D1148">
        <v>21325</v>
      </c>
      <c r="E1148">
        <v>10089</v>
      </c>
      <c r="F1148">
        <v>78</v>
      </c>
      <c r="G1148" t="s">
        <v>9</v>
      </c>
      <c r="H1148" t="str" cm="1">
        <f t="array" ref="H1148">_xlfn.IFS(Grammys[[#This Row],[date]] &gt;= DATE(2022,2,1),"Grammys",TRUE,"Grammys TRA")</f>
        <v>Grammys TRA</v>
      </c>
      <c r="I1148">
        <f>_xlfn.XLOOKUP(Grammys[[#This Row],[date]],mobile_visits[date],mobile_visits[mobile_visitors],0)</f>
        <v>0</v>
      </c>
    </row>
    <row r="1149" spans="1:9">
      <c r="A1149" s="1">
        <v>43883</v>
      </c>
      <c r="B1149">
        <v>58424</v>
      </c>
      <c r="C1149">
        <v>67710</v>
      </c>
      <c r="D1149">
        <v>62112</v>
      </c>
      <c r="E1149">
        <v>18261</v>
      </c>
      <c r="F1149">
        <v>135</v>
      </c>
      <c r="G1149" t="s">
        <v>9</v>
      </c>
      <c r="H1149" t="str" cm="1">
        <f t="array" ref="H1149">_xlfn.IFS(Grammys[[#This Row],[date]] &gt;= DATE(2022,2,1),"Grammys",TRUE,"Grammys TRA")</f>
        <v>Grammys TRA</v>
      </c>
      <c r="I1149">
        <f>_xlfn.XLOOKUP(Grammys[[#This Row],[date]],mobile_visits[date],mobile_visits[mobile_visitors],0)</f>
        <v>0</v>
      </c>
    </row>
    <row r="1150" spans="1:9">
      <c r="A1150" s="1">
        <v>43884</v>
      </c>
      <c r="B1150">
        <v>33560</v>
      </c>
      <c r="C1150">
        <v>41266</v>
      </c>
      <c r="D1150">
        <v>35563</v>
      </c>
      <c r="E1150">
        <v>14777</v>
      </c>
      <c r="F1150">
        <v>101</v>
      </c>
      <c r="G1150" t="s">
        <v>9</v>
      </c>
      <c r="H1150" t="str" cm="1">
        <f t="array" ref="H1150">_xlfn.IFS(Grammys[[#This Row],[date]] &gt;= DATE(2022,2,1),"Grammys",TRUE,"Grammys TRA")</f>
        <v>Grammys TRA</v>
      </c>
      <c r="I1150">
        <f>_xlfn.XLOOKUP(Grammys[[#This Row],[date]],mobile_visits[date],mobile_visits[mobile_visitors],0)</f>
        <v>0</v>
      </c>
    </row>
    <row r="1151" spans="1:9">
      <c r="A1151" s="1">
        <v>43885</v>
      </c>
      <c r="B1151">
        <v>30211</v>
      </c>
      <c r="C1151">
        <v>37848</v>
      </c>
      <c r="D1151">
        <v>31455</v>
      </c>
      <c r="E1151">
        <v>17427</v>
      </c>
      <c r="F1151">
        <v>67</v>
      </c>
      <c r="G1151" t="s">
        <v>9</v>
      </c>
      <c r="H1151" t="str" cm="1">
        <f t="array" ref="H1151">_xlfn.IFS(Grammys[[#This Row],[date]] &gt;= DATE(2022,2,1),"Grammys",TRUE,"Grammys TRA")</f>
        <v>Grammys TRA</v>
      </c>
      <c r="I1151">
        <f>_xlfn.XLOOKUP(Grammys[[#This Row],[date]],mobile_visits[date],mobile_visits[mobile_visitors],0)</f>
        <v>0</v>
      </c>
    </row>
    <row r="1152" spans="1:9">
      <c r="A1152" s="1">
        <v>43886</v>
      </c>
      <c r="B1152">
        <v>20889</v>
      </c>
      <c r="C1152">
        <v>27990</v>
      </c>
      <c r="D1152">
        <v>22033</v>
      </c>
      <c r="E1152">
        <v>10783</v>
      </c>
      <c r="F1152">
        <v>76</v>
      </c>
      <c r="G1152" t="s">
        <v>9</v>
      </c>
      <c r="H1152" t="str" cm="1">
        <f t="array" ref="H1152">_xlfn.IFS(Grammys[[#This Row],[date]] &gt;= DATE(2022,2,1),"Grammys",TRUE,"Grammys TRA")</f>
        <v>Grammys TRA</v>
      </c>
      <c r="I1152">
        <f>_xlfn.XLOOKUP(Grammys[[#This Row],[date]],mobile_visits[date],mobile_visits[mobile_visitors],0)</f>
        <v>0</v>
      </c>
    </row>
    <row r="1153" spans="1:9">
      <c r="A1153" s="1">
        <v>43887</v>
      </c>
      <c r="B1153">
        <v>18030</v>
      </c>
      <c r="C1153">
        <v>25466</v>
      </c>
      <c r="D1153">
        <v>18918</v>
      </c>
      <c r="E1153">
        <v>9448</v>
      </c>
      <c r="F1153">
        <v>80</v>
      </c>
      <c r="G1153" t="s">
        <v>9</v>
      </c>
      <c r="H1153" t="str" cm="1">
        <f t="array" ref="H1153">_xlfn.IFS(Grammys[[#This Row],[date]] &gt;= DATE(2022,2,1),"Grammys",TRUE,"Grammys TRA")</f>
        <v>Grammys TRA</v>
      </c>
      <c r="I1153">
        <f>_xlfn.XLOOKUP(Grammys[[#This Row],[date]],mobile_visits[date],mobile_visits[mobile_visitors],0)</f>
        <v>0</v>
      </c>
    </row>
    <row r="1154" spans="1:9">
      <c r="A1154" s="1">
        <v>43888</v>
      </c>
      <c r="B1154">
        <v>24088</v>
      </c>
      <c r="C1154">
        <v>30779</v>
      </c>
      <c r="D1154">
        <v>25444</v>
      </c>
      <c r="E1154">
        <v>10158</v>
      </c>
      <c r="F1154">
        <v>82</v>
      </c>
      <c r="G1154" t="s">
        <v>9</v>
      </c>
      <c r="H1154" t="str" cm="1">
        <f t="array" ref="H1154">_xlfn.IFS(Grammys[[#This Row],[date]] &gt;= DATE(2022,2,1),"Grammys",TRUE,"Grammys TRA")</f>
        <v>Grammys TRA</v>
      </c>
      <c r="I1154">
        <f>_xlfn.XLOOKUP(Grammys[[#This Row],[date]],mobile_visits[date],mobile_visits[mobile_visitors],0)</f>
        <v>0</v>
      </c>
    </row>
    <row r="1155" spans="1:9">
      <c r="A1155" s="1">
        <v>43889</v>
      </c>
      <c r="B1155">
        <v>23395</v>
      </c>
      <c r="C1155">
        <v>28951</v>
      </c>
      <c r="D1155">
        <v>25249</v>
      </c>
      <c r="E1155">
        <v>10009</v>
      </c>
      <c r="F1155">
        <v>81</v>
      </c>
      <c r="G1155" t="s">
        <v>9</v>
      </c>
      <c r="H1155" t="str" cm="1">
        <f t="array" ref="H1155">_xlfn.IFS(Grammys[[#This Row],[date]] &gt;= DATE(2022,2,1),"Grammys",TRUE,"Grammys TRA")</f>
        <v>Grammys TRA</v>
      </c>
      <c r="I1155">
        <f>_xlfn.XLOOKUP(Grammys[[#This Row],[date]],mobile_visits[date],mobile_visits[mobile_visitors],0)</f>
        <v>0</v>
      </c>
    </row>
    <row r="1156" spans="1:9">
      <c r="A1156" s="1">
        <v>43890</v>
      </c>
      <c r="B1156">
        <v>26798</v>
      </c>
      <c r="C1156">
        <v>31915</v>
      </c>
      <c r="D1156">
        <v>28524</v>
      </c>
      <c r="E1156">
        <v>9867</v>
      </c>
      <c r="F1156">
        <v>64</v>
      </c>
      <c r="G1156" t="s">
        <v>9</v>
      </c>
      <c r="H1156" t="str" cm="1">
        <f t="array" ref="H1156">_xlfn.IFS(Grammys[[#This Row],[date]] &gt;= DATE(2022,2,1),"Grammys",TRUE,"Grammys TRA")</f>
        <v>Grammys TRA</v>
      </c>
      <c r="I1156">
        <f>_xlfn.XLOOKUP(Grammys[[#This Row],[date]],mobile_visits[date],mobile_visits[mobile_visitors],0)</f>
        <v>0</v>
      </c>
    </row>
    <row r="1157" spans="1:9">
      <c r="A1157" s="1">
        <v>43891</v>
      </c>
      <c r="B1157">
        <v>22925</v>
      </c>
      <c r="C1157">
        <v>28553</v>
      </c>
      <c r="D1157">
        <v>23772</v>
      </c>
      <c r="E1157">
        <v>10522</v>
      </c>
      <c r="F1157">
        <v>67</v>
      </c>
      <c r="G1157" t="s">
        <v>9</v>
      </c>
      <c r="H1157" t="str" cm="1">
        <f t="array" ref="H1157">_xlfn.IFS(Grammys[[#This Row],[date]] &gt;= DATE(2022,2,1),"Grammys",TRUE,"Grammys TRA")</f>
        <v>Grammys TRA</v>
      </c>
      <c r="I1157">
        <f>_xlfn.XLOOKUP(Grammys[[#This Row],[date]],mobile_visits[date],mobile_visits[mobile_visitors],0)</f>
        <v>0</v>
      </c>
    </row>
    <row r="1158" spans="1:9">
      <c r="A1158" s="1">
        <v>43892</v>
      </c>
      <c r="B1158">
        <v>19381</v>
      </c>
      <c r="C1158">
        <v>25174</v>
      </c>
      <c r="D1158">
        <v>20194</v>
      </c>
      <c r="E1158">
        <v>10316</v>
      </c>
      <c r="F1158">
        <v>71</v>
      </c>
      <c r="G1158" t="s">
        <v>9</v>
      </c>
      <c r="H1158" t="str" cm="1">
        <f t="array" ref="H1158">_xlfn.IFS(Grammys[[#This Row],[date]] &gt;= DATE(2022,2,1),"Grammys",TRUE,"Grammys TRA")</f>
        <v>Grammys TRA</v>
      </c>
      <c r="I1158">
        <f>_xlfn.XLOOKUP(Grammys[[#This Row],[date]],mobile_visits[date],mobile_visits[mobile_visitors],0)</f>
        <v>0</v>
      </c>
    </row>
    <row r="1159" spans="1:9">
      <c r="A1159" s="1">
        <v>43893</v>
      </c>
      <c r="B1159">
        <v>15908</v>
      </c>
      <c r="C1159">
        <v>21840</v>
      </c>
      <c r="D1159">
        <v>16960</v>
      </c>
      <c r="E1159">
        <v>8569</v>
      </c>
      <c r="F1159">
        <v>79</v>
      </c>
      <c r="G1159" t="s">
        <v>9</v>
      </c>
      <c r="H1159" t="str" cm="1">
        <f t="array" ref="H1159">_xlfn.IFS(Grammys[[#This Row],[date]] &gt;= DATE(2022,2,1),"Grammys",TRUE,"Grammys TRA")</f>
        <v>Grammys TRA</v>
      </c>
      <c r="I1159">
        <f>_xlfn.XLOOKUP(Grammys[[#This Row],[date]],mobile_visits[date],mobile_visits[mobile_visitors],0)</f>
        <v>0</v>
      </c>
    </row>
    <row r="1160" spans="1:9">
      <c r="A1160" s="1">
        <v>43894</v>
      </c>
      <c r="B1160">
        <v>19766</v>
      </c>
      <c r="C1160">
        <v>25415</v>
      </c>
      <c r="D1160">
        <v>21044</v>
      </c>
      <c r="E1160">
        <v>8578</v>
      </c>
      <c r="F1160">
        <v>79</v>
      </c>
      <c r="G1160" t="s">
        <v>9</v>
      </c>
      <c r="H1160" t="str" cm="1">
        <f t="array" ref="H1160">_xlfn.IFS(Grammys[[#This Row],[date]] &gt;= DATE(2022,2,1),"Grammys",TRUE,"Grammys TRA")</f>
        <v>Grammys TRA</v>
      </c>
      <c r="I1160">
        <f>_xlfn.XLOOKUP(Grammys[[#This Row],[date]],mobile_visits[date],mobile_visits[mobile_visitors],0)</f>
        <v>0</v>
      </c>
    </row>
    <row r="1161" spans="1:9">
      <c r="A1161" s="1">
        <v>43895</v>
      </c>
      <c r="B1161">
        <v>19719</v>
      </c>
      <c r="C1161">
        <v>25816</v>
      </c>
      <c r="D1161">
        <v>20616</v>
      </c>
      <c r="E1161">
        <v>10162</v>
      </c>
      <c r="F1161">
        <v>74</v>
      </c>
      <c r="G1161" t="s">
        <v>9</v>
      </c>
      <c r="H1161" t="str" cm="1">
        <f t="array" ref="H1161">_xlfn.IFS(Grammys[[#This Row],[date]] &gt;= DATE(2022,2,1),"Grammys",TRUE,"Grammys TRA")</f>
        <v>Grammys TRA</v>
      </c>
      <c r="I1161">
        <f>_xlfn.XLOOKUP(Grammys[[#This Row],[date]],mobile_visits[date],mobile_visits[mobile_visitors],0)</f>
        <v>0</v>
      </c>
    </row>
    <row r="1162" spans="1:9">
      <c r="A1162" s="1">
        <v>43896</v>
      </c>
      <c r="B1162">
        <v>17548</v>
      </c>
      <c r="C1162">
        <v>22707</v>
      </c>
      <c r="D1162">
        <v>18565</v>
      </c>
      <c r="E1162">
        <v>9385</v>
      </c>
      <c r="F1162">
        <v>73</v>
      </c>
      <c r="G1162" t="s">
        <v>9</v>
      </c>
      <c r="H1162" t="str" cm="1">
        <f t="array" ref="H1162">_xlfn.IFS(Grammys[[#This Row],[date]] &gt;= DATE(2022,2,1),"Grammys",TRUE,"Grammys TRA")</f>
        <v>Grammys TRA</v>
      </c>
      <c r="I1162">
        <f>_xlfn.XLOOKUP(Grammys[[#This Row],[date]],mobile_visits[date],mobile_visits[mobile_visitors],0)</f>
        <v>0</v>
      </c>
    </row>
    <row r="1163" spans="1:9">
      <c r="A1163" s="1">
        <v>43897</v>
      </c>
      <c r="B1163">
        <v>16518</v>
      </c>
      <c r="C1163">
        <v>21999</v>
      </c>
      <c r="D1163">
        <v>17327</v>
      </c>
      <c r="E1163">
        <v>8775</v>
      </c>
      <c r="F1163">
        <v>73</v>
      </c>
      <c r="G1163" t="s">
        <v>9</v>
      </c>
      <c r="H1163" t="str" cm="1">
        <f t="array" ref="H1163">_xlfn.IFS(Grammys[[#This Row],[date]] &gt;= DATE(2022,2,1),"Grammys",TRUE,"Grammys TRA")</f>
        <v>Grammys TRA</v>
      </c>
      <c r="I1163">
        <f>_xlfn.XLOOKUP(Grammys[[#This Row],[date]],mobile_visits[date],mobile_visits[mobile_visitors],0)</f>
        <v>0</v>
      </c>
    </row>
    <row r="1164" spans="1:9">
      <c r="A1164" s="1">
        <v>43898</v>
      </c>
      <c r="B1164">
        <v>16027</v>
      </c>
      <c r="C1164">
        <v>20817</v>
      </c>
      <c r="D1164">
        <v>16535</v>
      </c>
      <c r="E1164">
        <v>8662</v>
      </c>
      <c r="F1164">
        <v>67</v>
      </c>
      <c r="G1164" t="s">
        <v>9</v>
      </c>
      <c r="H1164" t="str" cm="1">
        <f t="array" ref="H1164">_xlfn.IFS(Grammys[[#This Row],[date]] &gt;= DATE(2022,2,1),"Grammys",TRUE,"Grammys TRA")</f>
        <v>Grammys TRA</v>
      </c>
      <c r="I1164">
        <f>_xlfn.XLOOKUP(Grammys[[#This Row],[date]],mobile_visits[date],mobile_visits[mobile_visitors],0)</f>
        <v>0</v>
      </c>
    </row>
    <row r="1165" spans="1:9">
      <c r="A1165" s="1">
        <v>43899</v>
      </c>
      <c r="B1165">
        <v>15133</v>
      </c>
      <c r="C1165">
        <v>19590</v>
      </c>
      <c r="D1165">
        <v>15822</v>
      </c>
      <c r="E1165">
        <v>7646</v>
      </c>
      <c r="F1165">
        <v>77</v>
      </c>
      <c r="G1165" t="s">
        <v>9</v>
      </c>
      <c r="H1165" t="str" cm="1">
        <f t="array" ref="H1165">_xlfn.IFS(Grammys[[#This Row],[date]] &gt;= DATE(2022,2,1),"Grammys",TRUE,"Grammys TRA")</f>
        <v>Grammys TRA</v>
      </c>
      <c r="I1165">
        <f>_xlfn.XLOOKUP(Grammys[[#This Row],[date]],mobile_visits[date],mobile_visits[mobile_visitors],0)</f>
        <v>0</v>
      </c>
    </row>
    <row r="1166" spans="1:9">
      <c r="A1166" s="1">
        <v>43900</v>
      </c>
      <c r="B1166">
        <v>16815</v>
      </c>
      <c r="C1166">
        <v>21118</v>
      </c>
      <c r="D1166">
        <v>17430</v>
      </c>
      <c r="E1166">
        <v>7905</v>
      </c>
      <c r="F1166">
        <v>75</v>
      </c>
      <c r="G1166" t="s">
        <v>9</v>
      </c>
      <c r="H1166" t="str" cm="1">
        <f t="array" ref="H1166">_xlfn.IFS(Grammys[[#This Row],[date]] &gt;= DATE(2022,2,1),"Grammys",TRUE,"Grammys TRA")</f>
        <v>Grammys TRA</v>
      </c>
      <c r="I1166">
        <f>_xlfn.XLOOKUP(Grammys[[#This Row],[date]],mobile_visits[date],mobile_visits[mobile_visitors],0)</f>
        <v>0</v>
      </c>
    </row>
    <row r="1167" spans="1:9">
      <c r="A1167" s="1">
        <v>43901</v>
      </c>
      <c r="B1167">
        <v>15536</v>
      </c>
      <c r="C1167">
        <v>19998</v>
      </c>
      <c r="D1167">
        <v>16293</v>
      </c>
      <c r="E1167">
        <v>8383</v>
      </c>
      <c r="F1167">
        <v>70</v>
      </c>
      <c r="G1167" t="s">
        <v>9</v>
      </c>
      <c r="H1167" t="str" cm="1">
        <f t="array" ref="H1167">_xlfn.IFS(Grammys[[#This Row],[date]] &gt;= DATE(2022,2,1),"Grammys",TRUE,"Grammys TRA")</f>
        <v>Grammys TRA</v>
      </c>
      <c r="I1167">
        <f>_xlfn.XLOOKUP(Grammys[[#This Row],[date]],mobile_visits[date],mobile_visits[mobile_visitors],0)</f>
        <v>0</v>
      </c>
    </row>
    <row r="1168" spans="1:9">
      <c r="A1168" s="1">
        <v>43902</v>
      </c>
      <c r="B1168">
        <v>13219</v>
      </c>
      <c r="C1168">
        <v>17624</v>
      </c>
      <c r="D1168">
        <v>13890</v>
      </c>
      <c r="E1168">
        <v>7125</v>
      </c>
      <c r="F1168">
        <v>74</v>
      </c>
      <c r="G1168" t="s">
        <v>9</v>
      </c>
      <c r="H1168" t="str" cm="1">
        <f t="array" ref="H1168">_xlfn.IFS(Grammys[[#This Row],[date]] &gt;= DATE(2022,2,1),"Grammys",TRUE,"Grammys TRA")</f>
        <v>Grammys TRA</v>
      </c>
      <c r="I1168">
        <f>_xlfn.XLOOKUP(Grammys[[#This Row],[date]],mobile_visits[date],mobile_visits[mobile_visitors],0)</f>
        <v>0</v>
      </c>
    </row>
    <row r="1169" spans="1:9">
      <c r="A1169" s="1">
        <v>43903</v>
      </c>
      <c r="B1169">
        <v>12177</v>
      </c>
      <c r="C1169">
        <v>16851</v>
      </c>
      <c r="D1169">
        <v>12866</v>
      </c>
      <c r="E1169">
        <v>6059</v>
      </c>
      <c r="F1169">
        <v>77</v>
      </c>
      <c r="G1169" t="s">
        <v>9</v>
      </c>
      <c r="H1169" t="str" cm="1">
        <f t="array" ref="H1169">_xlfn.IFS(Grammys[[#This Row],[date]] &gt;= DATE(2022,2,1),"Grammys",TRUE,"Grammys TRA")</f>
        <v>Grammys TRA</v>
      </c>
      <c r="I1169">
        <f>_xlfn.XLOOKUP(Grammys[[#This Row],[date]],mobile_visits[date],mobile_visits[mobile_visitors],0)</f>
        <v>0</v>
      </c>
    </row>
    <row r="1170" spans="1:9">
      <c r="A1170" s="1">
        <v>43904</v>
      </c>
      <c r="B1170">
        <v>12401</v>
      </c>
      <c r="C1170">
        <v>16713</v>
      </c>
      <c r="D1170">
        <v>13104</v>
      </c>
      <c r="E1170">
        <v>6195</v>
      </c>
      <c r="F1170">
        <v>72</v>
      </c>
      <c r="G1170" t="s">
        <v>9</v>
      </c>
      <c r="H1170" t="str" cm="1">
        <f t="array" ref="H1170">_xlfn.IFS(Grammys[[#This Row],[date]] &gt;= DATE(2022,2,1),"Grammys",TRUE,"Grammys TRA")</f>
        <v>Grammys TRA</v>
      </c>
      <c r="I1170">
        <f>_xlfn.XLOOKUP(Grammys[[#This Row],[date]],mobile_visits[date],mobile_visits[mobile_visitors],0)</f>
        <v>0</v>
      </c>
    </row>
    <row r="1171" spans="1:9">
      <c r="A1171" s="1">
        <v>43905</v>
      </c>
      <c r="B1171">
        <v>11101</v>
      </c>
      <c r="C1171">
        <v>15447</v>
      </c>
      <c r="D1171">
        <v>11715</v>
      </c>
      <c r="E1171">
        <v>5660</v>
      </c>
      <c r="F1171">
        <v>78</v>
      </c>
      <c r="G1171" t="s">
        <v>9</v>
      </c>
      <c r="H1171" t="str" cm="1">
        <f t="array" ref="H1171">_xlfn.IFS(Grammys[[#This Row],[date]] &gt;= DATE(2022,2,1),"Grammys",TRUE,"Grammys TRA")</f>
        <v>Grammys TRA</v>
      </c>
      <c r="I1171">
        <f>_xlfn.XLOOKUP(Grammys[[#This Row],[date]],mobile_visits[date],mobile_visits[mobile_visitors],0)</f>
        <v>0</v>
      </c>
    </row>
    <row r="1172" spans="1:9">
      <c r="A1172" s="1">
        <v>43906</v>
      </c>
      <c r="B1172">
        <v>10969</v>
      </c>
      <c r="C1172">
        <v>15387</v>
      </c>
      <c r="D1172">
        <v>11642</v>
      </c>
      <c r="E1172">
        <v>5463</v>
      </c>
      <c r="F1172">
        <v>93</v>
      </c>
      <c r="G1172" t="s">
        <v>9</v>
      </c>
      <c r="H1172" t="str" cm="1">
        <f t="array" ref="H1172">_xlfn.IFS(Grammys[[#This Row],[date]] &gt;= DATE(2022,2,1),"Grammys",TRUE,"Grammys TRA")</f>
        <v>Grammys TRA</v>
      </c>
      <c r="I1172">
        <f>_xlfn.XLOOKUP(Grammys[[#This Row],[date]],mobile_visits[date],mobile_visits[mobile_visitors],0)</f>
        <v>0</v>
      </c>
    </row>
    <row r="1173" spans="1:9">
      <c r="A1173" s="1">
        <v>43907</v>
      </c>
      <c r="B1173">
        <v>12614</v>
      </c>
      <c r="C1173">
        <v>16372</v>
      </c>
      <c r="D1173">
        <v>13445</v>
      </c>
      <c r="E1173">
        <v>6340</v>
      </c>
      <c r="F1173">
        <v>88</v>
      </c>
      <c r="G1173" t="s">
        <v>9</v>
      </c>
      <c r="H1173" t="str" cm="1">
        <f t="array" ref="H1173">_xlfn.IFS(Grammys[[#This Row],[date]] &gt;= DATE(2022,2,1),"Grammys",TRUE,"Grammys TRA")</f>
        <v>Grammys TRA</v>
      </c>
      <c r="I1173">
        <f>_xlfn.XLOOKUP(Grammys[[#This Row],[date]],mobile_visits[date],mobile_visits[mobile_visitors],0)</f>
        <v>0</v>
      </c>
    </row>
    <row r="1174" spans="1:9">
      <c r="A1174" s="1">
        <v>43908</v>
      </c>
      <c r="B1174">
        <v>13580</v>
      </c>
      <c r="C1174">
        <v>17298</v>
      </c>
      <c r="D1174">
        <v>14544</v>
      </c>
      <c r="E1174">
        <v>6531</v>
      </c>
      <c r="F1174">
        <v>89</v>
      </c>
      <c r="G1174" t="s">
        <v>9</v>
      </c>
      <c r="H1174" t="str" cm="1">
        <f t="array" ref="H1174">_xlfn.IFS(Grammys[[#This Row],[date]] &gt;= DATE(2022,2,1),"Grammys",TRUE,"Grammys TRA")</f>
        <v>Grammys TRA</v>
      </c>
      <c r="I1174">
        <f>_xlfn.XLOOKUP(Grammys[[#This Row],[date]],mobile_visits[date],mobile_visits[mobile_visitors],0)</f>
        <v>0</v>
      </c>
    </row>
    <row r="1175" spans="1:9">
      <c r="A1175" s="1">
        <v>43909</v>
      </c>
      <c r="B1175">
        <v>13637</v>
      </c>
      <c r="C1175">
        <v>17323</v>
      </c>
      <c r="D1175">
        <v>14645</v>
      </c>
      <c r="E1175">
        <v>6661</v>
      </c>
      <c r="F1175">
        <v>81</v>
      </c>
      <c r="G1175" t="s">
        <v>9</v>
      </c>
      <c r="H1175" t="str" cm="1">
        <f t="array" ref="H1175">_xlfn.IFS(Grammys[[#This Row],[date]] &gt;= DATE(2022,2,1),"Grammys",TRUE,"Grammys TRA")</f>
        <v>Grammys TRA</v>
      </c>
      <c r="I1175">
        <f>_xlfn.XLOOKUP(Grammys[[#This Row],[date]],mobile_visits[date],mobile_visits[mobile_visitors],0)</f>
        <v>0</v>
      </c>
    </row>
    <row r="1176" spans="1:9">
      <c r="A1176" s="1">
        <v>43910</v>
      </c>
      <c r="B1176">
        <v>12790</v>
      </c>
      <c r="C1176">
        <v>16987</v>
      </c>
      <c r="D1176">
        <v>13633</v>
      </c>
      <c r="E1176">
        <v>6191</v>
      </c>
      <c r="F1176">
        <v>89</v>
      </c>
      <c r="G1176" t="s">
        <v>9</v>
      </c>
      <c r="H1176" t="str" cm="1">
        <f t="array" ref="H1176">_xlfn.IFS(Grammys[[#This Row],[date]] &gt;= DATE(2022,2,1),"Grammys",TRUE,"Grammys TRA")</f>
        <v>Grammys TRA</v>
      </c>
      <c r="I1176">
        <f>_xlfn.XLOOKUP(Grammys[[#This Row],[date]],mobile_visits[date],mobile_visits[mobile_visitors],0)</f>
        <v>0</v>
      </c>
    </row>
    <row r="1177" spans="1:9">
      <c r="A1177" s="1">
        <v>43911</v>
      </c>
      <c r="B1177">
        <v>13464</v>
      </c>
      <c r="C1177">
        <v>18264</v>
      </c>
      <c r="D1177">
        <v>14459</v>
      </c>
      <c r="E1177">
        <v>6831</v>
      </c>
      <c r="F1177">
        <v>84</v>
      </c>
      <c r="G1177" t="s">
        <v>9</v>
      </c>
      <c r="H1177" t="str" cm="1">
        <f t="array" ref="H1177">_xlfn.IFS(Grammys[[#This Row],[date]] &gt;= DATE(2022,2,1),"Grammys",TRUE,"Grammys TRA")</f>
        <v>Grammys TRA</v>
      </c>
      <c r="I1177">
        <f>_xlfn.XLOOKUP(Grammys[[#This Row],[date]],mobile_visits[date],mobile_visits[mobile_visitors],0)</f>
        <v>0</v>
      </c>
    </row>
    <row r="1178" spans="1:9">
      <c r="A1178" s="1">
        <v>43912</v>
      </c>
      <c r="B1178">
        <v>12115</v>
      </c>
      <c r="C1178">
        <v>16473</v>
      </c>
      <c r="D1178">
        <v>12827</v>
      </c>
      <c r="E1178">
        <v>6018</v>
      </c>
      <c r="F1178">
        <v>88</v>
      </c>
      <c r="G1178" t="s">
        <v>9</v>
      </c>
      <c r="H1178" t="str" cm="1">
        <f t="array" ref="H1178">_xlfn.IFS(Grammys[[#This Row],[date]] &gt;= DATE(2022,2,1),"Grammys",TRUE,"Grammys TRA")</f>
        <v>Grammys TRA</v>
      </c>
      <c r="I1178">
        <f>_xlfn.XLOOKUP(Grammys[[#This Row],[date]],mobile_visits[date],mobile_visits[mobile_visitors],0)</f>
        <v>0</v>
      </c>
    </row>
    <row r="1179" spans="1:9">
      <c r="A1179" s="1">
        <v>43913</v>
      </c>
      <c r="B1179">
        <v>12679</v>
      </c>
      <c r="C1179">
        <v>17714</v>
      </c>
      <c r="D1179">
        <v>13692</v>
      </c>
      <c r="E1179">
        <v>6140</v>
      </c>
      <c r="F1179">
        <v>105</v>
      </c>
      <c r="G1179" t="s">
        <v>9</v>
      </c>
      <c r="H1179" t="str" cm="1">
        <f t="array" ref="H1179">_xlfn.IFS(Grammys[[#This Row],[date]] &gt;= DATE(2022,2,1),"Grammys",TRUE,"Grammys TRA")</f>
        <v>Grammys TRA</v>
      </c>
      <c r="I1179">
        <f>_xlfn.XLOOKUP(Grammys[[#This Row],[date]],mobile_visits[date],mobile_visits[mobile_visitors],0)</f>
        <v>0</v>
      </c>
    </row>
    <row r="1180" spans="1:9">
      <c r="A1180" s="1">
        <v>43914</v>
      </c>
      <c r="B1180">
        <v>13124</v>
      </c>
      <c r="C1180">
        <v>18239</v>
      </c>
      <c r="D1180">
        <v>14214</v>
      </c>
      <c r="E1180">
        <v>6353</v>
      </c>
      <c r="F1180">
        <v>96</v>
      </c>
      <c r="G1180" t="s">
        <v>9</v>
      </c>
      <c r="H1180" t="str" cm="1">
        <f t="array" ref="H1180">_xlfn.IFS(Grammys[[#This Row],[date]] &gt;= DATE(2022,2,1),"Grammys",TRUE,"Grammys TRA")</f>
        <v>Grammys TRA</v>
      </c>
      <c r="I1180">
        <f>_xlfn.XLOOKUP(Grammys[[#This Row],[date]],mobile_visits[date],mobile_visits[mobile_visitors],0)</f>
        <v>0</v>
      </c>
    </row>
    <row r="1181" spans="1:9">
      <c r="A1181" s="1">
        <v>43915</v>
      </c>
      <c r="B1181">
        <v>15150</v>
      </c>
      <c r="C1181">
        <v>19976</v>
      </c>
      <c r="D1181">
        <v>16146</v>
      </c>
      <c r="E1181">
        <v>6585</v>
      </c>
      <c r="F1181">
        <v>87</v>
      </c>
      <c r="G1181" t="s">
        <v>9</v>
      </c>
      <c r="H1181" t="str" cm="1">
        <f t="array" ref="H1181">_xlfn.IFS(Grammys[[#This Row],[date]] &gt;= DATE(2022,2,1),"Grammys",TRUE,"Grammys TRA")</f>
        <v>Grammys TRA</v>
      </c>
      <c r="I1181">
        <f>_xlfn.XLOOKUP(Grammys[[#This Row],[date]],mobile_visits[date],mobile_visits[mobile_visitors],0)</f>
        <v>0</v>
      </c>
    </row>
    <row r="1182" spans="1:9">
      <c r="A1182" s="1">
        <v>43916</v>
      </c>
      <c r="B1182">
        <v>13628</v>
      </c>
      <c r="C1182">
        <v>18809</v>
      </c>
      <c r="D1182">
        <v>14732</v>
      </c>
      <c r="E1182">
        <v>6403</v>
      </c>
      <c r="F1182">
        <v>101</v>
      </c>
      <c r="G1182" t="s">
        <v>9</v>
      </c>
      <c r="H1182" t="str" cm="1">
        <f t="array" ref="H1182">_xlfn.IFS(Grammys[[#This Row],[date]] &gt;= DATE(2022,2,1),"Grammys",TRUE,"Grammys TRA")</f>
        <v>Grammys TRA</v>
      </c>
      <c r="I1182">
        <f>_xlfn.XLOOKUP(Grammys[[#This Row],[date]],mobile_visits[date],mobile_visits[mobile_visitors],0)</f>
        <v>0</v>
      </c>
    </row>
    <row r="1183" spans="1:9">
      <c r="A1183" s="1">
        <v>43917</v>
      </c>
      <c r="B1183">
        <v>14196</v>
      </c>
      <c r="C1183">
        <v>19066</v>
      </c>
      <c r="D1183">
        <v>15159</v>
      </c>
      <c r="E1183">
        <v>6534</v>
      </c>
      <c r="F1183">
        <v>96</v>
      </c>
      <c r="G1183" t="s">
        <v>9</v>
      </c>
      <c r="H1183" t="str" cm="1">
        <f t="array" ref="H1183">_xlfn.IFS(Grammys[[#This Row],[date]] &gt;= DATE(2022,2,1),"Grammys",TRUE,"Grammys TRA")</f>
        <v>Grammys TRA</v>
      </c>
      <c r="I1183">
        <f>_xlfn.XLOOKUP(Grammys[[#This Row],[date]],mobile_visits[date],mobile_visits[mobile_visitors],0)</f>
        <v>0</v>
      </c>
    </row>
    <row r="1184" spans="1:9">
      <c r="A1184" s="1">
        <v>43918</v>
      </c>
      <c r="B1184">
        <v>14730</v>
      </c>
      <c r="C1184">
        <v>19145</v>
      </c>
      <c r="D1184">
        <v>15784</v>
      </c>
      <c r="E1184">
        <v>6305</v>
      </c>
      <c r="F1184">
        <v>93</v>
      </c>
      <c r="G1184" t="s">
        <v>9</v>
      </c>
      <c r="H1184" t="str" cm="1">
        <f t="array" ref="H1184">_xlfn.IFS(Grammys[[#This Row],[date]] &gt;= DATE(2022,2,1),"Grammys",TRUE,"Grammys TRA")</f>
        <v>Grammys TRA</v>
      </c>
      <c r="I1184">
        <f>_xlfn.XLOOKUP(Grammys[[#This Row],[date]],mobile_visits[date],mobile_visits[mobile_visitors],0)</f>
        <v>0</v>
      </c>
    </row>
    <row r="1185" spans="1:9">
      <c r="A1185" s="1">
        <v>43919</v>
      </c>
      <c r="B1185">
        <v>15682</v>
      </c>
      <c r="C1185">
        <v>21407</v>
      </c>
      <c r="D1185">
        <v>16645</v>
      </c>
      <c r="E1185">
        <v>7208</v>
      </c>
      <c r="F1185">
        <v>97</v>
      </c>
      <c r="G1185" t="s">
        <v>9</v>
      </c>
      <c r="H1185" t="str" cm="1">
        <f t="array" ref="H1185">_xlfn.IFS(Grammys[[#This Row],[date]] &gt;= DATE(2022,2,1),"Grammys",TRUE,"Grammys TRA")</f>
        <v>Grammys TRA</v>
      </c>
      <c r="I1185">
        <f>_xlfn.XLOOKUP(Grammys[[#This Row],[date]],mobile_visits[date],mobile_visits[mobile_visitors],0)</f>
        <v>0</v>
      </c>
    </row>
    <row r="1186" spans="1:9">
      <c r="A1186" s="1">
        <v>43920</v>
      </c>
      <c r="B1186">
        <v>16101</v>
      </c>
      <c r="C1186">
        <v>21582</v>
      </c>
      <c r="D1186">
        <v>17169</v>
      </c>
      <c r="E1186">
        <v>7534</v>
      </c>
      <c r="F1186">
        <v>97</v>
      </c>
      <c r="G1186" t="s">
        <v>9</v>
      </c>
      <c r="H1186" t="str" cm="1">
        <f t="array" ref="H1186">_xlfn.IFS(Grammys[[#This Row],[date]] &gt;= DATE(2022,2,1),"Grammys",TRUE,"Grammys TRA")</f>
        <v>Grammys TRA</v>
      </c>
      <c r="I1186">
        <f>_xlfn.XLOOKUP(Grammys[[#This Row],[date]],mobile_visits[date],mobile_visits[mobile_visitors],0)</f>
        <v>0</v>
      </c>
    </row>
    <row r="1187" spans="1:9">
      <c r="A1187" s="1">
        <v>43921</v>
      </c>
      <c r="B1187">
        <v>20813</v>
      </c>
      <c r="C1187">
        <v>26030</v>
      </c>
      <c r="D1187">
        <v>22255</v>
      </c>
      <c r="E1187">
        <v>9314</v>
      </c>
      <c r="F1187">
        <v>107</v>
      </c>
      <c r="G1187" t="s">
        <v>9</v>
      </c>
      <c r="H1187" t="str" cm="1">
        <f t="array" ref="H1187">_xlfn.IFS(Grammys[[#This Row],[date]] &gt;= DATE(2022,2,1),"Grammys",TRUE,"Grammys TRA")</f>
        <v>Grammys TRA</v>
      </c>
      <c r="I1187">
        <f>_xlfn.XLOOKUP(Grammys[[#This Row],[date]],mobile_visits[date],mobile_visits[mobile_visitors],0)</f>
        <v>0</v>
      </c>
    </row>
    <row r="1188" spans="1:9">
      <c r="A1188" s="1">
        <v>43922</v>
      </c>
      <c r="B1188">
        <v>18988</v>
      </c>
      <c r="C1188">
        <v>24232</v>
      </c>
      <c r="D1188">
        <v>20242</v>
      </c>
      <c r="E1188">
        <v>9103</v>
      </c>
      <c r="F1188">
        <v>100</v>
      </c>
      <c r="G1188" t="s">
        <v>9</v>
      </c>
      <c r="H1188" t="str" cm="1">
        <f t="array" ref="H1188">_xlfn.IFS(Grammys[[#This Row],[date]] &gt;= DATE(2022,2,1),"Grammys",TRUE,"Grammys TRA")</f>
        <v>Grammys TRA</v>
      </c>
      <c r="I1188">
        <f>_xlfn.XLOOKUP(Grammys[[#This Row],[date]],mobile_visits[date],mobile_visits[mobile_visitors],0)</f>
        <v>0</v>
      </c>
    </row>
    <row r="1189" spans="1:9">
      <c r="A1189" s="1">
        <v>43923</v>
      </c>
      <c r="B1189">
        <v>16097</v>
      </c>
      <c r="C1189">
        <v>21916</v>
      </c>
      <c r="D1189">
        <v>17381</v>
      </c>
      <c r="E1189">
        <v>8095</v>
      </c>
      <c r="F1189">
        <v>89</v>
      </c>
      <c r="G1189" t="s">
        <v>9</v>
      </c>
      <c r="H1189" t="str" cm="1">
        <f t="array" ref="H1189">_xlfn.IFS(Grammys[[#This Row],[date]] &gt;= DATE(2022,2,1),"Grammys",TRUE,"Grammys TRA")</f>
        <v>Grammys TRA</v>
      </c>
      <c r="I1189">
        <f>_xlfn.XLOOKUP(Grammys[[#This Row],[date]],mobile_visits[date],mobile_visits[mobile_visitors],0)</f>
        <v>0</v>
      </c>
    </row>
    <row r="1190" spans="1:9">
      <c r="A1190" s="1">
        <v>43924</v>
      </c>
      <c r="B1190">
        <v>17584</v>
      </c>
      <c r="C1190">
        <v>22465</v>
      </c>
      <c r="D1190">
        <v>18822</v>
      </c>
      <c r="E1190">
        <v>8158</v>
      </c>
      <c r="F1190">
        <v>92</v>
      </c>
      <c r="G1190" t="s">
        <v>9</v>
      </c>
      <c r="H1190" t="str" cm="1">
        <f t="array" ref="H1190">_xlfn.IFS(Grammys[[#This Row],[date]] &gt;= DATE(2022,2,1),"Grammys",TRUE,"Grammys TRA")</f>
        <v>Grammys TRA</v>
      </c>
      <c r="I1190">
        <f>_xlfn.XLOOKUP(Grammys[[#This Row],[date]],mobile_visits[date],mobile_visits[mobile_visitors],0)</f>
        <v>0</v>
      </c>
    </row>
    <row r="1191" spans="1:9">
      <c r="A1191" s="1">
        <v>43925</v>
      </c>
      <c r="B1191">
        <v>15075</v>
      </c>
      <c r="C1191">
        <v>20446</v>
      </c>
      <c r="D1191">
        <v>16082</v>
      </c>
      <c r="E1191">
        <v>6945</v>
      </c>
      <c r="F1191">
        <v>91</v>
      </c>
      <c r="G1191" t="s">
        <v>9</v>
      </c>
      <c r="H1191" t="str" cm="1">
        <f t="array" ref="H1191">_xlfn.IFS(Grammys[[#This Row],[date]] &gt;= DATE(2022,2,1),"Grammys",TRUE,"Grammys TRA")</f>
        <v>Grammys TRA</v>
      </c>
      <c r="I1191">
        <f>_xlfn.XLOOKUP(Grammys[[#This Row],[date]],mobile_visits[date],mobile_visits[mobile_visitors],0)</f>
        <v>0</v>
      </c>
    </row>
    <row r="1192" spans="1:9">
      <c r="A1192" s="1">
        <v>43926</v>
      </c>
      <c r="B1192">
        <v>14318</v>
      </c>
      <c r="C1192">
        <v>20032</v>
      </c>
      <c r="D1192">
        <v>15247</v>
      </c>
      <c r="E1192">
        <v>6881</v>
      </c>
      <c r="F1192">
        <v>95</v>
      </c>
      <c r="G1192" t="s">
        <v>9</v>
      </c>
      <c r="H1192" t="str" cm="1">
        <f t="array" ref="H1192">_xlfn.IFS(Grammys[[#This Row],[date]] &gt;= DATE(2022,2,1),"Grammys",TRUE,"Grammys TRA")</f>
        <v>Grammys TRA</v>
      </c>
      <c r="I1192">
        <f>_xlfn.XLOOKUP(Grammys[[#This Row],[date]],mobile_visits[date],mobile_visits[mobile_visitors],0)</f>
        <v>0</v>
      </c>
    </row>
    <row r="1193" spans="1:9">
      <c r="A1193" s="1">
        <v>43927</v>
      </c>
      <c r="B1193">
        <v>16350</v>
      </c>
      <c r="C1193">
        <v>22036</v>
      </c>
      <c r="D1193">
        <v>17404</v>
      </c>
      <c r="E1193">
        <v>8274</v>
      </c>
      <c r="F1193">
        <v>92</v>
      </c>
      <c r="G1193" t="s">
        <v>9</v>
      </c>
      <c r="H1193" t="str" cm="1">
        <f t="array" ref="H1193">_xlfn.IFS(Grammys[[#This Row],[date]] &gt;= DATE(2022,2,1),"Grammys",TRUE,"Grammys TRA")</f>
        <v>Grammys TRA</v>
      </c>
      <c r="I1193">
        <f>_xlfn.XLOOKUP(Grammys[[#This Row],[date]],mobile_visits[date],mobile_visits[mobile_visitors],0)</f>
        <v>0</v>
      </c>
    </row>
    <row r="1194" spans="1:9">
      <c r="A1194" s="1">
        <v>43928</v>
      </c>
      <c r="B1194">
        <v>30882</v>
      </c>
      <c r="C1194">
        <v>32583</v>
      </c>
      <c r="D1194">
        <v>32742</v>
      </c>
      <c r="E1194">
        <v>13225</v>
      </c>
      <c r="F1194">
        <v>83</v>
      </c>
      <c r="G1194" t="s">
        <v>9</v>
      </c>
      <c r="H1194" t="str" cm="1">
        <f t="array" ref="H1194">_xlfn.IFS(Grammys[[#This Row],[date]] &gt;= DATE(2022,2,1),"Grammys",TRUE,"Grammys TRA")</f>
        <v>Grammys TRA</v>
      </c>
      <c r="I1194">
        <f>_xlfn.XLOOKUP(Grammys[[#This Row],[date]],mobile_visits[date],mobile_visits[mobile_visitors],0)</f>
        <v>0</v>
      </c>
    </row>
    <row r="1195" spans="1:9">
      <c r="A1195" s="1">
        <v>43929</v>
      </c>
      <c r="B1195">
        <v>23459</v>
      </c>
      <c r="C1195">
        <v>24826</v>
      </c>
      <c r="D1195">
        <v>24662</v>
      </c>
      <c r="E1195">
        <v>8982</v>
      </c>
      <c r="F1195">
        <v>96</v>
      </c>
      <c r="G1195" t="s">
        <v>9</v>
      </c>
      <c r="H1195" t="str" cm="1">
        <f t="array" ref="H1195">_xlfn.IFS(Grammys[[#This Row],[date]] &gt;= DATE(2022,2,1),"Grammys",TRUE,"Grammys TRA")</f>
        <v>Grammys TRA</v>
      </c>
      <c r="I1195">
        <f>_xlfn.XLOOKUP(Grammys[[#This Row],[date]],mobile_visits[date],mobile_visits[mobile_visitors],0)</f>
        <v>0</v>
      </c>
    </row>
    <row r="1196" spans="1:9">
      <c r="A1196" s="1">
        <v>43930</v>
      </c>
      <c r="B1196">
        <v>37775</v>
      </c>
      <c r="C1196">
        <v>41731</v>
      </c>
      <c r="D1196">
        <v>39371</v>
      </c>
      <c r="E1196">
        <v>14891</v>
      </c>
      <c r="F1196">
        <v>60</v>
      </c>
      <c r="G1196" t="s">
        <v>9</v>
      </c>
      <c r="H1196" t="str" cm="1">
        <f t="array" ref="H1196">_xlfn.IFS(Grammys[[#This Row],[date]] &gt;= DATE(2022,2,1),"Grammys",TRUE,"Grammys TRA")</f>
        <v>Grammys TRA</v>
      </c>
      <c r="I1196">
        <f>_xlfn.XLOOKUP(Grammys[[#This Row],[date]],mobile_visits[date],mobile_visits[mobile_visitors],0)</f>
        <v>0</v>
      </c>
    </row>
    <row r="1197" spans="1:9">
      <c r="A1197" s="1">
        <v>43931</v>
      </c>
      <c r="B1197">
        <v>59911</v>
      </c>
      <c r="C1197">
        <v>66116</v>
      </c>
      <c r="D1197">
        <v>62197</v>
      </c>
      <c r="E1197">
        <v>22995</v>
      </c>
      <c r="F1197">
        <v>54</v>
      </c>
      <c r="G1197" t="s">
        <v>9</v>
      </c>
      <c r="H1197" t="str" cm="1">
        <f t="array" ref="H1197">_xlfn.IFS(Grammys[[#This Row],[date]] &gt;= DATE(2022,2,1),"Grammys",TRUE,"Grammys TRA")</f>
        <v>Grammys TRA</v>
      </c>
      <c r="I1197">
        <f>_xlfn.XLOOKUP(Grammys[[#This Row],[date]],mobile_visits[date],mobile_visits[mobile_visitors],0)</f>
        <v>0</v>
      </c>
    </row>
    <row r="1198" spans="1:9">
      <c r="A1198" s="1">
        <v>43932</v>
      </c>
      <c r="B1198">
        <v>34484</v>
      </c>
      <c r="C1198">
        <v>41875</v>
      </c>
      <c r="D1198">
        <v>36325</v>
      </c>
      <c r="E1198">
        <v>14338</v>
      </c>
      <c r="F1198">
        <v>66</v>
      </c>
      <c r="G1198" t="s">
        <v>9</v>
      </c>
      <c r="H1198" t="str" cm="1">
        <f t="array" ref="H1198">_xlfn.IFS(Grammys[[#This Row],[date]] &gt;= DATE(2022,2,1),"Grammys",TRUE,"Grammys TRA")</f>
        <v>Grammys TRA</v>
      </c>
      <c r="I1198">
        <f>_xlfn.XLOOKUP(Grammys[[#This Row],[date]],mobile_visits[date],mobile_visits[mobile_visitors],0)</f>
        <v>0</v>
      </c>
    </row>
    <row r="1199" spans="1:9">
      <c r="A1199" s="1">
        <v>43933</v>
      </c>
      <c r="B1199">
        <v>29392</v>
      </c>
      <c r="C1199">
        <v>37028</v>
      </c>
      <c r="D1199">
        <v>31142</v>
      </c>
      <c r="E1199">
        <v>12003</v>
      </c>
      <c r="F1199">
        <v>79</v>
      </c>
      <c r="G1199" t="s">
        <v>9</v>
      </c>
      <c r="H1199" t="str" cm="1">
        <f t="array" ref="H1199">_xlfn.IFS(Grammys[[#This Row],[date]] &gt;= DATE(2022,2,1),"Grammys",TRUE,"Grammys TRA")</f>
        <v>Grammys TRA</v>
      </c>
      <c r="I1199">
        <f>_xlfn.XLOOKUP(Grammys[[#This Row],[date]],mobile_visits[date],mobile_visits[mobile_visitors],0)</f>
        <v>0</v>
      </c>
    </row>
    <row r="1200" spans="1:9">
      <c r="A1200" s="1">
        <v>43934</v>
      </c>
      <c r="B1200">
        <v>24009</v>
      </c>
      <c r="C1200">
        <v>30853</v>
      </c>
      <c r="D1200">
        <v>25702</v>
      </c>
      <c r="E1200">
        <v>10222</v>
      </c>
      <c r="F1200">
        <v>91</v>
      </c>
      <c r="G1200" t="s">
        <v>9</v>
      </c>
      <c r="H1200" t="str" cm="1">
        <f t="array" ref="H1200">_xlfn.IFS(Grammys[[#This Row],[date]] &gt;= DATE(2022,2,1),"Grammys",TRUE,"Grammys TRA")</f>
        <v>Grammys TRA</v>
      </c>
      <c r="I1200">
        <f>_xlfn.XLOOKUP(Grammys[[#This Row],[date]],mobile_visits[date],mobile_visits[mobile_visitors],0)</f>
        <v>0</v>
      </c>
    </row>
    <row r="1201" spans="1:9">
      <c r="A1201" s="1">
        <v>43935</v>
      </c>
      <c r="B1201">
        <v>21789</v>
      </c>
      <c r="C1201">
        <v>27991</v>
      </c>
      <c r="D1201">
        <v>23546</v>
      </c>
      <c r="E1201">
        <v>9360</v>
      </c>
      <c r="F1201">
        <v>87</v>
      </c>
      <c r="G1201" t="s">
        <v>9</v>
      </c>
      <c r="H1201" t="str" cm="1">
        <f t="array" ref="H1201">_xlfn.IFS(Grammys[[#This Row],[date]] &gt;= DATE(2022,2,1),"Grammys",TRUE,"Grammys TRA")</f>
        <v>Grammys TRA</v>
      </c>
      <c r="I1201">
        <f>_xlfn.XLOOKUP(Grammys[[#This Row],[date]],mobile_visits[date],mobile_visits[mobile_visitors],0)</f>
        <v>0</v>
      </c>
    </row>
    <row r="1202" spans="1:9">
      <c r="A1202" s="1">
        <v>43936</v>
      </c>
      <c r="B1202">
        <v>25039</v>
      </c>
      <c r="C1202">
        <v>31789</v>
      </c>
      <c r="D1202">
        <v>27023</v>
      </c>
      <c r="E1202">
        <v>9661</v>
      </c>
      <c r="F1202">
        <v>80</v>
      </c>
      <c r="G1202" t="s">
        <v>9</v>
      </c>
      <c r="H1202" t="str" cm="1">
        <f t="array" ref="H1202">_xlfn.IFS(Grammys[[#This Row],[date]] &gt;= DATE(2022,2,1),"Grammys",TRUE,"Grammys TRA")</f>
        <v>Grammys TRA</v>
      </c>
      <c r="I1202">
        <f>_xlfn.XLOOKUP(Grammys[[#This Row],[date]],mobile_visits[date],mobile_visits[mobile_visitors],0)</f>
        <v>0</v>
      </c>
    </row>
    <row r="1203" spans="1:9">
      <c r="A1203" s="1">
        <v>43937</v>
      </c>
      <c r="B1203">
        <v>24642</v>
      </c>
      <c r="C1203">
        <v>31949</v>
      </c>
      <c r="D1203">
        <v>26363</v>
      </c>
      <c r="E1203">
        <v>10575</v>
      </c>
      <c r="F1203">
        <v>82</v>
      </c>
      <c r="G1203" t="s">
        <v>9</v>
      </c>
      <c r="H1203" t="str" cm="1">
        <f t="array" ref="H1203">_xlfn.IFS(Grammys[[#This Row],[date]] &gt;= DATE(2022,2,1),"Grammys",TRUE,"Grammys TRA")</f>
        <v>Grammys TRA</v>
      </c>
      <c r="I1203">
        <f>_xlfn.XLOOKUP(Grammys[[#This Row],[date]],mobile_visits[date],mobile_visits[mobile_visitors],0)</f>
        <v>0</v>
      </c>
    </row>
    <row r="1204" spans="1:9">
      <c r="A1204" s="1">
        <v>43938</v>
      </c>
      <c r="B1204">
        <v>26872</v>
      </c>
      <c r="C1204">
        <v>33662</v>
      </c>
      <c r="D1204">
        <v>28514</v>
      </c>
      <c r="E1204">
        <v>11272</v>
      </c>
      <c r="F1204">
        <v>75</v>
      </c>
      <c r="G1204" t="s">
        <v>9</v>
      </c>
      <c r="H1204" t="str" cm="1">
        <f t="array" ref="H1204">_xlfn.IFS(Grammys[[#This Row],[date]] &gt;= DATE(2022,2,1),"Grammys",TRUE,"Grammys TRA")</f>
        <v>Grammys TRA</v>
      </c>
      <c r="I1204">
        <f>_xlfn.XLOOKUP(Grammys[[#This Row],[date]],mobile_visits[date],mobile_visits[mobile_visitors],0)</f>
        <v>0</v>
      </c>
    </row>
    <row r="1205" spans="1:9">
      <c r="A1205" s="1">
        <v>43939</v>
      </c>
      <c r="B1205">
        <v>28685</v>
      </c>
      <c r="C1205">
        <v>35680</v>
      </c>
      <c r="D1205">
        <v>30333</v>
      </c>
      <c r="E1205">
        <v>12798</v>
      </c>
      <c r="F1205">
        <v>70</v>
      </c>
      <c r="G1205" t="s">
        <v>9</v>
      </c>
      <c r="H1205" t="str" cm="1">
        <f t="array" ref="H1205">_xlfn.IFS(Grammys[[#This Row],[date]] &gt;= DATE(2022,2,1),"Grammys",TRUE,"Grammys TRA")</f>
        <v>Grammys TRA</v>
      </c>
      <c r="I1205">
        <f>_xlfn.XLOOKUP(Grammys[[#This Row],[date]],mobile_visits[date],mobile_visits[mobile_visitors],0)</f>
        <v>0</v>
      </c>
    </row>
    <row r="1206" spans="1:9">
      <c r="A1206" s="1">
        <v>43940</v>
      </c>
      <c r="B1206">
        <v>22772</v>
      </c>
      <c r="C1206">
        <v>29453</v>
      </c>
      <c r="D1206">
        <v>24265</v>
      </c>
      <c r="E1206">
        <v>10022</v>
      </c>
      <c r="F1206">
        <v>81</v>
      </c>
      <c r="G1206" t="s">
        <v>9</v>
      </c>
      <c r="H1206" t="str" cm="1">
        <f t="array" ref="H1206">_xlfn.IFS(Grammys[[#This Row],[date]] &gt;= DATE(2022,2,1),"Grammys",TRUE,"Grammys TRA")</f>
        <v>Grammys TRA</v>
      </c>
      <c r="I1206">
        <f>_xlfn.XLOOKUP(Grammys[[#This Row],[date]],mobile_visits[date],mobile_visits[mobile_visitors],0)</f>
        <v>0</v>
      </c>
    </row>
    <row r="1207" spans="1:9">
      <c r="A1207" s="1">
        <v>43941</v>
      </c>
      <c r="B1207">
        <v>23122</v>
      </c>
      <c r="C1207">
        <v>31876</v>
      </c>
      <c r="D1207">
        <v>24920</v>
      </c>
      <c r="E1207">
        <v>10778</v>
      </c>
      <c r="F1207">
        <v>90</v>
      </c>
      <c r="G1207" t="s">
        <v>9</v>
      </c>
      <c r="H1207" t="str" cm="1">
        <f t="array" ref="H1207">_xlfn.IFS(Grammys[[#This Row],[date]] &gt;= DATE(2022,2,1),"Grammys",TRUE,"Grammys TRA")</f>
        <v>Grammys TRA</v>
      </c>
      <c r="I1207">
        <f>_xlfn.XLOOKUP(Grammys[[#This Row],[date]],mobile_visits[date],mobile_visits[mobile_visitors],0)</f>
        <v>0</v>
      </c>
    </row>
    <row r="1208" spans="1:9">
      <c r="A1208" s="1">
        <v>43942</v>
      </c>
      <c r="B1208">
        <v>64079</v>
      </c>
      <c r="C1208">
        <v>84543</v>
      </c>
      <c r="D1208">
        <v>69876</v>
      </c>
      <c r="E1208">
        <v>23591</v>
      </c>
      <c r="F1208">
        <v>95</v>
      </c>
      <c r="G1208" t="s">
        <v>9</v>
      </c>
      <c r="H1208" t="str" cm="1">
        <f t="array" ref="H1208">_xlfn.IFS(Grammys[[#This Row],[date]] &gt;= DATE(2022,2,1),"Grammys",TRUE,"Grammys TRA")</f>
        <v>Grammys TRA</v>
      </c>
      <c r="I1208">
        <f>_xlfn.XLOOKUP(Grammys[[#This Row],[date]],mobile_visits[date],mobile_visits[mobile_visitors],0)</f>
        <v>0</v>
      </c>
    </row>
    <row r="1209" spans="1:9">
      <c r="A1209" s="1">
        <v>43943</v>
      </c>
      <c r="B1209">
        <v>46135</v>
      </c>
      <c r="C1209">
        <v>67713</v>
      </c>
      <c r="D1209">
        <v>49576</v>
      </c>
      <c r="E1209">
        <v>15805</v>
      </c>
      <c r="F1209">
        <v>116</v>
      </c>
      <c r="G1209" t="s">
        <v>9</v>
      </c>
      <c r="H1209" t="str" cm="1">
        <f t="array" ref="H1209">_xlfn.IFS(Grammys[[#This Row],[date]] &gt;= DATE(2022,2,1),"Grammys",TRUE,"Grammys TRA")</f>
        <v>Grammys TRA</v>
      </c>
      <c r="I1209">
        <f>_xlfn.XLOOKUP(Grammys[[#This Row],[date]],mobile_visits[date],mobile_visits[mobile_visitors],0)</f>
        <v>0</v>
      </c>
    </row>
    <row r="1210" spans="1:9">
      <c r="A1210" s="1">
        <v>43944</v>
      </c>
      <c r="B1210">
        <v>45185</v>
      </c>
      <c r="C1210">
        <v>68731</v>
      </c>
      <c r="D1210">
        <v>49096</v>
      </c>
      <c r="E1210">
        <v>15083</v>
      </c>
      <c r="F1210">
        <v>125</v>
      </c>
      <c r="G1210" t="s">
        <v>9</v>
      </c>
      <c r="H1210" t="str" cm="1">
        <f t="array" ref="H1210">_xlfn.IFS(Grammys[[#This Row],[date]] &gt;= DATE(2022,2,1),"Grammys",TRUE,"Grammys TRA")</f>
        <v>Grammys TRA</v>
      </c>
      <c r="I1210">
        <f>_xlfn.XLOOKUP(Grammys[[#This Row],[date]],mobile_visits[date],mobile_visits[mobile_visitors],0)</f>
        <v>0</v>
      </c>
    </row>
    <row r="1211" spans="1:9">
      <c r="A1211" s="1">
        <v>43945</v>
      </c>
      <c r="B1211">
        <v>35853</v>
      </c>
      <c r="C1211">
        <v>48940</v>
      </c>
      <c r="D1211">
        <v>39106</v>
      </c>
      <c r="E1211">
        <v>12988</v>
      </c>
      <c r="F1211">
        <v>103</v>
      </c>
      <c r="G1211" t="s">
        <v>9</v>
      </c>
      <c r="H1211" t="str" cm="1">
        <f t="array" ref="H1211">_xlfn.IFS(Grammys[[#This Row],[date]] &gt;= DATE(2022,2,1),"Grammys",TRUE,"Grammys TRA")</f>
        <v>Grammys TRA</v>
      </c>
      <c r="I1211">
        <f>_xlfn.XLOOKUP(Grammys[[#This Row],[date]],mobile_visits[date],mobile_visits[mobile_visitors],0)</f>
        <v>0</v>
      </c>
    </row>
    <row r="1212" spans="1:9">
      <c r="A1212" s="1">
        <v>43946</v>
      </c>
      <c r="B1212">
        <v>38782</v>
      </c>
      <c r="C1212">
        <v>54324</v>
      </c>
      <c r="D1212">
        <v>42047</v>
      </c>
      <c r="E1212">
        <v>12350</v>
      </c>
      <c r="F1212">
        <v>121</v>
      </c>
      <c r="G1212" t="s">
        <v>9</v>
      </c>
      <c r="H1212" t="str" cm="1">
        <f t="array" ref="H1212">_xlfn.IFS(Grammys[[#This Row],[date]] &gt;= DATE(2022,2,1),"Grammys",TRUE,"Grammys TRA")</f>
        <v>Grammys TRA</v>
      </c>
      <c r="I1212">
        <f>_xlfn.XLOOKUP(Grammys[[#This Row],[date]],mobile_visits[date],mobile_visits[mobile_visitors],0)</f>
        <v>0</v>
      </c>
    </row>
    <row r="1213" spans="1:9">
      <c r="A1213" s="1">
        <v>43947</v>
      </c>
      <c r="B1213">
        <v>31371</v>
      </c>
      <c r="C1213">
        <v>42570</v>
      </c>
      <c r="D1213">
        <v>33966</v>
      </c>
      <c r="E1213">
        <v>11559</v>
      </c>
      <c r="F1213">
        <v>112</v>
      </c>
      <c r="G1213" t="s">
        <v>9</v>
      </c>
      <c r="H1213" t="str" cm="1">
        <f t="array" ref="H1213">_xlfn.IFS(Grammys[[#This Row],[date]] &gt;= DATE(2022,2,1),"Grammys",TRUE,"Grammys TRA")</f>
        <v>Grammys TRA</v>
      </c>
      <c r="I1213">
        <f>_xlfn.XLOOKUP(Grammys[[#This Row],[date]],mobile_visits[date],mobile_visits[mobile_visitors],0)</f>
        <v>0</v>
      </c>
    </row>
    <row r="1214" spans="1:9">
      <c r="A1214" s="1">
        <v>43948</v>
      </c>
      <c r="B1214">
        <v>21492</v>
      </c>
      <c r="C1214">
        <v>30360</v>
      </c>
      <c r="D1214">
        <v>23091</v>
      </c>
      <c r="E1214">
        <v>8964</v>
      </c>
      <c r="F1214">
        <v>119</v>
      </c>
      <c r="G1214" t="s">
        <v>9</v>
      </c>
      <c r="H1214" t="str" cm="1">
        <f t="array" ref="H1214">_xlfn.IFS(Grammys[[#This Row],[date]] &gt;= DATE(2022,2,1),"Grammys",TRUE,"Grammys TRA")</f>
        <v>Grammys TRA</v>
      </c>
      <c r="I1214">
        <f>_xlfn.XLOOKUP(Grammys[[#This Row],[date]],mobile_visits[date],mobile_visits[mobile_visitors],0)</f>
        <v>0</v>
      </c>
    </row>
    <row r="1215" spans="1:9">
      <c r="A1215" s="1">
        <v>43949</v>
      </c>
      <c r="B1215">
        <v>20397</v>
      </c>
      <c r="C1215">
        <v>27741</v>
      </c>
      <c r="D1215">
        <v>22061</v>
      </c>
      <c r="E1215">
        <v>9769</v>
      </c>
      <c r="F1215">
        <v>103</v>
      </c>
      <c r="G1215" t="s">
        <v>9</v>
      </c>
      <c r="H1215" t="str" cm="1">
        <f t="array" ref="H1215">_xlfn.IFS(Grammys[[#This Row],[date]] &gt;= DATE(2022,2,1),"Grammys",TRUE,"Grammys TRA")</f>
        <v>Grammys TRA</v>
      </c>
      <c r="I1215">
        <f>_xlfn.XLOOKUP(Grammys[[#This Row],[date]],mobile_visits[date],mobile_visits[mobile_visitors],0)</f>
        <v>0</v>
      </c>
    </row>
    <row r="1216" spans="1:9">
      <c r="A1216" s="1">
        <v>43950</v>
      </c>
      <c r="B1216">
        <v>20771</v>
      </c>
      <c r="C1216">
        <v>28566</v>
      </c>
      <c r="D1216">
        <v>22195</v>
      </c>
      <c r="E1216">
        <v>9911</v>
      </c>
      <c r="F1216">
        <v>99</v>
      </c>
      <c r="G1216" t="s">
        <v>9</v>
      </c>
      <c r="H1216" t="str" cm="1">
        <f t="array" ref="H1216">_xlfn.IFS(Grammys[[#This Row],[date]] &gt;= DATE(2022,2,1),"Grammys",TRUE,"Grammys TRA")</f>
        <v>Grammys TRA</v>
      </c>
      <c r="I1216">
        <f>_xlfn.XLOOKUP(Grammys[[#This Row],[date]],mobile_visits[date],mobile_visits[mobile_visitors],0)</f>
        <v>0</v>
      </c>
    </row>
    <row r="1217" spans="1:9">
      <c r="A1217" s="1">
        <v>43951</v>
      </c>
      <c r="B1217">
        <v>19230</v>
      </c>
      <c r="C1217">
        <v>26856</v>
      </c>
      <c r="D1217">
        <v>20799</v>
      </c>
      <c r="E1217">
        <v>9038</v>
      </c>
      <c r="F1217">
        <v>97</v>
      </c>
      <c r="G1217" t="s">
        <v>9</v>
      </c>
      <c r="H1217" t="str" cm="1">
        <f t="array" ref="H1217">_xlfn.IFS(Grammys[[#This Row],[date]] &gt;= DATE(2022,2,1),"Grammys",TRUE,"Grammys TRA")</f>
        <v>Grammys TRA</v>
      </c>
      <c r="I1217">
        <f>_xlfn.XLOOKUP(Grammys[[#This Row],[date]],mobile_visits[date],mobile_visits[mobile_visitors],0)</f>
        <v>0</v>
      </c>
    </row>
    <row r="1218" spans="1:9">
      <c r="A1218" s="1">
        <v>43952</v>
      </c>
      <c r="B1218">
        <v>18276</v>
      </c>
      <c r="C1218">
        <v>25436</v>
      </c>
      <c r="D1218">
        <v>19412</v>
      </c>
      <c r="E1218">
        <v>8505</v>
      </c>
      <c r="F1218">
        <v>99</v>
      </c>
      <c r="G1218" t="s">
        <v>9</v>
      </c>
      <c r="H1218" t="str" cm="1">
        <f t="array" ref="H1218">_xlfn.IFS(Grammys[[#This Row],[date]] &gt;= DATE(2022,2,1),"Grammys",TRUE,"Grammys TRA")</f>
        <v>Grammys TRA</v>
      </c>
      <c r="I1218">
        <f>_xlfn.XLOOKUP(Grammys[[#This Row],[date]],mobile_visits[date],mobile_visits[mobile_visitors],0)</f>
        <v>0</v>
      </c>
    </row>
    <row r="1219" spans="1:9">
      <c r="A1219" s="1">
        <v>43953</v>
      </c>
      <c r="B1219">
        <v>17143</v>
      </c>
      <c r="C1219">
        <v>23845</v>
      </c>
      <c r="D1219">
        <v>18166</v>
      </c>
      <c r="E1219">
        <v>7561</v>
      </c>
      <c r="F1219">
        <v>99</v>
      </c>
      <c r="G1219" t="s">
        <v>9</v>
      </c>
      <c r="H1219" t="str" cm="1">
        <f t="array" ref="H1219">_xlfn.IFS(Grammys[[#This Row],[date]] &gt;= DATE(2022,2,1),"Grammys",TRUE,"Grammys TRA")</f>
        <v>Grammys TRA</v>
      </c>
      <c r="I1219">
        <f>_xlfn.XLOOKUP(Grammys[[#This Row],[date]],mobile_visits[date],mobile_visits[mobile_visitors],0)</f>
        <v>0</v>
      </c>
    </row>
    <row r="1220" spans="1:9">
      <c r="A1220" s="1">
        <v>43954</v>
      </c>
      <c r="B1220">
        <v>18068</v>
      </c>
      <c r="C1220">
        <v>24951</v>
      </c>
      <c r="D1220">
        <v>19365</v>
      </c>
      <c r="E1220">
        <v>7925</v>
      </c>
      <c r="F1220">
        <v>95</v>
      </c>
      <c r="G1220" t="s">
        <v>9</v>
      </c>
      <c r="H1220" t="str" cm="1">
        <f t="array" ref="H1220">_xlfn.IFS(Grammys[[#This Row],[date]] &gt;= DATE(2022,2,1),"Grammys",TRUE,"Grammys TRA")</f>
        <v>Grammys TRA</v>
      </c>
      <c r="I1220">
        <f>_xlfn.XLOOKUP(Grammys[[#This Row],[date]],mobile_visits[date],mobile_visits[mobile_visitors],0)</f>
        <v>0</v>
      </c>
    </row>
    <row r="1221" spans="1:9">
      <c r="A1221" s="1">
        <v>43955</v>
      </c>
      <c r="B1221">
        <v>18477</v>
      </c>
      <c r="C1221">
        <v>23477</v>
      </c>
      <c r="D1221">
        <v>19831</v>
      </c>
      <c r="E1221">
        <v>7814</v>
      </c>
      <c r="F1221">
        <v>100</v>
      </c>
      <c r="G1221" t="s">
        <v>9</v>
      </c>
      <c r="H1221" t="str" cm="1">
        <f t="array" ref="H1221">_xlfn.IFS(Grammys[[#This Row],[date]] &gt;= DATE(2022,2,1),"Grammys",TRUE,"Grammys TRA")</f>
        <v>Grammys TRA</v>
      </c>
      <c r="I1221">
        <f>_xlfn.XLOOKUP(Grammys[[#This Row],[date]],mobile_visits[date],mobile_visits[mobile_visitors],0)</f>
        <v>0</v>
      </c>
    </row>
    <row r="1222" spans="1:9">
      <c r="A1222" s="1">
        <v>43956</v>
      </c>
      <c r="B1222">
        <v>20217</v>
      </c>
      <c r="C1222">
        <v>35919</v>
      </c>
      <c r="D1222">
        <v>21935</v>
      </c>
      <c r="E1222">
        <v>9533</v>
      </c>
      <c r="F1222">
        <v>101</v>
      </c>
      <c r="G1222" t="s">
        <v>9</v>
      </c>
      <c r="H1222" t="str" cm="1">
        <f t="array" ref="H1222">_xlfn.IFS(Grammys[[#This Row],[date]] &gt;= DATE(2022,2,1),"Grammys",TRUE,"Grammys TRA")</f>
        <v>Grammys TRA</v>
      </c>
      <c r="I1222">
        <f>_xlfn.XLOOKUP(Grammys[[#This Row],[date]],mobile_visits[date],mobile_visits[mobile_visitors],0)</f>
        <v>0</v>
      </c>
    </row>
    <row r="1223" spans="1:9">
      <c r="A1223" s="1">
        <v>43957</v>
      </c>
      <c r="B1223">
        <v>25702</v>
      </c>
      <c r="C1223">
        <v>44704</v>
      </c>
      <c r="D1223">
        <v>27667</v>
      </c>
      <c r="E1223">
        <v>14833</v>
      </c>
      <c r="F1223">
        <v>84</v>
      </c>
      <c r="G1223" t="s">
        <v>9</v>
      </c>
      <c r="H1223" t="str" cm="1">
        <f t="array" ref="H1223">_xlfn.IFS(Grammys[[#This Row],[date]] &gt;= DATE(2022,2,1),"Grammys",TRUE,"Grammys TRA")</f>
        <v>Grammys TRA</v>
      </c>
      <c r="I1223">
        <f>_xlfn.XLOOKUP(Grammys[[#This Row],[date]],mobile_visits[date],mobile_visits[mobile_visitors],0)</f>
        <v>0</v>
      </c>
    </row>
    <row r="1224" spans="1:9">
      <c r="A1224" s="1">
        <v>43958</v>
      </c>
      <c r="B1224">
        <v>22901</v>
      </c>
      <c r="C1224">
        <v>41383</v>
      </c>
      <c r="D1224">
        <v>24346</v>
      </c>
      <c r="E1224">
        <v>11964</v>
      </c>
      <c r="F1224">
        <v>94</v>
      </c>
      <c r="G1224" t="s">
        <v>9</v>
      </c>
      <c r="H1224" t="str" cm="1">
        <f t="array" ref="H1224">_xlfn.IFS(Grammys[[#This Row],[date]] &gt;= DATE(2022,2,1),"Grammys",TRUE,"Grammys TRA")</f>
        <v>Grammys TRA</v>
      </c>
      <c r="I1224">
        <f>_xlfn.XLOOKUP(Grammys[[#This Row],[date]],mobile_visits[date],mobile_visits[mobile_visitors],0)</f>
        <v>0</v>
      </c>
    </row>
    <row r="1225" spans="1:9">
      <c r="A1225" s="1">
        <v>43959</v>
      </c>
      <c r="B1225">
        <v>20690</v>
      </c>
      <c r="C1225">
        <v>37348</v>
      </c>
      <c r="D1225">
        <v>22338</v>
      </c>
      <c r="E1225">
        <v>10535</v>
      </c>
      <c r="F1225">
        <v>103</v>
      </c>
      <c r="G1225" t="s">
        <v>9</v>
      </c>
      <c r="H1225" t="str" cm="1">
        <f t="array" ref="H1225">_xlfn.IFS(Grammys[[#This Row],[date]] &gt;= DATE(2022,2,1),"Grammys",TRUE,"Grammys TRA")</f>
        <v>Grammys TRA</v>
      </c>
      <c r="I1225">
        <f>_xlfn.XLOOKUP(Grammys[[#This Row],[date]],mobile_visits[date],mobile_visits[mobile_visitors],0)</f>
        <v>0</v>
      </c>
    </row>
    <row r="1226" spans="1:9">
      <c r="A1226" s="1">
        <v>43960</v>
      </c>
      <c r="B1226">
        <v>20417</v>
      </c>
      <c r="C1226">
        <v>36676</v>
      </c>
      <c r="D1226">
        <v>21986</v>
      </c>
      <c r="E1226">
        <v>9980</v>
      </c>
      <c r="F1226">
        <v>106</v>
      </c>
      <c r="G1226" t="s">
        <v>9</v>
      </c>
      <c r="H1226" t="str" cm="1">
        <f t="array" ref="H1226">_xlfn.IFS(Grammys[[#This Row],[date]] &gt;= DATE(2022,2,1),"Grammys",TRUE,"Grammys TRA")</f>
        <v>Grammys TRA</v>
      </c>
      <c r="I1226">
        <f>_xlfn.XLOOKUP(Grammys[[#This Row],[date]],mobile_visits[date],mobile_visits[mobile_visitors],0)</f>
        <v>0</v>
      </c>
    </row>
    <row r="1227" spans="1:9">
      <c r="A1227" s="1">
        <v>43961</v>
      </c>
      <c r="B1227">
        <v>18201</v>
      </c>
      <c r="C1227">
        <v>33186</v>
      </c>
      <c r="D1227">
        <v>19446</v>
      </c>
      <c r="E1227">
        <v>9360</v>
      </c>
      <c r="F1227">
        <v>94</v>
      </c>
      <c r="G1227" t="s">
        <v>9</v>
      </c>
      <c r="H1227" t="str" cm="1">
        <f t="array" ref="H1227">_xlfn.IFS(Grammys[[#This Row],[date]] &gt;= DATE(2022,2,1),"Grammys",TRUE,"Grammys TRA")</f>
        <v>Grammys TRA</v>
      </c>
      <c r="I1227">
        <f>_xlfn.XLOOKUP(Grammys[[#This Row],[date]],mobile_visits[date],mobile_visits[mobile_visitors],0)</f>
        <v>0</v>
      </c>
    </row>
    <row r="1228" spans="1:9">
      <c r="A1228" s="1">
        <v>43962</v>
      </c>
      <c r="B1228">
        <v>18382</v>
      </c>
      <c r="C1228">
        <v>33614</v>
      </c>
      <c r="D1228">
        <v>19754</v>
      </c>
      <c r="E1228">
        <v>9546</v>
      </c>
      <c r="F1228">
        <v>98</v>
      </c>
      <c r="G1228" t="s">
        <v>9</v>
      </c>
      <c r="H1228" t="str" cm="1">
        <f t="array" ref="H1228">_xlfn.IFS(Grammys[[#This Row],[date]] &gt;= DATE(2022,2,1),"Grammys",TRUE,"Grammys TRA")</f>
        <v>Grammys TRA</v>
      </c>
      <c r="I1228">
        <f>_xlfn.XLOOKUP(Grammys[[#This Row],[date]],mobile_visits[date],mobile_visits[mobile_visitors],0)</f>
        <v>0</v>
      </c>
    </row>
    <row r="1229" spans="1:9">
      <c r="A1229" s="1">
        <v>43963</v>
      </c>
      <c r="B1229">
        <v>17456</v>
      </c>
      <c r="C1229">
        <v>32518</v>
      </c>
      <c r="D1229">
        <v>18748</v>
      </c>
      <c r="E1229">
        <v>8827</v>
      </c>
      <c r="F1229">
        <v>95</v>
      </c>
      <c r="G1229" t="s">
        <v>9</v>
      </c>
      <c r="H1229" t="str" cm="1">
        <f t="array" ref="H1229">_xlfn.IFS(Grammys[[#This Row],[date]] &gt;= DATE(2022,2,1),"Grammys",TRUE,"Grammys TRA")</f>
        <v>Grammys TRA</v>
      </c>
      <c r="I1229">
        <f>_xlfn.XLOOKUP(Grammys[[#This Row],[date]],mobile_visits[date],mobile_visits[mobile_visitors],0)</f>
        <v>0</v>
      </c>
    </row>
    <row r="1230" spans="1:9">
      <c r="A1230" s="1">
        <v>43964</v>
      </c>
      <c r="B1230">
        <v>18307</v>
      </c>
      <c r="C1230">
        <v>34197</v>
      </c>
      <c r="D1230">
        <v>19862</v>
      </c>
      <c r="E1230">
        <v>8891</v>
      </c>
      <c r="F1230">
        <v>99</v>
      </c>
      <c r="G1230" t="s">
        <v>9</v>
      </c>
      <c r="H1230" t="str" cm="1">
        <f t="array" ref="H1230">_xlfn.IFS(Grammys[[#This Row],[date]] &gt;= DATE(2022,2,1),"Grammys",TRUE,"Grammys TRA")</f>
        <v>Grammys TRA</v>
      </c>
      <c r="I1230">
        <f>_xlfn.XLOOKUP(Grammys[[#This Row],[date]],mobile_visits[date],mobile_visits[mobile_visitors],0)</f>
        <v>0</v>
      </c>
    </row>
    <row r="1231" spans="1:9">
      <c r="A1231" s="1">
        <v>43965</v>
      </c>
      <c r="B1231">
        <v>23339</v>
      </c>
      <c r="C1231">
        <v>39684</v>
      </c>
      <c r="D1231">
        <v>24683</v>
      </c>
      <c r="E1231">
        <v>10886</v>
      </c>
      <c r="F1231">
        <v>85</v>
      </c>
      <c r="G1231" t="s">
        <v>9</v>
      </c>
      <c r="H1231" t="str" cm="1">
        <f t="array" ref="H1231">_xlfn.IFS(Grammys[[#This Row],[date]] &gt;= DATE(2022,2,1),"Grammys",TRUE,"Grammys TRA")</f>
        <v>Grammys TRA</v>
      </c>
      <c r="I1231">
        <f>_xlfn.XLOOKUP(Grammys[[#This Row],[date]],mobile_visits[date],mobile_visits[mobile_visitors],0)</f>
        <v>0</v>
      </c>
    </row>
    <row r="1232" spans="1:9">
      <c r="A1232" s="1">
        <v>43966</v>
      </c>
      <c r="B1232">
        <v>24307</v>
      </c>
      <c r="C1232">
        <v>40751</v>
      </c>
      <c r="D1232">
        <v>25877</v>
      </c>
      <c r="E1232">
        <v>10988</v>
      </c>
      <c r="F1232">
        <v>78</v>
      </c>
      <c r="G1232" t="s">
        <v>9</v>
      </c>
      <c r="H1232" t="str" cm="1">
        <f t="array" ref="H1232">_xlfn.IFS(Grammys[[#This Row],[date]] &gt;= DATE(2022,2,1),"Grammys",TRUE,"Grammys TRA")</f>
        <v>Grammys TRA</v>
      </c>
      <c r="I1232">
        <f>_xlfn.XLOOKUP(Grammys[[#This Row],[date]],mobile_visits[date],mobile_visits[mobile_visitors],0)</f>
        <v>0</v>
      </c>
    </row>
    <row r="1233" spans="1:9">
      <c r="A1233" s="1">
        <v>43967</v>
      </c>
      <c r="B1233">
        <v>22974</v>
      </c>
      <c r="C1233">
        <v>37936</v>
      </c>
      <c r="D1233">
        <v>24286</v>
      </c>
      <c r="E1233">
        <v>10477</v>
      </c>
      <c r="F1233">
        <v>77</v>
      </c>
      <c r="G1233" t="s">
        <v>9</v>
      </c>
      <c r="H1233" t="str" cm="1">
        <f t="array" ref="H1233">_xlfn.IFS(Grammys[[#This Row],[date]] &gt;= DATE(2022,2,1),"Grammys",TRUE,"Grammys TRA")</f>
        <v>Grammys TRA</v>
      </c>
      <c r="I1233">
        <f>_xlfn.XLOOKUP(Grammys[[#This Row],[date]],mobile_visits[date],mobile_visits[mobile_visitors],0)</f>
        <v>0</v>
      </c>
    </row>
    <row r="1234" spans="1:9">
      <c r="A1234" s="1">
        <v>43968</v>
      </c>
      <c r="B1234">
        <v>19652</v>
      </c>
      <c r="C1234">
        <v>33729</v>
      </c>
      <c r="D1234">
        <v>20745</v>
      </c>
      <c r="E1234">
        <v>8906</v>
      </c>
      <c r="F1234">
        <v>86</v>
      </c>
      <c r="G1234" t="s">
        <v>9</v>
      </c>
      <c r="H1234" t="str" cm="1">
        <f t="array" ref="H1234">_xlfn.IFS(Grammys[[#This Row],[date]] &gt;= DATE(2022,2,1),"Grammys",TRUE,"Grammys TRA")</f>
        <v>Grammys TRA</v>
      </c>
      <c r="I1234">
        <f>_xlfn.XLOOKUP(Grammys[[#This Row],[date]],mobile_visits[date],mobile_visits[mobile_visitors],0)</f>
        <v>0</v>
      </c>
    </row>
    <row r="1235" spans="1:9">
      <c r="A1235" s="1">
        <v>43969</v>
      </c>
      <c r="B1235">
        <v>17842</v>
      </c>
      <c r="C1235">
        <v>32873</v>
      </c>
      <c r="D1235">
        <v>19081</v>
      </c>
      <c r="E1235">
        <v>8961</v>
      </c>
      <c r="F1235">
        <v>93</v>
      </c>
      <c r="G1235" t="s">
        <v>9</v>
      </c>
      <c r="H1235" t="str" cm="1">
        <f t="array" ref="H1235">_xlfn.IFS(Grammys[[#This Row],[date]] &gt;= DATE(2022,2,1),"Grammys",TRUE,"Grammys TRA")</f>
        <v>Grammys TRA</v>
      </c>
      <c r="I1235">
        <f>_xlfn.XLOOKUP(Grammys[[#This Row],[date]],mobile_visits[date],mobile_visits[mobile_visitors],0)</f>
        <v>0</v>
      </c>
    </row>
    <row r="1236" spans="1:9">
      <c r="A1236" s="1">
        <v>43970</v>
      </c>
      <c r="B1236">
        <v>17582</v>
      </c>
      <c r="C1236">
        <v>32037</v>
      </c>
      <c r="D1236">
        <v>18723</v>
      </c>
      <c r="E1236">
        <v>8855</v>
      </c>
      <c r="F1236">
        <v>88</v>
      </c>
      <c r="G1236" t="s">
        <v>9</v>
      </c>
      <c r="H1236" t="str" cm="1">
        <f t="array" ref="H1236">_xlfn.IFS(Grammys[[#This Row],[date]] &gt;= DATE(2022,2,1),"Grammys",TRUE,"Grammys TRA")</f>
        <v>Grammys TRA</v>
      </c>
      <c r="I1236">
        <f>_xlfn.XLOOKUP(Grammys[[#This Row],[date]],mobile_visits[date],mobile_visits[mobile_visitors],0)</f>
        <v>0</v>
      </c>
    </row>
    <row r="1237" spans="1:9">
      <c r="A1237" s="1">
        <v>43971</v>
      </c>
      <c r="B1237">
        <v>18808</v>
      </c>
      <c r="C1237">
        <v>34488</v>
      </c>
      <c r="D1237">
        <v>20236</v>
      </c>
      <c r="E1237">
        <v>9522</v>
      </c>
      <c r="F1237">
        <v>93</v>
      </c>
      <c r="G1237" t="s">
        <v>9</v>
      </c>
      <c r="H1237" t="str" cm="1">
        <f t="array" ref="H1237">_xlfn.IFS(Grammys[[#This Row],[date]] &gt;= DATE(2022,2,1),"Grammys",TRUE,"Grammys TRA")</f>
        <v>Grammys TRA</v>
      </c>
      <c r="I1237">
        <f>_xlfn.XLOOKUP(Grammys[[#This Row],[date]],mobile_visits[date],mobile_visits[mobile_visitors],0)</f>
        <v>0</v>
      </c>
    </row>
    <row r="1238" spans="1:9">
      <c r="A1238" s="1">
        <v>43972</v>
      </c>
      <c r="B1238">
        <v>19197</v>
      </c>
      <c r="C1238">
        <v>34716</v>
      </c>
      <c r="D1238">
        <v>20620</v>
      </c>
      <c r="E1238">
        <v>9877</v>
      </c>
      <c r="F1238">
        <v>86</v>
      </c>
      <c r="G1238" t="s">
        <v>9</v>
      </c>
      <c r="H1238" t="str" cm="1">
        <f t="array" ref="H1238">_xlfn.IFS(Grammys[[#This Row],[date]] &gt;= DATE(2022,2,1),"Grammys",TRUE,"Grammys TRA")</f>
        <v>Grammys TRA</v>
      </c>
      <c r="I1238">
        <f>_xlfn.XLOOKUP(Grammys[[#This Row],[date]],mobile_visits[date],mobile_visits[mobile_visitors],0)</f>
        <v>0</v>
      </c>
    </row>
    <row r="1239" spans="1:9">
      <c r="A1239" s="1">
        <v>43973</v>
      </c>
      <c r="B1239">
        <v>18912</v>
      </c>
      <c r="C1239">
        <v>33561</v>
      </c>
      <c r="D1239">
        <v>20010</v>
      </c>
      <c r="E1239">
        <v>9487</v>
      </c>
      <c r="F1239">
        <v>84</v>
      </c>
      <c r="G1239" t="s">
        <v>9</v>
      </c>
      <c r="H1239" t="str" cm="1">
        <f t="array" ref="H1239">_xlfn.IFS(Grammys[[#This Row],[date]] &gt;= DATE(2022,2,1),"Grammys",TRUE,"Grammys TRA")</f>
        <v>Grammys TRA</v>
      </c>
      <c r="I1239">
        <f>_xlfn.XLOOKUP(Grammys[[#This Row],[date]],mobile_visits[date],mobile_visits[mobile_visitors],0)</f>
        <v>0</v>
      </c>
    </row>
    <row r="1240" spans="1:9">
      <c r="A1240" s="1">
        <v>43974</v>
      </c>
      <c r="B1240">
        <v>16808</v>
      </c>
      <c r="C1240">
        <v>30077</v>
      </c>
      <c r="D1240">
        <v>17918</v>
      </c>
      <c r="E1240">
        <v>8340</v>
      </c>
      <c r="F1240">
        <v>84</v>
      </c>
      <c r="G1240" t="s">
        <v>9</v>
      </c>
      <c r="H1240" t="str" cm="1">
        <f t="array" ref="H1240">_xlfn.IFS(Grammys[[#This Row],[date]] &gt;= DATE(2022,2,1),"Grammys",TRUE,"Grammys TRA")</f>
        <v>Grammys TRA</v>
      </c>
      <c r="I1240">
        <f>_xlfn.XLOOKUP(Grammys[[#This Row],[date]],mobile_visits[date],mobile_visits[mobile_visitors],0)</f>
        <v>0</v>
      </c>
    </row>
    <row r="1241" spans="1:9">
      <c r="A1241" s="1">
        <v>43975</v>
      </c>
      <c r="B1241">
        <v>16070</v>
      </c>
      <c r="C1241">
        <v>28483</v>
      </c>
      <c r="D1241">
        <v>16947</v>
      </c>
      <c r="E1241">
        <v>7859</v>
      </c>
      <c r="F1241">
        <v>85</v>
      </c>
      <c r="G1241" t="s">
        <v>9</v>
      </c>
      <c r="H1241" t="str" cm="1">
        <f t="array" ref="H1241">_xlfn.IFS(Grammys[[#This Row],[date]] &gt;= DATE(2022,2,1),"Grammys",TRUE,"Grammys TRA")</f>
        <v>Grammys TRA</v>
      </c>
      <c r="I1241">
        <f>_xlfn.XLOOKUP(Grammys[[#This Row],[date]],mobile_visits[date],mobile_visits[mobile_visitors],0)</f>
        <v>0</v>
      </c>
    </row>
    <row r="1242" spans="1:9">
      <c r="A1242" s="1">
        <v>43976</v>
      </c>
      <c r="B1242">
        <v>16047</v>
      </c>
      <c r="C1242">
        <v>29415</v>
      </c>
      <c r="D1242">
        <v>17177</v>
      </c>
      <c r="E1242">
        <v>7792</v>
      </c>
      <c r="F1242">
        <v>92</v>
      </c>
      <c r="G1242" t="s">
        <v>9</v>
      </c>
      <c r="H1242" t="str" cm="1">
        <f t="array" ref="H1242">_xlfn.IFS(Grammys[[#This Row],[date]] &gt;= DATE(2022,2,1),"Grammys",TRUE,"Grammys TRA")</f>
        <v>Grammys TRA</v>
      </c>
      <c r="I1242">
        <f>_xlfn.XLOOKUP(Grammys[[#This Row],[date]],mobile_visits[date],mobile_visits[mobile_visitors],0)</f>
        <v>0</v>
      </c>
    </row>
    <row r="1243" spans="1:9">
      <c r="A1243" s="1">
        <v>43977</v>
      </c>
      <c r="B1243">
        <v>26587</v>
      </c>
      <c r="C1243">
        <v>48552</v>
      </c>
      <c r="D1243">
        <v>28423</v>
      </c>
      <c r="E1243">
        <v>12160</v>
      </c>
      <c r="F1243">
        <v>106</v>
      </c>
      <c r="G1243" t="s">
        <v>9</v>
      </c>
      <c r="H1243" t="str" cm="1">
        <f t="array" ref="H1243">_xlfn.IFS(Grammys[[#This Row],[date]] &gt;= DATE(2022,2,1),"Grammys",TRUE,"Grammys TRA")</f>
        <v>Grammys TRA</v>
      </c>
      <c r="I1243">
        <f>_xlfn.XLOOKUP(Grammys[[#This Row],[date]],mobile_visits[date],mobile_visits[mobile_visitors],0)</f>
        <v>0</v>
      </c>
    </row>
    <row r="1244" spans="1:9">
      <c r="A1244" s="1">
        <v>43978</v>
      </c>
      <c r="B1244">
        <v>27123</v>
      </c>
      <c r="C1244">
        <v>44770</v>
      </c>
      <c r="D1244">
        <v>29156</v>
      </c>
      <c r="E1244">
        <v>14054</v>
      </c>
      <c r="F1244">
        <v>102</v>
      </c>
      <c r="G1244" t="s">
        <v>9</v>
      </c>
      <c r="H1244" t="str" cm="1">
        <f t="array" ref="H1244">_xlfn.IFS(Grammys[[#This Row],[date]] &gt;= DATE(2022,2,1),"Grammys",TRUE,"Grammys TRA")</f>
        <v>Grammys TRA</v>
      </c>
      <c r="I1244">
        <f>_xlfn.XLOOKUP(Grammys[[#This Row],[date]],mobile_visits[date],mobile_visits[mobile_visitors],0)</f>
        <v>0</v>
      </c>
    </row>
    <row r="1245" spans="1:9">
      <c r="A1245" s="1">
        <v>43979</v>
      </c>
      <c r="B1245">
        <v>20603</v>
      </c>
      <c r="C1245">
        <v>35983</v>
      </c>
      <c r="D1245">
        <v>22404</v>
      </c>
      <c r="E1245">
        <v>10795</v>
      </c>
      <c r="F1245">
        <v>90</v>
      </c>
      <c r="G1245" t="s">
        <v>9</v>
      </c>
      <c r="H1245" t="str" cm="1">
        <f t="array" ref="H1245">_xlfn.IFS(Grammys[[#This Row],[date]] &gt;= DATE(2022,2,1),"Grammys",TRUE,"Grammys TRA")</f>
        <v>Grammys TRA</v>
      </c>
      <c r="I1245">
        <f>_xlfn.XLOOKUP(Grammys[[#This Row],[date]],mobile_visits[date],mobile_visits[mobile_visitors],0)</f>
        <v>0</v>
      </c>
    </row>
    <row r="1246" spans="1:9">
      <c r="A1246" s="1">
        <v>43980</v>
      </c>
      <c r="B1246">
        <v>21668</v>
      </c>
      <c r="C1246">
        <v>37088</v>
      </c>
      <c r="D1246">
        <v>23274</v>
      </c>
      <c r="E1246">
        <v>9464</v>
      </c>
      <c r="F1246">
        <v>117</v>
      </c>
      <c r="G1246" t="s">
        <v>9</v>
      </c>
      <c r="H1246" t="str" cm="1">
        <f t="array" ref="H1246">_xlfn.IFS(Grammys[[#This Row],[date]] &gt;= DATE(2022,2,1),"Grammys",TRUE,"Grammys TRA")</f>
        <v>Grammys TRA</v>
      </c>
      <c r="I1246">
        <f>_xlfn.XLOOKUP(Grammys[[#This Row],[date]],mobile_visits[date],mobile_visits[mobile_visitors],0)</f>
        <v>0</v>
      </c>
    </row>
    <row r="1247" spans="1:9">
      <c r="A1247" s="1">
        <v>43981</v>
      </c>
      <c r="B1247">
        <v>21981</v>
      </c>
      <c r="C1247">
        <v>35284</v>
      </c>
      <c r="D1247">
        <v>23259</v>
      </c>
      <c r="E1247">
        <v>9860</v>
      </c>
      <c r="F1247">
        <v>102</v>
      </c>
      <c r="G1247" t="s">
        <v>9</v>
      </c>
      <c r="H1247" t="str" cm="1">
        <f t="array" ref="H1247">_xlfn.IFS(Grammys[[#This Row],[date]] &gt;= DATE(2022,2,1),"Grammys",TRUE,"Grammys TRA")</f>
        <v>Grammys TRA</v>
      </c>
      <c r="I1247">
        <f>_xlfn.XLOOKUP(Grammys[[#This Row],[date]],mobile_visits[date],mobile_visits[mobile_visitors],0)</f>
        <v>0</v>
      </c>
    </row>
    <row r="1248" spans="1:9">
      <c r="A1248" s="1">
        <v>43982</v>
      </c>
      <c r="B1248">
        <v>17602</v>
      </c>
      <c r="C1248">
        <v>29880</v>
      </c>
      <c r="D1248">
        <v>18760</v>
      </c>
      <c r="E1248">
        <v>7996</v>
      </c>
      <c r="F1248">
        <v>93</v>
      </c>
      <c r="G1248" t="s">
        <v>9</v>
      </c>
      <c r="H1248" t="str" cm="1">
        <f t="array" ref="H1248">_xlfn.IFS(Grammys[[#This Row],[date]] &gt;= DATE(2022,2,1),"Grammys",TRUE,"Grammys TRA")</f>
        <v>Grammys TRA</v>
      </c>
      <c r="I1248">
        <f>_xlfn.XLOOKUP(Grammys[[#This Row],[date]],mobile_visits[date],mobile_visits[mobile_visitors],0)</f>
        <v>0</v>
      </c>
    </row>
    <row r="1249" spans="1:9">
      <c r="A1249" s="1">
        <v>43983</v>
      </c>
      <c r="B1249">
        <v>15862</v>
      </c>
      <c r="C1249">
        <v>28598</v>
      </c>
      <c r="D1249">
        <v>17168</v>
      </c>
      <c r="E1249">
        <v>8114</v>
      </c>
      <c r="F1249">
        <v>91</v>
      </c>
      <c r="G1249" t="s">
        <v>9</v>
      </c>
      <c r="H1249" t="str" cm="1">
        <f t="array" ref="H1249">_xlfn.IFS(Grammys[[#This Row],[date]] &gt;= DATE(2022,2,1),"Grammys",TRUE,"Grammys TRA")</f>
        <v>Grammys TRA</v>
      </c>
      <c r="I1249">
        <f>_xlfn.XLOOKUP(Grammys[[#This Row],[date]],mobile_visits[date],mobile_visits[mobile_visitors],0)</f>
        <v>0</v>
      </c>
    </row>
    <row r="1250" spans="1:9">
      <c r="A1250" s="1">
        <v>43984</v>
      </c>
      <c r="B1250">
        <v>13375</v>
      </c>
      <c r="C1250">
        <v>23992</v>
      </c>
      <c r="D1250">
        <v>14175</v>
      </c>
      <c r="E1250">
        <v>6579</v>
      </c>
      <c r="F1250">
        <v>91</v>
      </c>
      <c r="G1250" t="s">
        <v>9</v>
      </c>
      <c r="H1250" t="str" cm="1">
        <f t="array" ref="H1250">_xlfn.IFS(Grammys[[#This Row],[date]] &gt;= DATE(2022,2,1),"Grammys",TRUE,"Grammys TRA")</f>
        <v>Grammys TRA</v>
      </c>
      <c r="I1250">
        <f>_xlfn.XLOOKUP(Grammys[[#This Row],[date]],mobile_visits[date],mobile_visits[mobile_visitors],0)</f>
        <v>0</v>
      </c>
    </row>
    <row r="1251" spans="1:9">
      <c r="A1251" s="1">
        <v>43985</v>
      </c>
      <c r="B1251">
        <v>13735</v>
      </c>
      <c r="C1251">
        <v>26006</v>
      </c>
      <c r="D1251">
        <v>14885</v>
      </c>
      <c r="E1251">
        <v>6606</v>
      </c>
      <c r="F1251">
        <v>95</v>
      </c>
      <c r="G1251" t="s">
        <v>9</v>
      </c>
      <c r="H1251" t="str" cm="1">
        <f t="array" ref="H1251">_xlfn.IFS(Grammys[[#This Row],[date]] &gt;= DATE(2022,2,1),"Grammys",TRUE,"Grammys TRA")</f>
        <v>Grammys TRA</v>
      </c>
      <c r="I1251">
        <f>_xlfn.XLOOKUP(Grammys[[#This Row],[date]],mobile_visits[date],mobile_visits[mobile_visitors],0)</f>
        <v>0</v>
      </c>
    </row>
    <row r="1252" spans="1:9">
      <c r="A1252" s="1">
        <v>43986</v>
      </c>
      <c r="B1252">
        <v>27496</v>
      </c>
      <c r="C1252">
        <v>45073</v>
      </c>
      <c r="D1252">
        <v>29073</v>
      </c>
      <c r="E1252">
        <v>11653</v>
      </c>
      <c r="F1252">
        <v>85</v>
      </c>
      <c r="G1252" t="s">
        <v>9</v>
      </c>
      <c r="H1252" t="str" cm="1">
        <f t="array" ref="H1252">_xlfn.IFS(Grammys[[#This Row],[date]] &gt;= DATE(2022,2,1),"Grammys",TRUE,"Grammys TRA")</f>
        <v>Grammys TRA</v>
      </c>
      <c r="I1252">
        <f>_xlfn.XLOOKUP(Grammys[[#This Row],[date]],mobile_visits[date],mobile_visits[mobile_visitors],0)</f>
        <v>0</v>
      </c>
    </row>
    <row r="1253" spans="1:9">
      <c r="A1253" s="1">
        <v>43987</v>
      </c>
      <c r="B1253">
        <v>48315</v>
      </c>
      <c r="C1253">
        <v>84975</v>
      </c>
      <c r="D1253">
        <v>61681</v>
      </c>
      <c r="E1253">
        <v>32944</v>
      </c>
      <c r="F1253">
        <v>119</v>
      </c>
      <c r="G1253" t="s">
        <v>9</v>
      </c>
      <c r="H1253" t="str" cm="1">
        <f t="array" ref="H1253">_xlfn.IFS(Grammys[[#This Row],[date]] &gt;= DATE(2022,2,1),"Grammys",TRUE,"Grammys TRA")</f>
        <v>Grammys TRA</v>
      </c>
      <c r="I1253">
        <f>_xlfn.XLOOKUP(Grammys[[#This Row],[date]],mobile_visits[date],mobile_visits[mobile_visitors],0)</f>
        <v>0</v>
      </c>
    </row>
    <row r="1254" spans="1:9">
      <c r="A1254" s="1">
        <v>43988</v>
      </c>
      <c r="B1254">
        <v>21293</v>
      </c>
      <c r="C1254">
        <v>34355</v>
      </c>
      <c r="D1254">
        <v>22312</v>
      </c>
      <c r="E1254">
        <v>8035</v>
      </c>
      <c r="F1254">
        <v>76</v>
      </c>
      <c r="G1254" t="s">
        <v>9</v>
      </c>
      <c r="H1254" t="str" cm="1">
        <f t="array" ref="H1254">_xlfn.IFS(Grammys[[#This Row],[date]] &gt;= DATE(2022,2,1),"Grammys",TRUE,"Grammys TRA")</f>
        <v>Grammys TRA</v>
      </c>
      <c r="I1254">
        <f>_xlfn.XLOOKUP(Grammys[[#This Row],[date]],mobile_visits[date],mobile_visits[mobile_visitors],0)</f>
        <v>0</v>
      </c>
    </row>
    <row r="1255" spans="1:9">
      <c r="A1255" s="1">
        <v>43989</v>
      </c>
      <c r="B1255">
        <v>16361</v>
      </c>
      <c r="C1255">
        <v>28845</v>
      </c>
      <c r="D1255">
        <v>17410</v>
      </c>
      <c r="E1255">
        <v>7710</v>
      </c>
      <c r="F1255">
        <v>85</v>
      </c>
      <c r="G1255" t="s">
        <v>9</v>
      </c>
      <c r="H1255" t="str" cm="1">
        <f t="array" ref="H1255">_xlfn.IFS(Grammys[[#This Row],[date]] &gt;= DATE(2022,2,1),"Grammys",TRUE,"Grammys TRA")</f>
        <v>Grammys TRA</v>
      </c>
      <c r="I1255">
        <f>_xlfn.XLOOKUP(Grammys[[#This Row],[date]],mobile_visits[date],mobile_visits[mobile_visitors],0)</f>
        <v>0</v>
      </c>
    </row>
    <row r="1256" spans="1:9">
      <c r="A1256" s="1">
        <v>43990</v>
      </c>
      <c r="B1256">
        <v>19655</v>
      </c>
      <c r="C1256">
        <v>34801</v>
      </c>
      <c r="D1256">
        <v>20928</v>
      </c>
      <c r="E1256">
        <v>8930</v>
      </c>
      <c r="F1256">
        <v>88</v>
      </c>
      <c r="G1256" t="s">
        <v>9</v>
      </c>
      <c r="H1256" t="str" cm="1">
        <f t="array" ref="H1256">_xlfn.IFS(Grammys[[#This Row],[date]] &gt;= DATE(2022,2,1),"Grammys",TRUE,"Grammys TRA")</f>
        <v>Grammys TRA</v>
      </c>
      <c r="I1256">
        <f>_xlfn.XLOOKUP(Grammys[[#This Row],[date]],mobile_visits[date],mobile_visits[mobile_visitors],0)</f>
        <v>0</v>
      </c>
    </row>
    <row r="1257" spans="1:9">
      <c r="A1257" s="1">
        <v>43991</v>
      </c>
      <c r="B1257">
        <v>23422</v>
      </c>
      <c r="C1257">
        <v>41381</v>
      </c>
      <c r="D1257">
        <v>25258</v>
      </c>
      <c r="E1257">
        <v>11857</v>
      </c>
      <c r="F1257">
        <v>88</v>
      </c>
      <c r="G1257" t="s">
        <v>9</v>
      </c>
      <c r="H1257" t="str" cm="1">
        <f t="array" ref="H1257">_xlfn.IFS(Grammys[[#This Row],[date]] &gt;= DATE(2022,2,1),"Grammys",TRUE,"Grammys TRA")</f>
        <v>Grammys TRA</v>
      </c>
      <c r="I1257">
        <f>_xlfn.XLOOKUP(Grammys[[#This Row],[date]],mobile_visits[date],mobile_visits[mobile_visitors],0)</f>
        <v>0</v>
      </c>
    </row>
    <row r="1258" spans="1:9">
      <c r="A1258" s="1">
        <v>43992</v>
      </c>
      <c r="B1258">
        <v>29706</v>
      </c>
      <c r="C1258">
        <v>53417</v>
      </c>
      <c r="D1258">
        <v>32190</v>
      </c>
      <c r="E1258">
        <v>13485</v>
      </c>
      <c r="F1258">
        <v>91</v>
      </c>
      <c r="G1258" t="s">
        <v>9</v>
      </c>
      <c r="H1258" t="str" cm="1">
        <f t="array" ref="H1258">_xlfn.IFS(Grammys[[#This Row],[date]] &gt;= DATE(2022,2,1),"Grammys",TRUE,"Grammys TRA")</f>
        <v>Grammys TRA</v>
      </c>
      <c r="I1258">
        <f>_xlfn.XLOOKUP(Grammys[[#This Row],[date]],mobile_visits[date],mobile_visits[mobile_visitors],0)</f>
        <v>0</v>
      </c>
    </row>
    <row r="1259" spans="1:9">
      <c r="A1259" s="1">
        <v>43993</v>
      </c>
      <c r="B1259">
        <v>24169</v>
      </c>
      <c r="C1259">
        <v>43314</v>
      </c>
      <c r="D1259">
        <v>25810</v>
      </c>
      <c r="E1259">
        <v>10792</v>
      </c>
      <c r="F1259">
        <v>88</v>
      </c>
      <c r="G1259" t="s">
        <v>9</v>
      </c>
      <c r="H1259" t="str" cm="1">
        <f t="array" ref="H1259">_xlfn.IFS(Grammys[[#This Row],[date]] &gt;= DATE(2022,2,1),"Grammys",TRUE,"Grammys TRA")</f>
        <v>Grammys TRA</v>
      </c>
      <c r="I1259">
        <f>_xlfn.XLOOKUP(Grammys[[#This Row],[date]],mobile_visits[date],mobile_visits[mobile_visitors],0)</f>
        <v>0</v>
      </c>
    </row>
    <row r="1260" spans="1:9">
      <c r="A1260" s="1">
        <v>43994</v>
      </c>
      <c r="B1260">
        <v>21841</v>
      </c>
      <c r="C1260">
        <v>37740</v>
      </c>
      <c r="D1260">
        <v>23290</v>
      </c>
      <c r="E1260">
        <v>10306</v>
      </c>
      <c r="F1260">
        <v>79</v>
      </c>
      <c r="G1260" t="s">
        <v>9</v>
      </c>
      <c r="H1260" t="str" cm="1">
        <f t="array" ref="H1260">_xlfn.IFS(Grammys[[#This Row],[date]] &gt;= DATE(2022,2,1),"Grammys",TRUE,"Grammys TRA")</f>
        <v>Grammys TRA</v>
      </c>
      <c r="I1260">
        <f>_xlfn.XLOOKUP(Grammys[[#This Row],[date]],mobile_visits[date],mobile_visits[mobile_visitors],0)</f>
        <v>0</v>
      </c>
    </row>
    <row r="1261" spans="1:9">
      <c r="A1261" s="1">
        <v>43995</v>
      </c>
      <c r="B1261">
        <v>18297</v>
      </c>
      <c r="C1261">
        <v>31078</v>
      </c>
      <c r="D1261">
        <v>19471</v>
      </c>
      <c r="E1261">
        <v>8648</v>
      </c>
      <c r="F1261">
        <v>76</v>
      </c>
      <c r="G1261" t="s">
        <v>9</v>
      </c>
      <c r="H1261" t="str" cm="1">
        <f t="array" ref="H1261">_xlfn.IFS(Grammys[[#This Row],[date]] &gt;= DATE(2022,2,1),"Grammys",TRUE,"Grammys TRA")</f>
        <v>Grammys TRA</v>
      </c>
      <c r="I1261">
        <f>_xlfn.XLOOKUP(Grammys[[#This Row],[date]],mobile_visits[date],mobile_visits[mobile_visitors],0)</f>
        <v>0</v>
      </c>
    </row>
    <row r="1262" spans="1:9">
      <c r="A1262" s="1">
        <v>43996</v>
      </c>
      <c r="B1262">
        <v>16177</v>
      </c>
      <c r="C1262">
        <v>28864</v>
      </c>
      <c r="D1262">
        <v>17332</v>
      </c>
      <c r="E1262">
        <v>7386</v>
      </c>
      <c r="F1262">
        <v>81</v>
      </c>
      <c r="G1262" t="s">
        <v>9</v>
      </c>
      <c r="H1262" t="str" cm="1">
        <f t="array" ref="H1262">_xlfn.IFS(Grammys[[#This Row],[date]] &gt;= DATE(2022,2,1),"Grammys",TRUE,"Grammys TRA")</f>
        <v>Grammys TRA</v>
      </c>
      <c r="I1262">
        <f>_xlfn.XLOOKUP(Grammys[[#This Row],[date]],mobile_visits[date],mobile_visits[mobile_visitors],0)</f>
        <v>0</v>
      </c>
    </row>
    <row r="1263" spans="1:9">
      <c r="A1263" s="1">
        <v>43997</v>
      </c>
      <c r="B1263">
        <v>20985</v>
      </c>
      <c r="C1263">
        <v>38959</v>
      </c>
      <c r="D1263">
        <v>22628</v>
      </c>
      <c r="E1263">
        <v>9764</v>
      </c>
      <c r="F1263">
        <v>88</v>
      </c>
      <c r="G1263" t="s">
        <v>9</v>
      </c>
      <c r="H1263" t="str" cm="1">
        <f t="array" ref="H1263">_xlfn.IFS(Grammys[[#This Row],[date]] &gt;= DATE(2022,2,1),"Grammys",TRUE,"Grammys TRA")</f>
        <v>Grammys TRA</v>
      </c>
      <c r="I1263">
        <f>_xlfn.XLOOKUP(Grammys[[#This Row],[date]],mobile_visits[date],mobile_visits[mobile_visitors],0)</f>
        <v>0</v>
      </c>
    </row>
    <row r="1264" spans="1:9">
      <c r="A1264" s="1">
        <v>43998</v>
      </c>
      <c r="B1264">
        <v>21380</v>
      </c>
      <c r="C1264">
        <v>39155</v>
      </c>
      <c r="D1264">
        <v>22994</v>
      </c>
      <c r="E1264">
        <v>10490</v>
      </c>
      <c r="F1264">
        <v>85</v>
      </c>
      <c r="G1264" t="s">
        <v>9</v>
      </c>
      <c r="H1264" t="str" cm="1">
        <f t="array" ref="H1264">_xlfn.IFS(Grammys[[#This Row],[date]] &gt;= DATE(2022,2,1),"Grammys",TRUE,"Grammys TRA")</f>
        <v>Grammys TRA</v>
      </c>
      <c r="I1264">
        <f>_xlfn.XLOOKUP(Grammys[[#This Row],[date]],mobile_visits[date],mobile_visits[mobile_visitors],0)</f>
        <v>0</v>
      </c>
    </row>
    <row r="1265" spans="1:9">
      <c r="A1265" s="1">
        <v>43999</v>
      </c>
      <c r="B1265">
        <v>22351</v>
      </c>
      <c r="C1265">
        <v>38691</v>
      </c>
      <c r="D1265">
        <v>24136</v>
      </c>
      <c r="E1265">
        <v>13242</v>
      </c>
      <c r="F1265">
        <v>79</v>
      </c>
      <c r="G1265" t="s">
        <v>9</v>
      </c>
      <c r="H1265" t="str" cm="1">
        <f t="array" ref="H1265">_xlfn.IFS(Grammys[[#This Row],[date]] &gt;= DATE(2022,2,1),"Grammys",TRUE,"Grammys TRA")</f>
        <v>Grammys TRA</v>
      </c>
      <c r="I1265">
        <f>_xlfn.XLOOKUP(Grammys[[#This Row],[date]],mobile_visits[date],mobile_visits[mobile_visitors],0)</f>
        <v>0</v>
      </c>
    </row>
    <row r="1266" spans="1:9">
      <c r="A1266" s="1">
        <v>44000</v>
      </c>
      <c r="B1266">
        <v>23241</v>
      </c>
      <c r="C1266">
        <v>40393</v>
      </c>
      <c r="D1266">
        <v>24778</v>
      </c>
      <c r="E1266">
        <v>13113</v>
      </c>
      <c r="F1266">
        <v>77</v>
      </c>
      <c r="G1266" t="s">
        <v>9</v>
      </c>
      <c r="H1266" t="str" cm="1">
        <f t="array" ref="H1266">_xlfn.IFS(Grammys[[#This Row],[date]] &gt;= DATE(2022,2,1),"Grammys",TRUE,"Grammys TRA")</f>
        <v>Grammys TRA</v>
      </c>
      <c r="I1266">
        <f>_xlfn.XLOOKUP(Grammys[[#This Row],[date]],mobile_visits[date],mobile_visits[mobile_visitors],0)</f>
        <v>0</v>
      </c>
    </row>
    <row r="1267" spans="1:9">
      <c r="A1267" s="1">
        <v>44001</v>
      </c>
      <c r="B1267">
        <v>23572</v>
      </c>
      <c r="C1267">
        <v>42255</v>
      </c>
      <c r="D1267">
        <v>25011</v>
      </c>
      <c r="E1267">
        <v>12206</v>
      </c>
      <c r="F1267">
        <v>72</v>
      </c>
      <c r="G1267" t="s">
        <v>9</v>
      </c>
      <c r="H1267" t="str" cm="1">
        <f t="array" ref="H1267">_xlfn.IFS(Grammys[[#This Row],[date]] &gt;= DATE(2022,2,1),"Grammys",TRUE,"Grammys TRA")</f>
        <v>Grammys TRA</v>
      </c>
      <c r="I1267">
        <f>_xlfn.XLOOKUP(Grammys[[#This Row],[date]],mobile_visits[date],mobile_visits[mobile_visitors],0)</f>
        <v>0</v>
      </c>
    </row>
    <row r="1268" spans="1:9">
      <c r="A1268" s="1">
        <v>44002</v>
      </c>
      <c r="B1268">
        <v>29808</v>
      </c>
      <c r="C1268">
        <v>52223</v>
      </c>
      <c r="D1268">
        <v>31650</v>
      </c>
      <c r="E1268">
        <v>15838</v>
      </c>
      <c r="F1268">
        <v>64</v>
      </c>
      <c r="G1268" t="s">
        <v>9</v>
      </c>
      <c r="H1268" t="str" cm="1">
        <f t="array" ref="H1268">_xlfn.IFS(Grammys[[#This Row],[date]] &gt;= DATE(2022,2,1),"Grammys",TRUE,"Grammys TRA")</f>
        <v>Grammys TRA</v>
      </c>
      <c r="I1268">
        <f>_xlfn.XLOOKUP(Grammys[[#This Row],[date]],mobile_visits[date],mobile_visits[mobile_visitors],0)</f>
        <v>0</v>
      </c>
    </row>
    <row r="1269" spans="1:9">
      <c r="A1269" s="1">
        <v>44003</v>
      </c>
      <c r="B1269">
        <v>27455</v>
      </c>
      <c r="C1269">
        <v>47797</v>
      </c>
      <c r="D1269">
        <v>28851</v>
      </c>
      <c r="E1269">
        <v>14363</v>
      </c>
      <c r="F1269">
        <v>65</v>
      </c>
      <c r="G1269" t="s">
        <v>9</v>
      </c>
      <c r="H1269" t="str" cm="1">
        <f t="array" ref="H1269">_xlfn.IFS(Grammys[[#This Row],[date]] &gt;= DATE(2022,2,1),"Grammys",TRUE,"Grammys TRA")</f>
        <v>Grammys TRA</v>
      </c>
      <c r="I1269">
        <f>_xlfn.XLOOKUP(Grammys[[#This Row],[date]],mobile_visits[date],mobile_visits[mobile_visitors],0)</f>
        <v>0</v>
      </c>
    </row>
    <row r="1270" spans="1:9">
      <c r="A1270" s="1">
        <v>44004</v>
      </c>
      <c r="B1270">
        <v>28339</v>
      </c>
      <c r="C1270">
        <v>52348</v>
      </c>
      <c r="D1270">
        <v>30352</v>
      </c>
      <c r="E1270">
        <v>14788</v>
      </c>
      <c r="F1270">
        <v>74</v>
      </c>
      <c r="G1270" t="s">
        <v>9</v>
      </c>
      <c r="H1270" t="str" cm="1">
        <f t="array" ref="H1270">_xlfn.IFS(Grammys[[#This Row],[date]] &gt;= DATE(2022,2,1),"Grammys",TRUE,"Grammys TRA")</f>
        <v>Grammys TRA</v>
      </c>
      <c r="I1270">
        <f>_xlfn.XLOOKUP(Grammys[[#This Row],[date]],mobile_visits[date],mobile_visits[mobile_visitors],0)</f>
        <v>0</v>
      </c>
    </row>
    <row r="1271" spans="1:9">
      <c r="A1271" s="1">
        <v>44005</v>
      </c>
      <c r="B1271">
        <v>24640</v>
      </c>
      <c r="C1271">
        <v>43860</v>
      </c>
      <c r="D1271">
        <v>26255</v>
      </c>
      <c r="E1271">
        <v>12763</v>
      </c>
      <c r="F1271">
        <v>74</v>
      </c>
      <c r="G1271" t="s">
        <v>9</v>
      </c>
      <c r="H1271" t="str" cm="1">
        <f t="array" ref="H1271">_xlfn.IFS(Grammys[[#This Row],[date]] &gt;= DATE(2022,2,1),"Grammys",TRUE,"Grammys TRA")</f>
        <v>Grammys TRA</v>
      </c>
      <c r="I1271">
        <f>_xlfn.XLOOKUP(Grammys[[#This Row],[date]],mobile_visits[date],mobile_visits[mobile_visitors],0)</f>
        <v>0</v>
      </c>
    </row>
    <row r="1272" spans="1:9">
      <c r="A1272" s="1">
        <v>44006</v>
      </c>
      <c r="B1272">
        <v>23164</v>
      </c>
      <c r="C1272">
        <v>40684</v>
      </c>
      <c r="D1272">
        <v>24684</v>
      </c>
      <c r="E1272">
        <v>11656</v>
      </c>
      <c r="F1272">
        <v>84</v>
      </c>
      <c r="G1272" t="s">
        <v>9</v>
      </c>
      <c r="H1272" t="str" cm="1">
        <f t="array" ref="H1272">_xlfn.IFS(Grammys[[#This Row],[date]] &gt;= DATE(2022,2,1),"Grammys",TRUE,"Grammys TRA")</f>
        <v>Grammys TRA</v>
      </c>
      <c r="I1272">
        <f>_xlfn.XLOOKUP(Grammys[[#This Row],[date]],mobile_visits[date],mobile_visits[mobile_visitors],0)</f>
        <v>0</v>
      </c>
    </row>
    <row r="1273" spans="1:9">
      <c r="A1273" s="1">
        <v>44007</v>
      </c>
      <c r="B1273">
        <v>20832</v>
      </c>
      <c r="C1273">
        <v>37499</v>
      </c>
      <c r="D1273">
        <v>22355</v>
      </c>
      <c r="E1273">
        <v>10823</v>
      </c>
      <c r="F1273">
        <v>81</v>
      </c>
      <c r="G1273" t="s">
        <v>9</v>
      </c>
      <c r="H1273" t="str" cm="1">
        <f t="array" ref="H1273">_xlfn.IFS(Grammys[[#This Row],[date]] &gt;= DATE(2022,2,1),"Grammys",TRUE,"Grammys TRA")</f>
        <v>Grammys TRA</v>
      </c>
      <c r="I1273">
        <f>_xlfn.XLOOKUP(Grammys[[#This Row],[date]],mobile_visits[date],mobile_visits[mobile_visitors],0)</f>
        <v>0</v>
      </c>
    </row>
    <row r="1274" spans="1:9">
      <c r="A1274" s="1">
        <v>44008</v>
      </c>
      <c r="B1274">
        <v>19324</v>
      </c>
      <c r="C1274">
        <v>34472</v>
      </c>
      <c r="D1274">
        <v>20770</v>
      </c>
      <c r="E1274">
        <v>9850</v>
      </c>
      <c r="F1274">
        <v>75</v>
      </c>
      <c r="G1274" t="s">
        <v>9</v>
      </c>
      <c r="H1274" t="str" cm="1">
        <f t="array" ref="H1274">_xlfn.IFS(Grammys[[#This Row],[date]] &gt;= DATE(2022,2,1),"Grammys",TRUE,"Grammys TRA")</f>
        <v>Grammys TRA</v>
      </c>
      <c r="I1274">
        <f>_xlfn.XLOOKUP(Grammys[[#This Row],[date]],mobile_visits[date],mobile_visits[mobile_visitors],0)</f>
        <v>0</v>
      </c>
    </row>
    <row r="1275" spans="1:9">
      <c r="A1275" s="1">
        <v>44009</v>
      </c>
      <c r="B1275">
        <v>18136</v>
      </c>
      <c r="C1275">
        <v>32023</v>
      </c>
      <c r="D1275">
        <v>19323</v>
      </c>
      <c r="E1275">
        <v>9264</v>
      </c>
      <c r="F1275">
        <v>75</v>
      </c>
      <c r="G1275" t="s">
        <v>9</v>
      </c>
      <c r="H1275" t="str" cm="1">
        <f t="array" ref="H1275">_xlfn.IFS(Grammys[[#This Row],[date]] &gt;= DATE(2022,2,1),"Grammys",TRUE,"Grammys TRA")</f>
        <v>Grammys TRA</v>
      </c>
      <c r="I1275">
        <f>_xlfn.XLOOKUP(Grammys[[#This Row],[date]],mobile_visits[date],mobile_visits[mobile_visitors],0)</f>
        <v>0</v>
      </c>
    </row>
    <row r="1276" spans="1:9">
      <c r="A1276" s="1">
        <v>44010</v>
      </c>
      <c r="B1276">
        <v>20536</v>
      </c>
      <c r="C1276">
        <v>36420</v>
      </c>
      <c r="D1276">
        <v>21772</v>
      </c>
      <c r="E1276">
        <v>10175</v>
      </c>
      <c r="F1276">
        <v>76</v>
      </c>
      <c r="G1276" t="s">
        <v>9</v>
      </c>
      <c r="H1276" t="str" cm="1">
        <f t="array" ref="H1276">_xlfn.IFS(Grammys[[#This Row],[date]] &gt;= DATE(2022,2,1),"Grammys",TRUE,"Grammys TRA")</f>
        <v>Grammys TRA</v>
      </c>
      <c r="I1276">
        <f>_xlfn.XLOOKUP(Grammys[[#This Row],[date]],mobile_visits[date],mobile_visits[mobile_visitors],0)</f>
        <v>0</v>
      </c>
    </row>
    <row r="1277" spans="1:9">
      <c r="A1277" s="1">
        <v>44011</v>
      </c>
      <c r="B1277">
        <v>26433</v>
      </c>
      <c r="C1277">
        <v>45409</v>
      </c>
      <c r="D1277">
        <v>27907</v>
      </c>
      <c r="E1277">
        <v>11459</v>
      </c>
      <c r="F1277">
        <v>87</v>
      </c>
      <c r="G1277" t="s">
        <v>9</v>
      </c>
      <c r="H1277" t="str" cm="1">
        <f t="array" ref="H1277">_xlfn.IFS(Grammys[[#This Row],[date]] &gt;= DATE(2022,2,1),"Grammys",TRUE,"Grammys TRA")</f>
        <v>Grammys TRA</v>
      </c>
      <c r="I1277">
        <f>_xlfn.XLOOKUP(Grammys[[#This Row],[date]],mobile_visits[date],mobile_visits[mobile_visitors],0)</f>
        <v>0</v>
      </c>
    </row>
    <row r="1278" spans="1:9">
      <c r="A1278" s="1">
        <v>44012</v>
      </c>
      <c r="B1278">
        <v>35064</v>
      </c>
      <c r="C1278">
        <v>56582</v>
      </c>
      <c r="D1278">
        <v>38086</v>
      </c>
      <c r="E1278">
        <v>14062</v>
      </c>
      <c r="F1278">
        <v>139</v>
      </c>
      <c r="G1278" t="s">
        <v>9</v>
      </c>
      <c r="H1278" t="str" cm="1">
        <f t="array" ref="H1278">_xlfn.IFS(Grammys[[#This Row],[date]] &gt;= DATE(2022,2,1),"Grammys",TRUE,"Grammys TRA")</f>
        <v>Grammys TRA</v>
      </c>
      <c r="I1278">
        <f>_xlfn.XLOOKUP(Grammys[[#This Row],[date]],mobile_visits[date],mobile_visits[mobile_visitors],0)</f>
        <v>0</v>
      </c>
    </row>
    <row r="1279" spans="1:9">
      <c r="A1279" s="1">
        <v>44013</v>
      </c>
      <c r="B1279">
        <v>24986</v>
      </c>
      <c r="C1279">
        <v>42994</v>
      </c>
      <c r="D1279">
        <v>26822</v>
      </c>
      <c r="E1279">
        <v>10981</v>
      </c>
      <c r="F1279">
        <v>107</v>
      </c>
      <c r="G1279" t="s">
        <v>9</v>
      </c>
      <c r="H1279" t="str" cm="1">
        <f t="array" ref="H1279">_xlfn.IFS(Grammys[[#This Row],[date]] &gt;= DATE(2022,2,1),"Grammys",TRUE,"Grammys TRA")</f>
        <v>Grammys TRA</v>
      </c>
      <c r="I1279">
        <f>_xlfn.XLOOKUP(Grammys[[#This Row],[date]],mobile_visits[date],mobile_visits[mobile_visitors],0)</f>
        <v>0</v>
      </c>
    </row>
    <row r="1280" spans="1:9">
      <c r="A1280" s="1">
        <v>44014</v>
      </c>
      <c r="B1280">
        <v>18807</v>
      </c>
      <c r="C1280">
        <v>33232</v>
      </c>
      <c r="D1280">
        <v>20055</v>
      </c>
      <c r="E1280">
        <v>8686</v>
      </c>
      <c r="F1280">
        <v>92</v>
      </c>
      <c r="G1280" t="s">
        <v>9</v>
      </c>
      <c r="H1280" t="str" cm="1">
        <f t="array" ref="H1280">_xlfn.IFS(Grammys[[#This Row],[date]] &gt;= DATE(2022,2,1),"Grammys",TRUE,"Grammys TRA")</f>
        <v>Grammys TRA</v>
      </c>
      <c r="I1280">
        <f>_xlfn.XLOOKUP(Grammys[[#This Row],[date]],mobile_visits[date],mobile_visits[mobile_visitors],0)</f>
        <v>0</v>
      </c>
    </row>
    <row r="1281" spans="1:9">
      <c r="A1281" s="1">
        <v>44015</v>
      </c>
      <c r="B1281">
        <v>17396</v>
      </c>
      <c r="C1281">
        <v>30603</v>
      </c>
      <c r="D1281">
        <v>18432</v>
      </c>
      <c r="E1281">
        <v>7959</v>
      </c>
      <c r="F1281">
        <v>84</v>
      </c>
      <c r="G1281" t="s">
        <v>9</v>
      </c>
      <c r="H1281" t="str" cm="1">
        <f t="array" ref="H1281">_xlfn.IFS(Grammys[[#This Row],[date]] &gt;= DATE(2022,2,1),"Grammys",TRUE,"Grammys TRA")</f>
        <v>Grammys TRA</v>
      </c>
      <c r="I1281">
        <f>_xlfn.XLOOKUP(Grammys[[#This Row],[date]],mobile_visits[date],mobile_visits[mobile_visitors],0)</f>
        <v>0</v>
      </c>
    </row>
    <row r="1282" spans="1:9">
      <c r="A1282" s="1">
        <v>44016</v>
      </c>
      <c r="B1282">
        <v>16752</v>
      </c>
      <c r="C1282">
        <v>28733</v>
      </c>
      <c r="D1282">
        <v>17608</v>
      </c>
      <c r="E1282">
        <v>8137</v>
      </c>
      <c r="F1282">
        <v>77</v>
      </c>
      <c r="G1282" t="s">
        <v>9</v>
      </c>
      <c r="H1282" t="str" cm="1">
        <f t="array" ref="H1282">_xlfn.IFS(Grammys[[#This Row],[date]] &gt;= DATE(2022,2,1),"Grammys",TRUE,"Grammys TRA")</f>
        <v>Grammys TRA</v>
      </c>
      <c r="I1282">
        <f>_xlfn.XLOOKUP(Grammys[[#This Row],[date]],mobile_visits[date],mobile_visits[mobile_visitors],0)</f>
        <v>0</v>
      </c>
    </row>
    <row r="1283" spans="1:9">
      <c r="A1283" s="1">
        <v>44017</v>
      </c>
      <c r="B1283">
        <v>16869</v>
      </c>
      <c r="C1283">
        <v>29572</v>
      </c>
      <c r="D1283">
        <v>18098</v>
      </c>
      <c r="E1283">
        <v>8552</v>
      </c>
      <c r="F1283">
        <v>78</v>
      </c>
      <c r="G1283" t="s">
        <v>9</v>
      </c>
      <c r="H1283" t="str" cm="1">
        <f t="array" ref="H1283">_xlfn.IFS(Grammys[[#This Row],[date]] &gt;= DATE(2022,2,1),"Grammys",TRUE,"Grammys TRA")</f>
        <v>Grammys TRA</v>
      </c>
      <c r="I1283">
        <f>_xlfn.XLOOKUP(Grammys[[#This Row],[date]],mobile_visits[date],mobile_visits[mobile_visitors],0)</f>
        <v>0</v>
      </c>
    </row>
    <row r="1284" spans="1:9">
      <c r="A1284" s="1">
        <v>44018</v>
      </c>
      <c r="B1284">
        <v>19477</v>
      </c>
      <c r="C1284">
        <v>35569</v>
      </c>
      <c r="D1284">
        <v>20966</v>
      </c>
      <c r="E1284">
        <v>9574</v>
      </c>
      <c r="F1284">
        <v>91</v>
      </c>
      <c r="G1284" t="s">
        <v>9</v>
      </c>
      <c r="H1284" t="str" cm="1">
        <f t="array" ref="H1284">_xlfn.IFS(Grammys[[#This Row],[date]] &gt;= DATE(2022,2,1),"Grammys",TRUE,"Grammys TRA")</f>
        <v>Grammys TRA</v>
      </c>
      <c r="I1284">
        <f>_xlfn.XLOOKUP(Grammys[[#This Row],[date]],mobile_visits[date],mobile_visits[mobile_visitors],0)</f>
        <v>0</v>
      </c>
    </row>
    <row r="1285" spans="1:9">
      <c r="A1285" s="1">
        <v>44019</v>
      </c>
      <c r="B1285">
        <v>17648</v>
      </c>
      <c r="C1285">
        <v>31629</v>
      </c>
      <c r="D1285">
        <v>18972</v>
      </c>
      <c r="E1285">
        <v>8722</v>
      </c>
      <c r="F1285">
        <v>90</v>
      </c>
      <c r="G1285" t="s">
        <v>9</v>
      </c>
      <c r="H1285" t="str" cm="1">
        <f t="array" ref="H1285">_xlfn.IFS(Grammys[[#This Row],[date]] &gt;= DATE(2022,2,1),"Grammys",TRUE,"Grammys TRA")</f>
        <v>Grammys TRA</v>
      </c>
      <c r="I1285">
        <f>_xlfn.XLOOKUP(Grammys[[#This Row],[date]],mobile_visits[date],mobile_visits[mobile_visitors],0)</f>
        <v>0</v>
      </c>
    </row>
    <row r="1286" spans="1:9">
      <c r="A1286" s="1">
        <v>44020</v>
      </c>
      <c r="B1286">
        <v>29782</v>
      </c>
      <c r="C1286">
        <v>60872</v>
      </c>
      <c r="D1286">
        <v>32323</v>
      </c>
      <c r="E1286">
        <v>12739</v>
      </c>
      <c r="F1286">
        <v>86</v>
      </c>
      <c r="G1286" t="s">
        <v>9</v>
      </c>
      <c r="H1286" t="str" cm="1">
        <f t="array" ref="H1286">_xlfn.IFS(Grammys[[#This Row],[date]] &gt;= DATE(2022,2,1),"Grammys",TRUE,"Grammys TRA")</f>
        <v>Grammys TRA</v>
      </c>
      <c r="I1286">
        <f>_xlfn.XLOOKUP(Grammys[[#This Row],[date]],mobile_visits[date],mobile_visits[mobile_visitors],0)</f>
        <v>0</v>
      </c>
    </row>
    <row r="1287" spans="1:9">
      <c r="A1287" s="1">
        <v>44021</v>
      </c>
      <c r="B1287">
        <v>21380</v>
      </c>
      <c r="C1287">
        <v>38811</v>
      </c>
      <c r="D1287">
        <v>22975</v>
      </c>
      <c r="E1287">
        <v>10551</v>
      </c>
      <c r="F1287">
        <v>89</v>
      </c>
      <c r="G1287" t="s">
        <v>9</v>
      </c>
      <c r="H1287" t="str" cm="1">
        <f t="array" ref="H1287">_xlfn.IFS(Grammys[[#This Row],[date]] &gt;= DATE(2022,2,1),"Grammys",TRUE,"Grammys TRA")</f>
        <v>Grammys TRA</v>
      </c>
      <c r="I1287">
        <f>_xlfn.XLOOKUP(Grammys[[#This Row],[date]],mobile_visits[date],mobile_visits[mobile_visitors],0)</f>
        <v>0</v>
      </c>
    </row>
    <row r="1288" spans="1:9">
      <c r="A1288" s="1">
        <v>44022</v>
      </c>
      <c r="B1288">
        <v>16371</v>
      </c>
      <c r="C1288">
        <v>28987</v>
      </c>
      <c r="D1288">
        <v>17417</v>
      </c>
      <c r="E1288">
        <v>8484</v>
      </c>
      <c r="F1288">
        <v>80</v>
      </c>
      <c r="G1288" t="s">
        <v>9</v>
      </c>
      <c r="H1288" t="str" cm="1">
        <f t="array" ref="H1288">_xlfn.IFS(Grammys[[#This Row],[date]] &gt;= DATE(2022,2,1),"Grammys",TRUE,"Grammys TRA")</f>
        <v>Grammys TRA</v>
      </c>
      <c r="I1288">
        <f>_xlfn.XLOOKUP(Grammys[[#This Row],[date]],mobile_visits[date],mobile_visits[mobile_visitors],0)</f>
        <v>0</v>
      </c>
    </row>
    <row r="1289" spans="1:9">
      <c r="A1289" s="1">
        <v>44023</v>
      </c>
      <c r="B1289">
        <v>14982</v>
      </c>
      <c r="C1289">
        <v>26435</v>
      </c>
      <c r="D1289">
        <v>16021</v>
      </c>
      <c r="E1289">
        <v>7747</v>
      </c>
      <c r="F1289">
        <v>82</v>
      </c>
      <c r="G1289" t="s">
        <v>9</v>
      </c>
      <c r="H1289" t="str" cm="1">
        <f t="array" ref="H1289">_xlfn.IFS(Grammys[[#This Row],[date]] &gt;= DATE(2022,2,1),"Grammys",TRUE,"Grammys TRA")</f>
        <v>Grammys TRA</v>
      </c>
      <c r="I1289">
        <f>_xlfn.XLOOKUP(Grammys[[#This Row],[date]],mobile_visits[date],mobile_visits[mobile_visitors],0)</f>
        <v>0</v>
      </c>
    </row>
    <row r="1290" spans="1:9">
      <c r="A1290" s="1">
        <v>44024</v>
      </c>
      <c r="B1290">
        <v>14076</v>
      </c>
      <c r="C1290">
        <v>25318</v>
      </c>
      <c r="D1290">
        <v>15095</v>
      </c>
      <c r="E1290">
        <v>7216</v>
      </c>
      <c r="F1290">
        <v>86</v>
      </c>
      <c r="G1290" t="s">
        <v>9</v>
      </c>
      <c r="H1290" t="str" cm="1">
        <f t="array" ref="H1290">_xlfn.IFS(Grammys[[#This Row],[date]] &gt;= DATE(2022,2,1),"Grammys",TRUE,"Grammys TRA")</f>
        <v>Grammys TRA</v>
      </c>
      <c r="I1290">
        <f>_xlfn.XLOOKUP(Grammys[[#This Row],[date]],mobile_visits[date],mobile_visits[mobile_visitors],0)</f>
        <v>0</v>
      </c>
    </row>
    <row r="1291" spans="1:9">
      <c r="A1291" s="1">
        <v>44025</v>
      </c>
      <c r="B1291">
        <v>14342</v>
      </c>
      <c r="C1291">
        <v>26365</v>
      </c>
      <c r="D1291">
        <v>15397</v>
      </c>
      <c r="E1291">
        <v>7242</v>
      </c>
      <c r="F1291">
        <v>90</v>
      </c>
      <c r="G1291" t="s">
        <v>9</v>
      </c>
      <c r="H1291" t="str" cm="1">
        <f t="array" ref="H1291">_xlfn.IFS(Grammys[[#This Row],[date]] &gt;= DATE(2022,2,1),"Grammys",TRUE,"Grammys TRA")</f>
        <v>Grammys TRA</v>
      </c>
      <c r="I1291">
        <f>_xlfn.XLOOKUP(Grammys[[#This Row],[date]],mobile_visits[date],mobile_visits[mobile_visitors],0)</f>
        <v>0</v>
      </c>
    </row>
    <row r="1292" spans="1:9">
      <c r="A1292" s="1">
        <v>44026</v>
      </c>
      <c r="B1292">
        <v>14802</v>
      </c>
      <c r="C1292">
        <v>27524</v>
      </c>
      <c r="D1292">
        <v>16145</v>
      </c>
      <c r="E1292">
        <v>7623</v>
      </c>
      <c r="F1292">
        <v>93</v>
      </c>
      <c r="G1292" t="s">
        <v>9</v>
      </c>
      <c r="H1292" t="str" cm="1">
        <f t="array" ref="H1292">_xlfn.IFS(Grammys[[#This Row],[date]] &gt;= DATE(2022,2,1),"Grammys",TRUE,"Grammys TRA")</f>
        <v>Grammys TRA</v>
      </c>
      <c r="I1292">
        <f>_xlfn.XLOOKUP(Grammys[[#This Row],[date]],mobile_visits[date],mobile_visits[mobile_visitors],0)</f>
        <v>0</v>
      </c>
    </row>
    <row r="1293" spans="1:9">
      <c r="A1293" s="1">
        <v>44027</v>
      </c>
      <c r="B1293">
        <v>15204</v>
      </c>
      <c r="C1293">
        <v>28213</v>
      </c>
      <c r="D1293">
        <v>16537</v>
      </c>
      <c r="E1293">
        <v>7856</v>
      </c>
      <c r="F1293">
        <v>93</v>
      </c>
      <c r="G1293" t="s">
        <v>9</v>
      </c>
      <c r="H1293" t="str" cm="1">
        <f t="array" ref="H1293">_xlfn.IFS(Grammys[[#This Row],[date]] &gt;= DATE(2022,2,1),"Grammys",TRUE,"Grammys TRA")</f>
        <v>Grammys TRA</v>
      </c>
      <c r="I1293">
        <f>_xlfn.XLOOKUP(Grammys[[#This Row],[date]],mobile_visits[date],mobile_visits[mobile_visitors],0)</f>
        <v>0</v>
      </c>
    </row>
    <row r="1294" spans="1:9">
      <c r="A1294" s="1">
        <v>44028</v>
      </c>
      <c r="B1294">
        <v>15185</v>
      </c>
      <c r="C1294">
        <v>27360</v>
      </c>
      <c r="D1294">
        <v>16590</v>
      </c>
      <c r="E1294">
        <v>8156</v>
      </c>
      <c r="F1294">
        <v>90</v>
      </c>
      <c r="G1294" t="s">
        <v>9</v>
      </c>
      <c r="H1294" t="str" cm="1">
        <f t="array" ref="H1294">_xlfn.IFS(Grammys[[#This Row],[date]] &gt;= DATE(2022,2,1),"Grammys",TRUE,"Grammys TRA")</f>
        <v>Grammys TRA</v>
      </c>
      <c r="I1294">
        <f>_xlfn.XLOOKUP(Grammys[[#This Row],[date]],mobile_visits[date],mobile_visits[mobile_visitors],0)</f>
        <v>0</v>
      </c>
    </row>
    <row r="1295" spans="1:9">
      <c r="A1295" s="1">
        <v>44029</v>
      </c>
      <c r="B1295">
        <v>18814</v>
      </c>
      <c r="C1295">
        <v>32114</v>
      </c>
      <c r="D1295">
        <v>20145</v>
      </c>
      <c r="E1295">
        <v>9745</v>
      </c>
      <c r="F1295">
        <v>103</v>
      </c>
      <c r="G1295" t="s">
        <v>9</v>
      </c>
      <c r="H1295" t="str" cm="1">
        <f t="array" ref="H1295">_xlfn.IFS(Grammys[[#This Row],[date]] &gt;= DATE(2022,2,1),"Grammys",TRUE,"Grammys TRA")</f>
        <v>Grammys TRA</v>
      </c>
      <c r="I1295">
        <f>_xlfn.XLOOKUP(Grammys[[#This Row],[date]],mobile_visits[date],mobile_visits[mobile_visitors],0)</f>
        <v>0</v>
      </c>
    </row>
    <row r="1296" spans="1:9">
      <c r="A1296" s="1">
        <v>44030</v>
      </c>
      <c r="B1296">
        <v>16224</v>
      </c>
      <c r="C1296">
        <v>27987</v>
      </c>
      <c r="D1296">
        <v>17553</v>
      </c>
      <c r="E1296">
        <v>8319</v>
      </c>
      <c r="F1296">
        <v>97</v>
      </c>
      <c r="G1296" t="s">
        <v>9</v>
      </c>
      <c r="H1296" t="str" cm="1">
        <f t="array" ref="H1296">_xlfn.IFS(Grammys[[#This Row],[date]] &gt;= DATE(2022,2,1),"Grammys",TRUE,"Grammys TRA")</f>
        <v>Grammys TRA</v>
      </c>
      <c r="I1296">
        <f>_xlfn.XLOOKUP(Grammys[[#This Row],[date]],mobile_visits[date],mobile_visits[mobile_visitors],0)</f>
        <v>0</v>
      </c>
    </row>
    <row r="1297" spans="1:9">
      <c r="A1297" s="1">
        <v>44031</v>
      </c>
      <c r="B1297">
        <v>17271</v>
      </c>
      <c r="C1297">
        <v>29618</v>
      </c>
      <c r="D1297">
        <v>18326</v>
      </c>
      <c r="E1297">
        <v>8267</v>
      </c>
      <c r="F1297">
        <v>88</v>
      </c>
      <c r="G1297" t="s">
        <v>9</v>
      </c>
      <c r="H1297" t="str" cm="1">
        <f t="array" ref="H1297">_xlfn.IFS(Grammys[[#This Row],[date]] &gt;= DATE(2022,2,1),"Grammys",TRUE,"Grammys TRA")</f>
        <v>Grammys TRA</v>
      </c>
      <c r="I1297">
        <f>_xlfn.XLOOKUP(Grammys[[#This Row],[date]],mobile_visits[date],mobile_visits[mobile_visitors],0)</f>
        <v>0</v>
      </c>
    </row>
    <row r="1298" spans="1:9">
      <c r="A1298" s="1">
        <v>44032</v>
      </c>
      <c r="B1298">
        <v>15790</v>
      </c>
      <c r="C1298">
        <v>29030</v>
      </c>
      <c r="D1298">
        <v>16990</v>
      </c>
      <c r="E1298">
        <v>7729</v>
      </c>
      <c r="F1298">
        <v>96</v>
      </c>
      <c r="G1298" t="s">
        <v>9</v>
      </c>
      <c r="H1298" t="str" cm="1">
        <f t="array" ref="H1298">_xlfn.IFS(Grammys[[#This Row],[date]] &gt;= DATE(2022,2,1),"Grammys",TRUE,"Grammys TRA")</f>
        <v>Grammys TRA</v>
      </c>
      <c r="I1298">
        <f>_xlfn.XLOOKUP(Grammys[[#This Row],[date]],mobile_visits[date],mobile_visits[mobile_visitors],0)</f>
        <v>0</v>
      </c>
    </row>
    <row r="1299" spans="1:9">
      <c r="A1299" s="1">
        <v>44033</v>
      </c>
      <c r="B1299">
        <v>17879</v>
      </c>
      <c r="C1299">
        <v>31519</v>
      </c>
      <c r="D1299">
        <v>18997</v>
      </c>
      <c r="E1299">
        <v>8143</v>
      </c>
      <c r="F1299">
        <v>104</v>
      </c>
      <c r="G1299" t="s">
        <v>9</v>
      </c>
      <c r="H1299" t="str" cm="1">
        <f t="array" ref="H1299">_xlfn.IFS(Grammys[[#This Row],[date]] &gt;= DATE(2022,2,1),"Grammys",TRUE,"Grammys TRA")</f>
        <v>Grammys TRA</v>
      </c>
      <c r="I1299">
        <f>_xlfn.XLOOKUP(Grammys[[#This Row],[date]],mobile_visits[date],mobile_visits[mobile_visitors],0)</f>
        <v>0</v>
      </c>
    </row>
    <row r="1300" spans="1:9">
      <c r="A1300" s="1">
        <v>44034</v>
      </c>
      <c r="B1300">
        <v>17955</v>
      </c>
      <c r="C1300">
        <v>31411</v>
      </c>
      <c r="D1300">
        <v>19111</v>
      </c>
      <c r="E1300">
        <v>8243</v>
      </c>
      <c r="F1300">
        <v>97</v>
      </c>
      <c r="G1300" t="s">
        <v>9</v>
      </c>
      <c r="H1300" t="str" cm="1">
        <f t="array" ref="H1300">_xlfn.IFS(Grammys[[#This Row],[date]] &gt;= DATE(2022,2,1),"Grammys",TRUE,"Grammys TRA")</f>
        <v>Grammys TRA</v>
      </c>
      <c r="I1300">
        <f>_xlfn.XLOOKUP(Grammys[[#This Row],[date]],mobile_visits[date],mobile_visits[mobile_visitors],0)</f>
        <v>0</v>
      </c>
    </row>
    <row r="1301" spans="1:9">
      <c r="A1301" s="1">
        <v>44035</v>
      </c>
      <c r="B1301">
        <v>22184</v>
      </c>
      <c r="C1301">
        <v>35867</v>
      </c>
      <c r="D1301">
        <v>23298</v>
      </c>
      <c r="E1301">
        <v>9166</v>
      </c>
      <c r="F1301">
        <v>81</v>
      </c>
      <c r="G1301" t="s">
        <v>9</v>
      </c>
      <c r="H1301" t="str" cm="1">
        <f t="array" ref="H1301">_xlfn.IFS(Grammys[[#This Row],[date]] &gt;= DATE(2022,2,1),"Grammys",TRUE,"Grammys TRA")</f>
        <v>Grammys TRA</v>
      </c>
      <c r="I1301">
        <f>_xlfn.XLOOKUP(Grammys[[#This Row],[date]],mobile_visits[date],mobile_visits[mobile_visitors],0)</f>
        <v>0</v>
      </c>
    </row>
    <row r="1302" spans="1:9">
      <c r="A1302" s="1">
        <v>44036</v>
      </c>
      <c r="B1302">
        <v>18907</v>
      </c>
      <c r="C1302">
        <v>32744</v>
      </c>
      <c r="D1302">
        <v>20051</v>
      </c>
      <c r="E1302">
        <v>9224</v>
      </c>
      <c r="F1302">
        <v>83</v>
      </c>
      <c r="G1302" t="s">
        <v>9</v>
      </c>
      <c r="H1302" t="str" cm="1">
        <f t="array" ref="H1302">_xlfn.IFS(Grammys[[#This Row],[date]] &gt;= DATE(2022,2,1),"Grammys",TRUE,"Grammys TRA")</f>
        <v>Grammys TRA</v>
      </c>
      <c r="I1302">
        <f>_xlfn.XLOOKUP(Grammys[[#This Row],[date]],mobile_visits[date],mobile_visits[mobile_visitors],0)</f>
        <v>0</v>
      </c>
    </row>
    <row r="1303" spans="1:9">
      <c r="A1303" s="1">
        <v>44037</v>
      </c>
      <c r="B1303">
        <v>17242</v>
      </c>
      <c r="C1303">
        <v>30466</v>
      </c>
      <c r="D1303">
        <v>18316</v>
      </c>
      <c r="E1303">
        <v>8327</v>
      </c>
      <c r="F1303">
        <v>88</v>
      </c>
      <c r="G1303" t="s">
        <v>9</v>
      </c>
      <c r="H1303" t="str" cm="1">
        <f t="array" ref="H1303">_xlfn.IFS(Grammys[[#This Row],[date]] &gt;= DATE(2022,2,1),"Grammys",TRUE,"Grammys TRA")</f>
        <v>Grammys TRA</v>
      </c>
      <c r="I1303">
        <f>_xlfn.XLOOKUP(Grammys[[#This Row],[date]],mobile_visits[date],mobile_visits[mobile_visitors],0)</f>
        <v>0</v>
      </c>
    </row>
    <row r="1304" spans="1:9">
      <c r="A1304" s="1">
        <v>44038</v>
      </c>
      <c r="B1304">
        <v>16431</v>
      </c>
      <c r="C1304">
        <v>28503</v>
      </c>
      <c r="D1304">
        <v>17479</v>
      </c>
      <c r="E1304">
        <v>8071</v>
      </c>
      <c r="F1304">
        <v>79</v>
      </c>
      <c r="G1304" t="s">
        <v>9</v>
      </c>
      <c r="H1304" t="str" cm="1">
        <f t="array" ref="H1304">_xlfn.IFS(Grammys[[#This Row],[date]] &gt;= DATE(2022,2,1),"Grammys",TRUE,"Grammys TRA")</f>
        <v>Grammys TRA</v>
      </c>
      <c r="I1304">
        <f>_xlfn.XLOOKUP(Grammys[[#This Row],[date]],mobile_visits[date],mobile_visits[mobile_visitors],0)</f>
        <v>0</v>
      </c>
    </row>
    <row r="1305" spans="1:9">
      <c r="A1305" s="1">
        <v>44039</v>
      </c>
      <c r="B1305">
        <v>15994</v>
      </c>
      <c r="C1305">
        <v>29142</v>
      </c>
      <c r="D1305">
        <v>17086</v>
      </c>
      <c r="E1305">
        <v>7747</v>
      </c>
      <c r="F1305">
        <v>90</v>
      </c>
      <c r="G1305" t="s">
        <v>9</v>
      </c>
      <c r="H1305" t="str" cm="1">
        <f t="array" ref="H1305">_xlfn.IFS(Grammys[[#This Row],[date]] &gt;= DATE(2022,2,1),"Grammys",TRUE,"Grammys TRA")</f>
        <v>Grammys TRA</v>
      </c>
      <c r="I1305">
        <f>_xlfn.XLOOKUP(Grammys[[#This Row],[date]],mobile_visits[date],mobile_visits[mobile_visitors],0)</f>
        <v>0</v>
      </c>
    </row>
    <row r="1306" spans="1:9">
      <c r="A1306" s="1">
        <v>44040</v>
      </c>
      <c r="B1306">
        <v>16399</v>
      </c>
      <c r="C1306">
        <v>30388</v>
      </c>
      <c r="D1306">
        <v>17477</v>
      </c>
      <c r="E1306">
        <v>7855</v>
      </c>
      <c r="F1306">
        <v>85</v>
      </c>
      <c r="G1306" t="s">
        <v>9</v>
      </c>
      <c r="H1306" t="str" cm="1">
        <f t="array" ref="H1306">_xlfn.IFS(Grammys[[#This Row],[date]] &gt;= DATE(2022,2,1),"Grammys",TRUE,"Grammys TRA")</f>
        <v>Grammys TRA</v>
      </c>
      <c r="I1306">
        <f>_xlfn.XLOOKUP(Grammys[[#This Row],[date]],mobile_visits[date],mobile_visits[mobile_visitors],0)</f>
        <v>0</v>
      </c>
    </row>
    <row r="1307" spans="1:9">
      <c r="A1307" s="1">
        <v>44041</v>
      </c>
      <c r="B1307">
        <v>18741</v>
      </c>
      <c r="C1307">
        <v>33459</v>
      </c>
      <c r="D1307">
        <v>19872</v>
      </c>
      <c r="E1307">
        <v>8796</v>
      </c>
      <c r="F1307">
        <v>84</v>
      </c>
      <c r="G1307" t="s">
        <v>9</v>
      </c>
      <c r="H1307" t="str" cm="1">
        <f t="array" ref="H1307">_xlfn.IFS(Grammys[[#This Row],[date]] &gt;= DATE(2022,2,1),"Grammys",TRUE,"Grammys TRA")</f>
        <v>Grammys TRA</v>
      </c>
      <c r="I1307">
        <f>_xlfn.XLOOKUP(Grammys[[#This Row],[date]],mobile_visits[date],mobile_visits[mobile_visitors],0)</f>
        <v>0</v>
      </c>
    </row>
    <row r="1308" spans="1:9">
      <c r="A1308" s="1">
        <v>44042</v>
      </c>
      <c r="B1308">
        <v>23396</v>
      </c>
      <c r="C1308">
        <v>39715</v>
      </c>
      <c r="D1308">
        <v>24676</v>
      </c>
      <c r="E1308">
        <v>9432</v>
      </c>
      <c r="F1308">
        <v>71</v>
      </c>
      <c r="G1308" t="s">
        <v>9</v>
      </c>
      <c r="H1308" t="str" cm="1">
        <f t="array" ref="H1308">_xlfn.IFS(Grammys[[#This Row],[date]] &gt;= DATE(2022,2,1),"Grammys",TRUE,"Grammys TRA")</f>
        <v>Grammys TRA</v>
      </c>
      <c r="I1308">
        <f>_xlfn.XLOOKUP(Grammys[[#This Row],[date]],mobile_visits[date],mobile_visits[mobile_visitors],0)</f>
        <v>0</v>
      </c>
    </row>
    <row r="1309" spans="1:9">
      <c r="A1309" s="1">
        <v>44043</v>
      </c>
      <c r="B1309">
        <v>18489</v>
      </c>
      <c r="C1309">
        <v>32087</v>
      </c>
      <c r="D1309">
        <v>19543</v>
      </c>
      <c r="E1309">
        <v>8148</v>
      </c>
      <c r="F1309">
        <v>74</v>
      </c>
      <c r="G1309" t="s">
        <v>9</v>
      </c>
      <c r="H1309" t="str" cm="1">
        <f t="array" ref="H1309">_xlfn.IFS(Grammys[[#This Row],[date]] &gt;= DATE(2022,2,1),"Grammys",TRUE,"Grammys TRA")</f>
        <v>Grammys TRA</v>
      </c>
      <c r="I1309">
        <f>_xlfn.XLOOKUP(Grammys[[#This Row],[date]],mobile_visits[date],mobile_visits[mobile_visitors],0)</f>
        <v>0</v>
      </c>
    </row>
    <row r="1310" spans="1:9">
      <c r="A1310" s="1">
        <v>44044</v>
      </c>
      <c r="B1310">
        <v>16783</v>
      </c>
      <c r="C1310">
        <v>28577</v>
      </c>
      <c r="D1310">
        <v>17593</v>
      </c>
      <c r="E1310">
        <v>7423</v>
      </c>
      <c r="F1310">
        <v>73</v>
      </c>
      <c r="G1310" t="s">
        <v>9</v>
      </c>
      <c r="H1310" t="str" cm="1">
        <f t="array" ref="H1310">_xlfn.IFS(Grammys[[#This Row],[date]] &gt;= DATE(2022,2,1),"Grammys",TRUE,"Grammys TRA")</f>
        <v>Grammys TRA</v>
      </c>
      <c r="I1310">
        <f>_xlfn.XLOOKUP(Grammys[[#This Row],[date]],mobile_visits[date],mobile_visits[mobile_visitors],0)</f>
        <v>0</v>
      </c>
    </row>
    <row r="1311" spans="1:9">
      <c r="A1311" s="1">
        <v>44045</v>
      </c>
      <c r="B1311">
        <v>15668</v>
      </c>
      <c r="C1311">
        <v>27637</v>
      </c>
      <c r="D1311">
        <v>16573</v>
      </c>
      <c r="E1311">
        <v>7352</v>
      </c>
      <c r="F1311">
        <v>76</v>
      </c>
      <c r="G1311" t="s">
        <v>9</v>
      </c>
      <c r="H1311" t="str" cm="1">
        <f t="array" ref="H1311">_xlfn.IFS(Grammys[[#This Row],[date]] &gt;= DATE(2022,2,1),"Grammys",TRUE,"Grammys TRA")</f>
        <v>Grammys TRA</v>
      </c>
      <c r="I1311">
        <f>_xlfn.XLOOKUP(Grammys[[#This Row],[date]],mobile_visits[date],mobile_visits[mobile_visitors],0)</f>
        <v>0</v>
      </c>
    </row>
    <row r="1312" spans="1:9">
      <c r="A1312" s="1">
        <v>44046</v>
      </c>
      <c r="B1312">
        <v>15107</v>
      </c>
      <c r="C1312">
        <v>28168</v>
      </c>
      <c r="D1312">
        <v>16213</v>
      </c>
      <c r="E1312">
        <v>7682</v>
      </c>
      <c r="F1312">
        <v>81</v>
      </c>
      <c r="G1312" t="s">
        <v>9</v>
      </c>
      <c r="H1312" t="str" cm="1">
        <f t="array" ref="H1312">_xlfn.IFS(Grammys[[#This Row],[date]] &gt;= DATE(2022,2,1),"Grammys",TRUE,"Grammys TRA")</f>
        <v>Grammys TRA</v>
      </c>
      <c r="I1312">
        <f>_xlfn.XLOOKUP(Grammys[[#This Row],[date]],mobile_visits[date],mobile_visits[mobile_visitors],0)</f>
        <v>0</v>
      </c>
    </row>
    <row r="1313" spans="1:9">
      <c r="A1313" s="1">
        <v>44047</v>
      </c>
      <c r="B1313">
        <v>15052</v>
      </c>
      <c r="C1313">
        <v>27217</v>
      </c>
      <c r="D1313">
        <v>16151</v>
      </c>
      <c r="E1313">
        <v>7666</v>
      </c>
      <c r="F1313">
        <v>89</v>
      </c>
      <c r="G1313" t="s">
        <v>9</v>
      </c>
      <c r="H1313" t="str" cm="1">
        <f t="array" ref="H1313">_xlfn.IFS(Grammys[[#This Row],[date]] &gt;= DATE(2022,2,1),"Grammys",TRUE,"Grammys TRA")</f>
        <v>Grammys TRA</v>
      </c>
      <c r="I1313">
        <f>_xlfn.XLOOKUP(Grammys[[#This Row],[date]],mobile_visits[date],mobile_visits[mobile_visitors],0)</f>
        <v>0</v>
      </c>
    </row>
    <row r="1314" spans="1:9">
      <c r="A1314" s="1">
        <v>44048</v>
      </c>
      <c r="B1314">
        <v>14392</v>
      </c>
      <c r="C1314">
        <v>26982</v>
      </c>
      <c r="D1314">
        <v>15454</v>
      </c>
      <c r="E1314">
        <v>7414</v>
      </c>
      <c r="F1314">
        <v>95</v>
      </c>
      <c r="G1314" t="s">
        <v>9</v>
      </c>
      <c r="H1314" t="str" cm="1">
        <f t="array" ref="H1314">_xlfn.IFS(Grammys[[#This Row],[date]] &gt;= DATE(2022,2,1),"Grammys",TRUE,"Grammys TRA")</f>
        <v>Grammys TRA</v>
      </c>
      <c r="I1314">
        <f>_xlfn.XLOOKUP(Grammys[[#This Row],[date]],mobile_visits[date],mobile_visits[mobile_visitors],0)</f>
        <v>0</v>
      </c>
    </row>
    <row r="1315" spans="1:9">
      <c r="A1315" s="1">
        <v>44049</v>
      </c>
      <c r="B1315">
        <v>15105</v>
      </c>
      <c r="C1315">
        <v>28705</v>
      </c>
      <c r="D1315">
        <v>16552</v>
      </c>
      <c r="E1315">
        <v>7696</v>
      </c>
      <c r="F1315">
        <v>94</v>
      </c>
      <c r="G1315" t="s">
        <v>9</v>
      </c>
      <c r="H1315" t="str" cm="1">
        <f t="array" ref="H1315">_xlfn.IFS(Grammys[[#This Row],[date]] &gt;= DATE(2022,2,1),"Grammys",TRUE,"Grammys TRA")</f>
        <v>Grammys TRA</v>
      </c>
      <c r="I1315">
        <f>_xlfn.XLOOKUP(Grammys[[#This Row],[date]],mobile_visits[date],mobile_visits[mobile_visitors],0)</f>
        <v>0</v>
      </c>
    </row>
    <row r="1316" spans="1:9">
      <c r="A1316" s="1">
        <v>44050</v>
      </c>
      <c r="B1316">
        <v>15608</v>
      </c>
      <c r="C1316">
        <v>28365</v>
      </c>
      <c r="D1316">
        <v>16562</v>
      </c>
      <c r="E1316">
        <v>7460</v>
      </c>
      <c r="F1316">
        <v>85</v>
      </c>
      <c r="G1316" t="s">
        <v>9</v>
      </c>
      <c r="H1316" t="str" cm="1">
        <f t="array" ref="H1316">_xlfn.IFS(Grammys[[#This Row],[date]] &gt;= DATE(2022,2,1),"Grammys",TRUE,"Grammys TRA")</f>
        <v>Grammys TRA</v>
      </c>
      <c r="I1316">
        <f>_xlfn.XLOOKUP(Grammys[[#This Row],[date]],mobile_visits[date],mobile_visits[mobile_visitors],0)</f>
        <v>0</v>
      </c>
    </row>
    <row r="1317" spans="1:9">
      <c r="A1317" s="1">
        <v>44051</v>
      </c>
      <c r="B1317">
        <v>18067</v>
      </c>
      <c r="C1317">
        <v>31331</v>
      </c>
      <c r="D1317">
        <v>19119</v>
      </c>
      <c r="E1317">
        <v>8656</v>
      </c>
      <c r="F1317">
        <v>76</v>
      </c>
      <c r="G1317" t="s">
        <v>9</v>
      </c>
      <c r="H1317" t="str" cm="1">
        <f t="array" ref="H1317">_xlfn.IFS(Grammys[[#This Row],[date]] &gt;= DATE(2022,2,1),"Grammys",TRUE,"Grammys TRA")</f>
        <v>Grammys TRA</v>
      </c>
      <c r="I1317">
        <f>_xlfn.XLOOKUP(Grammys[[#This Row],[date]],mobile_visits[date],mobile_visits[mobile_visitors],0)</f>
        <v>0</v>
      </c>
    </row>
    <row r="1318" spans="1:9">
      <c r="A1318" s="1">
        <v>44052</v>
      </c>
      <c r="B1318">
        <v>15609</v>
      </c>
      <c r="C1318">
        <v>27194</v>
      </c>
      <c r="D1318">
        <v>16507</v>
      </c>
      <c r="E1318">
        <v>7610</v>
      </c>
      <c r="F1318">
        <v>77</v>
      </c>
      <c r="G1318" t="s">
        <v>9</v>
      </c>
      <c r="H1318" t="str" cm="1">
        <f t="array" ref="H1318">_xlfn.IFS(Grammys[[#This Row],[date]] &gt;= DATE(2022,2,1),"Grammys",TRUE,"Grammys TRA")</f>
        <v>Grammys TRA</v>
      </c>
      <c r="I1318">
        <f>_xlfn.XLOOKUP(Grammys[[#This Row],[date]],mobile_visits[date],mobile_visits[mobile_visitors],0)</f>
        <v>0</v>
      </c>
    </row>
    <row r="1319" spans="1:9">
      <c r="A1319" s="1">
        <v>44053</v>
      </c>
      <c r="B1319">
        <v>15440</v>
      </c>
      <c r="C1319">
        <v>27626</v>
      </c>
      <c r="D1319">
        <v>16267</v>
      </c>
      <c r="E1319">
        <v>7480</v>
      </c>
      <c r="F1319">
        <v>83</v>
      </c>
      <c r="G1319" t="s">
        <v>9</v>
      </c>
      <c r="H1319" t="str" cm="1">
        <f t="array" ref="H1319">_xlfn.IFS(Grammys[[#This Row],[date]] &gt;= DATE(2022,2,1),"Grammys",TRUE,"Grammys TRA")</f>
        <v>Grammys TRA</v>
      </c>
      <c r="I1319">
        <f>_xlfn.XLOOKUP(Grammys[[#This Row],[date]],mobile_visits[date],mobile_visits[mobile_visitors],0)</f>
        <v>0</v>
      </c>
    </row>
    <row r="1320" spans="1:9">
      <c r="A1320" s="1">
        <v>44054</v>
      </c>
      <c r="B1320">
        <v>15179</v>
      </c>
      <c r="C1320">
        <v>28015</v>
      </c>
      <c r="D1320">
        <v>16243</v>
      </c>
      <c r="E1320">
        <v>7591</v>
      </c>
      <c r="F1320">
        <v>91</v>
      </c>
      <c r="G1320" t="s">
        <v>9</v>
      </c>
      <c r="H1320" t="str" cm="1">
        <f t="array" ref="H1320">_xlfn.IFS(Grammys[[#This Row],[date]] &gt;= DATE(2022,2,1),"Grammys",TRUE,"Grammys TRA")</f>
        <v>Grammys TRA</v>
      </c>
      <c r="I1320">
        <f>_xlfn.XLOOKUP(Grammys[[#This Row],[date]],mobile_visits[date],mobile_visits[mobile_visitors],0)</f>
        <v>0</v>
      </c>
    </row>
    <row r="1321" spans="1:9">
      <c r="A1321" s="1">
        <v>44055</v>
      </c>
      <c r="B1321">
        <v>15505</v>
      </c>
      <c r="C1321">
        <v>28978</v>
      </c>
      <c r="D1321">
        <v>16659</v>
      </c>
      <c r="E1321">
        <v>8012</v>
      </c>
      <c r="F1321">
        <v>89</v>
      </c>
      <c r="G1321" t="s">
        <v>9</v>
      </c>
      <c r="H1321" t="str" cm="1">
        <f t="array" ref="H1321">_xlfn.IFS(Grammys[[#This Row],[date]] &gt;= DATE(2022,2,1),"Grammys",TRUE,"Grammys TRA")</f>
        <v>Grammys TRA</v>
      </c>
      <c r="I1321">
        <f>_xlfn.XLOOKUP(Grammys[[#This Row],[date]],mobile_visits[date],mobile_visits[mobile_visitors],0)</f>
        <v>0</v>
      </c>
    </row>
    <row r="1322" spans="1:9">
      <c r="A1322" s="1">
        <v>44056</v>
      </c>
      <c r="B1322">
        <v>18518</v>
      </c>
      <c r="C1322">
        <v>34109</v>
      </c>
      <c r="D1322">
        <v>19966</v>
      </c>
      <c r="E1322">
        <v>8991</v>
      </c>
      <c r="F1322">
        <v>91</v>
      </c>
      <c r="G1322" t="s">
        <v>9</v>
      </c>
      <c r="H1322" t="str" cm="1">
        <f t="array" ref="H1322">_xlfn.IFS(Grammys[[#This Row],[date]] &gt;= DATE(2022,2,1),"Grammys",TRUE,"Grammys TRA")</f>
        <v>Grammys TRA</v>
      </c>
      <c r="I1322">
        <f>_xlfn.XLOOKUP(Grammys[[#This Row],[date]],mobile_visits[date],mobile_visits[mobile_visitors],0)</f>
        <v>0</v>
      </c>
    </row>
    <row r="1323" spans="1:9">
      <c r="A1323" s="1">
        <v>44057</v>
      </c>
      <c r="B1323">
        <v>17607</v>
      </c>
      <c r="C1323">
        <v>31522</v>
      </c>
      <c r="D1323">
        <v>18648</v>
      </c>
      <c r="E1323">
        <v>8549</v>
      </c>
      <c r="F1323">
        <v>84</v>
      </c>
      <c r="G1323" t="s">
        <v>9</v>
      </c>
      <c r="H1323" t="str" cm="1">
        <f t="array" ref="H1323">_xlfn.IFS(Grammys[[#This Row],[date]] &gt;= DATE(2022,2,1),"Grammys",TRUE,"Grammys TRA")</f>
        <v>Grammys TRA</v>
      </c>
      <c r="I1323">
        <f>_xlfn.XLOOKUP(Grammys[[#This Row],[date]],mobile_visits[date],mobile_visits[mobile_visitors],0)</f>
        <v>0</v>
      </c>
    </row>
    <row r="1324" spans="1:9">
      <c r="A1324" s="1">
        <v>44058</v>
      </c>
      <c r="B1324">
        <v>15198</v>
      </c>
      <c r="C1324">
        <v>26650</v>
      </c>
      <c r="D1324">
        <v>16221</v>
      </c>
      <c r="E1324">
        <v>7566</v>
      </c>
      <c r="F1324">
        <v>87</v>
      </c>
      <c r="G1324" t="s">
        <v>9</v>
      </c>
      <c r="H1324" t="str" cm="1">
        <f t="array" ref="H1324">_xlfn.IFS(Grammys[[#This Row],[date]] &gt;= DATE(2022,2,1),"Grammys",TRUE,"Grammys TRA")</f>
        <v>Grammys TRA</v>
      </c>
      <c r="I1324">
        <f>_xlfn.XLOOKUP(Grammys[[#This Row],[date]],mobile_visits[date],mobile_visits[mobile_visitors],0)</f>
        <v>0</v>
      </c>
    </row>
    <row r="1325" spans="1:9">
      <c r="A1325" s="1">
        <v>44059</v>
      </c>
      <c r="B1325">
        <v>18845</v>
      </c>
      <c r="C1325">
        <v>32584</v>
      </c>
      <c r="D1325">
        <v>19945</v>
      </c>
      <c r="E1325">
        <v>8830</v>
      </c>
      <c r="F1325">
        <v>82</v>
      </c>
      <c r="G1325" t="s">
        <v>9</v>
      </c>
      <c r="H1325" t="str" cm="1">
        <f t="array" ref="H1325">_xlfn.IFS(Grammys[[#This Row],[date]] &gt;= DATE(2022,2,1),"Grammys",TRUE,"Grammys TRA")</f>
        <v>Grammys TRA</v>
      </c>
      <c r="I1325">
        <f>_xlfn.XLOOKUP(Grammys[[#This Row],[date]],mobile_visits[date],mobile_visits[mobile_visitors],0)</f>
        <v>0</v>
      </c>
    </row>
    <row r="1326" spans="1:9">
      <c r="A1326" s="1">
        <v>44060</v>
      </c>
      <c r="B1326">
        <v>20149</v>
      </c>
      <c r="C1326">
        <v>34144</v>
      </c>
      <c r="D1326">
        <v>21464</v>
      </c>
      <c r="E1326">
        <v>10091</v>
      </c>
      <c r="F1326">
        <v>108</v>
      </c>
      <c r="G1326" t="s">
        <v>9</v>
      </c>
      <c r="H1326" t="str" cm="1">
        <f t="array" ref="H1326">_xlfn.IFS(Grammys[[#This Row],[date]] &gt;= DATE(2022,2,1),"Grammys",TRUE,"Grammys TRA")</f>
        <v>Grammys TRA</v>
      </c>
      <c r="I1326">
        <f>_xlfn.XLOOKUP(Grammys[[#This Row],[date]],mobile_visits[date],mobile_visits[mobile_visitors],0)</f>
        <v>0</v>
      </c>
    </row>
    <row r="1327" spans="1:9">
      <c r="A1327" s="1">
        <v>44061</v>
      </c>
      <c r="B1327">
        <v>16633</v>
      </c>
      <c r="C1327">
        <v>29941</v>
      </c>
      <c r="D1327">
        <v>17981</v>
      </c>
      <c r="E1327">
        <v>8407</v>
      </c>
      <c r="F1327">
        <v>100</v>
      </c>
      <c r="G1327" t="s">
        <v>9</v>
      </c>
      <c r="H1327" t="str" cm="1">
        <f t="array" ref="H1327">_xlfn.IFS(Grammys[[#This Row],[date]] &gt;= DATE(2022,2,1),"Grammys",TRUE,"Grammys TRA")</f>
        <v>Grammys TRA</v>
      </c>
      <c r="I1327">
        <f>_xlfn.XLOOKUP(Grammys[[#This Row],[date]],mobile_visits[date],mobile_visits[mobile_visitors],0)</f>
        <v>0</v>
      </c>
    </row>
    <row r="1328" spans="1:9">
      <c r="A1328" s="1">
        <v>44062</v>
      </c>
      <c r="B1328">
        <v>17390</v>
      </c>
      <c r="C1328">
        <v>30874</v>
      </c>
      <c r="D1328">
        <v>18507</v>
      </c>
      <c r="E1328">
        <v>8416</v>
      </c>
      <c r="F1328">
        <v>96</v>
      </c>
      <c r="G1328" t="s">
        <v>9</v>
      </c>
      <c r="H1328" t="str" cm="1">
        <f t="array" ref="H1328">_xlfn.IFS(Grammys[[#This Row],[date]] &gt;= DATE(2022,2,1),"Grammys",TRUE,"Grammys TRA")</f>
        <v>Grammys TRA</v>
      </c>
      <c r="I1328">
        <f>_xlfn.XLOOKUP(Grammys[[#This Row],[date]],mobile_visits[date],mobile_visits[mobile_visitors],0)</f>
        <v>0</v>
      </c>
    </row>
    <row r="1329" spans="1:9">
      <c r="A1329" s="1">
        <v>44063</v>
      </c>
      <c r="B1329">
        <v>23890</v>
      </c>
      <c r="C1329">
        <v>40386</v>
      </c>
      <c r="D1329">
        <v>25341</v>
      </c>
      <c r="E1329">
        <v>11052</v>
      </c>
      <c r="F1329">
        <v>106</v>
      </c>
      <c r="G1329" t="s">
        <v>9</v>
      </c>
      <c r="H1329" t="str" cm="1">
        <f t="array" ref="H1329">_xlfn.IFS(Grammys[[#This Row],[date]] &gt;= DATE(2022,2,1),"Grammys",TRUE,"Grammys TRA")</f>
        <v>Grammys TRA</v>
      </c>
      <c r="I1329">
        <f>_xlfn.XLOOKUP(Grammys[[#This Row],[date]],mobile_visits[date],mobile_visits[mobile_visitors],0)</f>
        <v>0</v>
      </c>
    </row>
    <row r="1330" spans="1:9">
      <c r="A1330" s="1">
        <v>44064</v>
      </c>
      <c r="B1330">
        <v>63836</v>
      </c>
      <c r="C1330">
        <v>99296</v>
      </c>
      <c r="D1330">
        <v>68023</v>
      </c>
      <c r="E1330">
        <v>22537</v>
      </c>
      <c r="F1330">
        <v>118</v>
      </c>
      <c r="G1330" t="s">
        <v>9</v>
      </c>
      <c r="H1330" t="str" cm="1">
        <f t="array" ref="H1330">_xlfn.IFS(Grammys[[#This Row],[date]] &gt;= DATE(2022,2,1),"Grammys",TRUE,"Grammys TRA")</f>
        <v>Grammys TRA</v>
      </c>
      <c r="I1330">
        <f>_xlfn.XLOOKUP(Grammys[[#This Row],[date]],mobile_visits[date],mobile_visits[mobile_visitors],0)</f>
        <v>0</v>
      </c>
    </row>
    <row r="1331" spans="1:9">
      <c r="A1331" s="1">
        <v>44065</v>
      </c>
      <c r="B1331">
        <v>31064</v>
      </c>
      <c r="C1331">
        <v>54059</v>
      </c>
      <c r="D1331">
        <v>32496</v>
      </c>
      <c r="E1331">
        <v>13005</v>
      </c>
      <c r="F1331">
        <v>99</v>
      </c>
      <c r="G1331" t="s">
        <v>9</v>
      </c>
      <c r="H1331" t="str" cm="1">
        <f t="array" ref="H1331">_xlfn.IFS(Grammys[[#This Row],[date]] &gt;= DATE(2022,2,1),"Grammys",TRUE,"Grammys TRA")</f>
        <v>Grammys TRA</v>
      </c>
      <c r="I1331">
        <f>_xlfn.XLOOKUP(Grammys[[#This Row],[date]],mobile_visits[date],mobile_visits[mobile_visitors],0)</f>
        <v>0</v>
      </c>
    </row>
    <row r="1332" spans="1:9">
      <c r="A1332" s="1">
        <v>44066</v>
      </c>
      <c r="B1332">
        <v>24374</v>
      </c>
      <c r="C1332">
        <v>47142</v>
      </c>
      <c r="D1332">
        <v>25923</v>
      </c>
      <c r="E1332">
        <v>10720</v>
      </c>
      <c r="F1332">
        <v>85</v>
      </c>
      <c r="G1332" t="s">
        <v>9</v>
      </c>
      <c r="H1332" t="str" cm="1">
        <f t="array" ref="H1332">_xlfn.IFS(Grammys[[#This Row],[date]] &gt;= DATE(2022,2,1),"Grammys",TRUE,"Grammys TRA")</f>
        <v>Grammys TRA</v>
      </c>
      <c r="I1332">
        <f>_xlfn.XLOOKUP(Grammys[[#This Row],[date]],mobile_visits[date],mobile_visits[mobile_visitors],0)</f>
        <v>0</v>
      </c>
    </row>
    <row r="1333" spans="1:9">
      <c r="A1333" s="1">
        <v>44067</v>
      </c>
      <c r="B1333">
        <v>19051</v>
      </c>
      <c r="C1333">
        <v>36209</v>
      </c>
      <c r="D1333">
        <v>20382</v>
      </c>
      <c r="E1333">
        <v>8789</v>
      </c>
      <c r="F1333">
        <v>82</v>
      </c>
      <c r="G1333" t="s">
        <v>9</v>
      </c>
      <c r="H1333" t="str" cm="1">
        <f t="array" ref="H1333">_xlfn.IFS(Grammys[[#This Row],[date]] &gt;= DATE(2022,2,1),"Grammys",TRUE,"Grammys TRA")</f>
        <v>Grammys TRA</v>
      </c>
      <c r="I1333">
        <f>_xlfn.XLOOKUP(Grammys[[#This Row],[date]],mobile_visits[date],mobile_visits[mobile_visitors],0)</f>
        <v>0</v>
      </c>
    </row>
    <row r="1334" spans="1:9">
      <c r="A1334" s="1">
        <v>44068</v>
      </c>
      <c r="B1334">
        <v>17617</v>
      </c>
      <c r="C1334">
        <v>32245</v>
      </c>
      <c r="D1334">
        <v>18817</v>
      </c>
      <c r="E1334">
        <v>8303</v>
      </c>
      <c r="F1334">
        <v>90</v>
      </c>
      <c r="G1334" t="s">
        <v>9</v>
      </c>
      <c r="H1334" t="str" cm="1">
        <f t="array" ref="H1334">_xlfn.IFS(Grammys[[#This Row],[date]] &gt;= DATE(2022,2,1),"Grammys",TRUE,"Grammys TRA")</f>
        <v>Grammys TRA</v>
      </c>
      <c r="I1334">
        <f>_xlfn.XLOOKUP(Grammys[[#This Row],[date]],mobile_visits[date],mobile_visits[mobile_visitors],0)</f>
        <v>0</v>
      </c>
    </row>
    <row r="1335" spans="1:9">
      <c r="A1335" s="1">
        <v>44069</v>
      </c>
      <c r="B1335">
        <v>16292</v>
      </c>
      <c r="C1335">
        <v>29901</v>
      </c>
      <c r="D1335">
        <v>17442</v>
      </c>
      <c r="E1335">
        <v>8001</v>
      </c>
      <c r="F1335">
        <v>82</v>
      </c>
      <c r="G1335" t="s">
        <v>9</v>
      </c>
      <c r="H1335" t="str" cm="1">
        <f t="array" ref="H1335">_xlfn.IFS(Grammys[[#This Row],[date]] &gt;= DATE(2022,2,1),"Grammys",TRUE,"Grammys TRA")</f>
        <v>Grammys TRA</v>
      </c>
      <c r="I1335">
        <f>_xlfn.XLOOKUP(Grammys[[#This Row],[date]],mobile_visits[date],mobile_visits[mobile_visitors],0)</f>
        <v>0</v>
      </c>
    </row>
    <row r="1336" spans="1:9">
      <c r="A1336" s="1">
        <v>44070</v>
      </c>
      <c r="B1336">
        <v>15185</v>
      </c>
      <c r="C1336">
        <v>28378</v>
      </c>
      <c r="D1336">
        <v>16268</v>
      </c>
      <c r="E1336">
        <v>7609</v>
      </c>
      <c r="F1336">
        <v>80</v>
      </c>
      <c r="G1336" t="s">
        <v>9</v>
      </c>
      <c r="H1336" t="str" cm="1">
        <f t="array" ref="H1336">_xlfn.IFS(Grammys[[#This Row],[date]] &gt;= DATE(2022,2,1),"Grammys",TRUE,"Grammys TRA")</f>
        <v>Grammys TRA</v>
      </c>
      <c r="I1336">
        <f>_xlfn.XLOOKUP(Grammys[[#This Row],[date]],mobile_visits[date],mobile_visits[mobile_visitors],0)</f>
        <v>0</v>
      </c>
    </row>
    <row r="1337" spans="1:9">
      <c r="A1337" s="1">
        <v>44071</v>
      </c>
      <c r="B1337">
        <v>15579</v>
      </c>
      <c r="C1337">
        <v>28805</v>
      </c>
      <c r="D1337">
        <v>16751</v>
      </c>
      <c r="E1337">
        <v>7599</v>
      </c>
      <c r="F1337">
        <v>84</v>
      </c>
      <c r="G1337" t="s">
        <v>9</v>
      </c>
      <c r="H1337" t="str" cm="1">
        <f t="array" ref="H1337">_xlfn.IFS(Grammys[[#This Row],[date]] &gt;= DATE(2022,2,1),"Grammys",TRUE,"Grammys TRA")</f>
        <v>Grammys TRA</v>
      </c>
      <c r="I1337">
        <f>_xlfn.XLOOKUP(Grammys[[#This Row],[date]],mobile_visits[date],mobile_visits[mobile_visitors],0)</f>
        <v>0</v>
      </c>
    </row>
    <row r="1338" spans="1:9">
      <c r="A1338" s="1">
        <v>44072</v>
      </c>
      <c r="B1338">
        <v>17340</v>
      </c>
      <c r="C1338">
        <v>29594</v>
      </c>
      <c r="D1338">
        <v>18249</v>
      </c>
      <c r="E1338">
        <v>8570</v>
      </c>
      <c r="F1338">
        <v>78</v>
      </c>
      <c r="G1338" t="s">
        <v>9</v>
      </c>
      <c r="H1338" t="str" cm="1">
        <f t="array" ref="H1338">_xlfn.IFS(Grammys[[#This Row],[date]] &gt;= DATE(2022,2,1),"Grammys",TRUE,"Grammys TRA")</f>
        <v>Grammys TRA</v>
      </c>
      <c r="I1338">
        <f>_xlfn.XLOOKUP(Grammys[[#This Row],[date]],mobile_visits[date],mobile_visits[mobile_visitors],0)</f>
        <v>0</v>
      </c>
    </row>
    <row r="1339" spans="1:9">
      <c r="A1339" s="1">
        <v>44073</v>
      </c>
      <c r="B1339">
        <v>26580</v>
      </c>
      <c r="C1339">
        <v>43533</v>
      </c>
      <c r="D1339">
        <v>27777</v>
      </c>
      <c r="E1339">
        <v>13342</v>
      </c>
      <c r="F1339">
        <v>77</v>
      </c>
      <c r="G1339" t="s">
        <v>9</v>
      </c>
      <c r="H1339" t="str" cm="1">
        <f t="array" ref="H1339">_xlfn.IFS(Grammys[[#This Row],[date]] &gt;= DATE(2022,2,1),"Grammys",TRUE,"Grammys TRA")</f>
        <v>Grammys TRA</v>
      </c>
      <c r="I1339">
        <f>_xlfn.XLOOKUP(Grammys[[#This Row],[date]],mobile_visits[date],mobile_visits[mobile_visitors],0)</f>
        <v>0</v>
      </c>
    </row>
    <row r="1340" spans="1:9">
      <c r="A1340" s="1">
        <v>44074</v>
      </c>
      <c r="B1340">
        <v>28489</v>
      </c>
      <c r="C1340">
        <v>49997</v>
      </c>
      <c r="D1340">
        <v>29939</v>
      </c>
      <c r="E1340">
        <v>12940</v>
      </c>
      <c r="F1340">
        <v>79</v>
      </c>
      <c r="G1340" t="s">
        <v>9</v>
      </c>
      <c r="H1340" t="str" cm="1">
        <f t="array" ref="H1340">_xlfn.IFS(Grammys[[#This Row],[date]] &gt;= DATE(2022,2,1),"Grammys",TRUE,"Grammys TRA")</f>
        <v>Grammys TRA</v>
      </c>
      <c r="I1340">
        <f>_xlfn.XLOOKUP(Grammys[[#This Row],[date]],mobile_visits[date],mobile_visits[mobile_visitors],0)</f>
        <v>0</v>
      </c>
    </row>
    <row r="1341" spans="1:9">
      <c r="A1341" s="1">
        <v>44075</v>
      </c>
      <c r="B1341">
        <v>24444</v>
      </c>
      <c r="C1341">
        <v>44794</v>
      </c>
      <c r="D1341">
        <v>26226</v>
      </c>
      <c r="E1341">
        <v>12022</v>
      </c>
      <c r="F1341">
        <v>86</v>
      </c>
      <c r="G1341" t="s">
        <v>9</v>
      </c>
      <c r="H1341" t="str" cm="1">
        <f t="array" ref="H1341">_xlfn.IFS(Grammys[[#This Row],[date]] &gt;= DATE(2022,2,1),"Grammys",TRUE,"Grammys TRA")</f>
        <v>Grammys TRA</v>
      </c>
      <c r="I1341">
        <f>_xlfn.XLOOKUP(Grammys[[#This Row],[date]],mobile_visits[date],mobile_visits[mobile_visitors],0)</f>
        <v>0</v>
      </c>
    </row>
    <row r="1342" spans="1:9">
      <c r="A1342" s="1">
        <v>44076</v>
      </c>
      <c r="B1342">
        <v>25389</v>
      </c>
      <c r="C1342">
        <v>47134</v>
      </c>
      <c r="D1342">
        <v>27168</v>
      </c>
      <c r="E1342">
        <v>12101</v>
      </c>
      <c r="F1342">
        <v>83</v>
      </c>
      <c r="G1342" t="s">
        <v>9</v>
      </c>
      <c r="H1342" t="str" cm="1">
        <f t="array" ref="H1342">_xlfn.IFS(Grammys[[#This Row],[date]] &gt;= DATE(2022,2,1),"Grammys",TRUE,"Grammys TRA")</f>
        <v>Grammys TRA</v>
      </c>
      <c r="I1342">
        <f>_xlfn.XLOOKUP(Grammys[[#This Row],[date]],mobile_visits[date],mobile_visits[mobile_visitors],0)</f>
        <v>0</v>
      </c>
    </row>
    <row r="1343" spans="1:9">
      <c r="A1343" s="1">
        <v>44077</v>
      </c>
      <c r="B1343">
        <v>25754</v>
      </c>
      <c r="C1343">
        <v>48723</v>
      </c>
      <c r="D1343">
        <v>27196</v>
      </c>
      <c r="E1343">
        <v>11619</v>
      </c>
      <c r="F1343">
        <v>85</v>
      </c>
      <c r="G1343" t="s">
        <v>9</v>
      </c>
      <c r="H1343" t="str" cm="1">
        <f t="array" ref="H1343">_xlfn.IFS(Grammys[[#This Row],[date]] &gt;= DATE(2022,2,1),"Grammys",TRUE,"Grammys TRA")</f>
        <v>Grammys TRA</v>
      </c>
      <c r="I1343">
        <f>_xlfn.XLOOKUP(Grammys[[#This Row],[date]],mobile_visits[date],mobile_visits[mobile_visitors],0)</f>
        <v>0</v>
      </c>
    </row>
    <row r="1344" spans="1:9">
      <c r="A1344" s="1">
        <v>44078</v>
      </c>
      <c r="B1344">
        <v>24490</v>
      </c>
      <c r="C1344">
        <v>44844</v>
      </c>
      <c r="D1344">
        <v>25848</v>
      </c>
      <c r="E1344">
        <v>11156</v>
      </c>
      <c r="F1344">
        <v>80</v>
      </c>
      <c r="G1344" t="s">
        <v>9</v>
      </c>
      <c r="H1344" t="str" cm="1">
        <f t="array" ref="H1344">_xlfn.IFS(Grammys[[#This Row],[date]] &gt;= DATE(2022,2,1),"Grammys",TRUE,"Grammys TRA")</f>
        <v>Grammys TRA</v>
      </c>
      <c r="I1344">
        <f>_xlfn.XLOOKUP(Grammys[[#This Row],[date]],mobile_visits[date],mobile_visits[mobile_visitors],0)</f>
        <v>0</v>
      </c>
    </row>
    <row r="1345" spans="1:9">
      <c r="A1345" s="1">
        <v>44079</v>
      </c>
      <c r="B1345">
        <v>20222</v>
      </c>
      <c r="C1345">
        <v>35989</v>
      </c>
      <c r="D1345">
        <v>21380</v>
      </c>
      <c r="E1345">
        <v>9530</v>
      </c>
      <c r="F1345">
        <v>81</v>
      </c>
      <c r="G1345" t="s">
        <v>9</v>
      </c>
      <c r="H1345" t="str" cm="1">
        <f t="array" ref="H1345">_xlfn.IFS(Grammys[[#This Row],[date]] &gt;= DATE(2022,2,1),"Grammys",TRUE,"Grammys TRA")</f>
        <v>Grammys TRA</v>
      </c>
      <c r="I1345">
        <f>_xlfn.XLOOKUP(Grammys[[#This Row],[date]],mobile_visits[date],mobile_visits[mobile_visitors],0)</f>
        <v>0</v>
      </c>
    </row>
    <row r="1346" spans="1:9">
      <c r="A1346" s="1">
        <v>44080</v>
      </c>
      <c r="B1346">
        <v>20543</v>
      </c>
      <c r="C1346">
        <v>34324</v>
      </c>
      <c r="D1346">
        <v>21443</v>
      </c>
      <c r="E1346">
        <v>9755</v>
      </c>
      <c r="F1346">
        <v>90</v>
      </c>
      <c r="G1346" t="s">
        <v>9</v>
      </c>
      <c r="H1346" t="str" cm="1">
        <f t="array" ref="H1346">_xlfn.IFS(Grammys[[#This Row],[date]] &gt;= DATE(2022,2,1),"Grammys",TRUE,"Grammys TRA")</f>
        <v>Grammys TRA</v>
      </c>
      <c r="I1346">
        <f>_xlfn.XLOOKUP(Grammys[[#This Row],[date]],mobile_visits[date],mobile_visits[mobile_visitors],0)</f>
        <v>0</v>
      </c>
    </row>
    <row r="1347" spans="1:9">
      <c r="A1347" s="1">
        <v>44081</v>
      </c>
      <c r="B1347">
        <v>18803</v>
      </c>
      <c r="C1347">
        <v>32470</v>
      </c>
      <c r="D1347">
        <v>19678</v>
      </c>
      <c r="E1347">
        <v>8551</v>
      </c>
      <c r="F1347">
        <v>95</v>
      </c>
      <c r="G1347" t="s">
        <v>9</v>
      </c>
      <c r="H1347" t="str" cm="1">
        <f t="array" ref="H1347">_xlfn.IFS(Grammys[[#This Row],[date]] &gt;= DATE(2022,2,1),"Grammys",TRUE,"Grammys TRA")</f>
        <v>Grammys TRA</v>
      </c>
      <c r="I1347">
        <f>_xlfn.XLOOKUP(Grammys[[#This Row],[date]],mobile_visits[date],mobile_visits[mobile_visitors],0)</f>
        <v>0</v>
      </c>
    </row>
    <row r="1348" spans="1:9">
      <c r="A1348" s="1">
        <v>44082</v>
      </c>
      <c r="B1348">
        <v>16430</v>
      </c>
      <c r="C1348">
        <v>30171</v>
      </c>
      <c r="D1348">
        <v>17492</v>
      </c>
      <c r="E1348">
        <v>8148</v>
      </c>
      <c r="F1348">
        <v>85</v>
      </c>
      <c r="G1348" t="s">
        <v>9</v>
      </c>
      <c r="H1348" t="str" cm="1">
        <f t="array" ref="H1348">_xlfn.IFS(Grammys[[#This Row],[date]] &gt;= DATE(2022,2,1),"Grammys",TRUE,"Grammys TRA")</f>
        <v>Grammys TRA</v>
      </c>
      <c r="I1348">
        <f>_xlfn.XLOOKUP(Grammys[[#This Row],[date]],mobile_visits[date],mobile_visits[mobile_visitors],0)</f>
        <v>0</v>
      </c>
    </row>
    <row r="1349" spans="1:9">
      <c r="A1349" s="1">
        <v>44083</v>
      </c>
      <c r="B1349">
        <v>24942</v>
      </c>
      <c r="C1349">
        <v>41787</v>
      </c>
      <c r="D1349">
        <v>25973</v>
      </c>
      <c r="E1349">
        <v>10268</v>
      </c>
      <c r="F1349">
        <v>88</v>
      </c>
      <c r="G1349" t="s">
        <v>9</v>
      </c>
      <c r="H1349" t="str" cm="1">
        <f t="array" ref="H1349">_xlfn.IFS(Grammys[[#This Row],[date]] &gt;= DATE(2022,2,1),"Grammys",TRUE,"Grammys TRA")</f>
        <v>Grammys TRA</v>
      </c>
      <c r="I1349">
        <f>_xlfn.XLOOKUP(Grammys[[#This Row],[date]],mobile_visits[date],mobile_visits[mobile_visitors],0)</f>
        <v>0</v>
      </c>
    </row>
    <row r="1350" spans="1:9">
      <c r="A1350" s="1">
        <v>44084</v>
      </c>
      <c r="B1350">
        <v>24601</v>
      </c>
      <c r="C1350">
        <v>42931</v>
      </c>
      <c r="D1350">
        <v>26156</v>
      </c>
      <c r="E1350">
        <v>11462</v>
      </c>
      <c r="F1350">
        <v>88</v>
      </c>
      <c r="G1350" t="s">
        <v>9</v>
      </c>
      <c r="H1350" t="str" cm="1">
        <f t="array" ref="H1350">_xlfn.IFS(Grammys[[#This Row],[date]] &gt;= DATE(2022,2,1),"Grammys",TRUE,"Grammys TRA")</f>
        <v>Grammys TRA</v>
      </c>
      <c r="I1350">
        <f>_xlfn.XLOOKUP(Grammys[[#This Row],[date]],mobile_visits[date],mobile_visits[mobile_visitors],0)</f>
        <v>0</v>
      </c>
    </row>
    <row r="1351" spans="1:9">
      <c r="A1351" s="1">
        <v>44085</v>
      </c>
      <c r="B1351">
        <v>19487</v>
      </c>
      <c r="C1351">
        <v>35094</v>
      </c>
      <c r="D1351">
        <v>20521</v>
      </c>
      <c r="E1351">
        <v>8385</v>
      </c>
      <c r="F1351">
        <v>83</v>
      </c>
      <c r="G1351" t="s">
        <v>9</v>
      </c>
      <c r="H1351" t="str" cm="1">
        <f t="array" ref="H1351">_xlfn.IFS(Grammys[[#This Row],[date]] &gt;= DATE(2022,2,1),"Grammys",TRUE,"Grammys TRA")</f>
        <v>Grammys TRA</v>
      </c>
      <c r="I1351">
        <f>_xlfn.XLOOKUP(Grammys[[#This Row],[date]],mobile_visits[date],mobile_visits[mobile_visitors],0)</f>
        <v>0</v>
      </c>
    </row>
    <row r="1352" spans="1:9">
      <c r="A1352" s="1">
        <v>44086</v>
      </c>
      <c r="B1352">
        <v>17581</v>
      </c>
      <c r="C1352">
        <v>30172</v>
      </c>
      <c r="D1352">
        <v>18700</v>
      </c>
      <c r="E1352">
        <v>7927</v>
      </c>
      <c r="F1352">
        <v>72</v>
      </c>
      <c r="G1352" t="s">
        <v>9</v>
      </c>
      <c r="H1352" t="str" cm="1">
        <f t="array" ref="H1352">_xlfn.IFS(Grammys[[#This Row],[date]] &gt;= DATE(2022,2,1),"Grammys",TRUE,"Grammys TRA")</f>
        <v>Grammys TRA</v>
      </c>
      <c r="I1352">
        <f>_xlfn.XLOOKUP(Grammys[[#This Row],[date]],mobile_visits[date],mobile_visits[mobile_visitors],0)</f>
        <v>0</v>
      </c>
    </row>
    <row r="1353" spans="1:9">
      <c r="A1353" s="1">
        <v>44087</v>
      </c>
      <c r="B1353">
        <v>16829</v>
      </c>
      <c r="C1353">
        <v>30457</v>
      </c>
      <c r="D1353">
        <v>17905</v>
      </c>
      <c r="E1353">
        <v>7891</v>
      </c>
      <c r="F1353">
        <v>79</v>
      </c>
      <c r="G1353" t="s">
        <v>9</v>
      </c>
      <c r="H1353" t="str" cm="1">
        <f t="array" ref="H1353">_xlfn.IFS(Grammys[[#This Row],[date]] &gt;= DATE(2022,2,1),"Grammys",TRUE,"Grammys TRA")</f>
        <v>Grammys TRA</v>
      </c>
      <c r="I1353">
        <f>_xlfn.XLOOKUP(Grammys[[#This Row],[date]],mobile_visits[date],mobile_visits[mobile_visitors],0)</f>
        <v>0</v>
      </c>
    </row>
    <row r="1354" spans="1:9">
      <c r="A1354" s="1">
        <v>44088</v>
      </c>
      <c r="B1354">
        <v>17142</v>
      </c>
      <c r="C1354">
        <v>32163</v>
      </c>
      <c r="D1354">
        <v>18301</v>
      </c>
      <c r="E1354">
        <v>8172</v>
      </c>
      <c r="F1354">
        <v>93</v>
      </c>
      <c r="G1354" t="s">
        <v>9</v>
      </c>
      <c r="H1354" t="str" cm="1">
        <f t="array" ref="H1354">_xlfn.IFS(Grammys[[#This Row],[date]] &gt;= DATE(2022,2,1),"Grammys",TRUE,"Grammys TRA")</f>
        <v>Grammys TRA</v>
      </c>
      <c r="I1354">
        <f>_xlfn.XLOOKUP(Grammys[[#This Row],[date]],mobile_visits[date],mobile_visits[mobile_visitors],0)</f>
        <v>0</v>
      </c>
    </row>
    <row r="1355" spans="1:9">
      <c r="A1355" s="1">
        <v>44089</v>
      </c>
      <c r="B1355">
        <v>16621</v>
      </c>
      <c r="C1355">
        <v>31054</v>
      </c>
      <c r="D1355">
        <v>17803</v>
      </c>
      <c r="E1355">
        <v>7855</v>
      </c>
      <c r="F1355">
        <v>94</v>
      </c>
      <c r="G1355" t="s">
        <v>9</v>
      </c>
      <c r="H1355" t="str" cm="1">
        <f t="array" ref="H1355">_xlfn.IFS(Grammys[[#This Row],[date]] &gt;= DATE(2022,2,1),"Grammys",TRUE,"Grammys TRA")</f>
        <v>Grammys TRA</v>
      </c>
      <c r="I1355">
        <f>_xlfn.XLOOKUP(Grammys[[#This Row],[date]],mobile_visits[date],mobile_visits[mobile_visitors],0)</f>
        <v>0</v>
      </c>
    </row>
    <row r="1356" spans="1:9">
      <c r="A1356" s="1">
        <v>44090</v>
      </c>
      <c r="B1356">
        <v>20877</v>
      </c>
      <c r="C1356">
        <v>38227</v>
      </c>
      <c r="D1356">
        <v>22222</v>
      </c>
      <c r="E1356">
        <v>10425</v>
      </c>
      <c r="F1356">
        <v>82</v>
      </c>
      <c r="G1356" t="s">
        <v>9</v>
      </c>
      <c r="H1356" t="str" cm="1">
        <f t="array" ref="H1356">_xlfn.IFS(Grammys[[#This Row],[date]] &gt;= DATE(2022,2,1),"Grammys",TRUE,"Grammys TRA")</f>
        <v>Grammys TRA</v>
      </c>
      <c r="I1356">
        <f>_xlfn.XLOOKUP(Grammys[[#This Row],[date]],mobile_visits[date],mobile_visits[mobile_visitors],0)</f>
        <v>0</v>
      </c>
    </row>
    <row r="1357" spans="1:9">
      <c r="A1357" s="1">
        <v>44091</v>
      </c>
      <c r="B1357">
        <v>20512</v>
      </c>
      <c r="C1357">
        <v>37859</v>
      </c>
      <c r="D1357">
        <v>21946</v>
      </c>
      <c r="E1357">
        <v>9766</v>
      </c>
      <c r="F1357">
        <v>81</v>
      </c>
      <c r="G1357" t="s">
        <v>9</v>
      </c>
      <c r="H1357" t="str" cm="1">
        <f t="array" ref="H1357">_xlfn.IFS(Grammys[[#This Row],[date]] &gt;= DATE(2022,2,1),"Grammys",TRUE,"Grammys TRA")</f>
        <v>Grammys TRA</v>
      </c>
      <c r="I1357">
        <f>_xlfn.XLOOKUP(Grammys[[#This Row],[date]],mobile_visits[date],mobile_visits[mobile_visitors],0)</f>
        <v>0</v>
      </c>
    </row>
    <row r="1358" spans="1:9">
      <c r="A1358" s="1">
        <v>44092</v>
      </c>
      <c r="B1358">
        <v>203599</v>
      </c>
      <c r="C1358">
        <v>382632</v>
      </c>
      <c r="D1358">
        <v>242593</v>
      </c>
      <c r="E1358">
        <v>29985</v>
      </c>
      <c r="F1358">
        <v>69</v>
      </c>
      <c r="G1358" t="s">
        <v>9</v>
      </c>
      <c r="H1358" t="str" cm="1">
        <f t="array" ref="H1358">_xlfn.IFS(Grammys[[#This Row],[date]] &gt;= DATE(2022,2,1),"Grammys",TRUE,"Grammys TRA")</f>
        <v>Grammys TRA</v>
      </c>
      <c r="I1358">
        <f>_xlfn.XLOOKUP(Grammys[[#This Row],[date]],mobile_visits[date],mobile_visits[mobile_visitors],0)</f>
        <v>0</v>
      </c>
    </row>
    <row r="1359" spans="1:9">
      <c r="A1359" s="1">
        <v>44093</v>
      </c>
      <c r="B1359">
        <v>98663</v>
      </c>
      <c r="C1359">
        <v>166622</v>
      </c>
      <c r="D1359">
        <v>108305</v>
      </c>
      <c r="E1359">
        <v>19506</v>
      </c>
      <c r="F1359">
        <v>59</v>
      </c>
      <c r="G1359" t="s">
        <v>9</v>
      </c>
      <c r="H1359" t="str" cm="1">
        <f t="array" ref="H1359">_xlfn.IFS(Grammys[[#This Row],[date]] &gt;= DATE(2022,2,1),"Grammys",TRUE,"Grammys TRA")</f>
        <v>Grammys TRA</v>
      </c>
      <c r="I1359">
        <f>_xlfn.XLOOKUP(Grammys[[#This Row],[date]],mobile_visits[date],mobile_visits[mobile_visitors],0)</f>
        <v>0</v>
      </c>
    </row>
    <row r="1360" spans="1:9">
      <c r="A1360" s="1">
        <v>44094</v>
      </c>
      <c r="B1360">
        <v>54400</v>
      </c>
      <c r="C1360">
        <v>93627</v>
      </c>
      <c r="D1360">
        <v>59552</v>
      </c>
      <c r="E1360">
        <v>15282</v>
      </c>
      <c r="F1360">
        <v>62</v>
      </c>
      <c r="G1360" t="s">
        <v>9</v>
      </c>
      <c r="H1360" t="str" cm="1">
        <f t="array" ref="H1360">_xlfn.IFS(Grammys[[#This Row],[date]] &gt;= DATE(2022,2,1),"Grammys",TRUE,"Grammys TRA")</f>
        <v>Grammys TRA</v>
      </c>
      <c r="I1360">
        <f>_xlfn.XLOOKUP(Grammys[[#This Row],[date]],mobile_visits[date],mobile_visits[mobile_visitors],0)</f>
        <v>0</v>
      </c>
    </row>
    <row r="1361" spans="1:9">
      <c r="A1361" s="1">
        <v>44095</v>
      </c>
      <c r="B1361">
        <v>38523</v>
      </c>
      <c r="C1361">
        <v>70581</v>
      </c>
      <c r="D1361">
        <v>42353</v>
      </c>
      <c r="E1361">
        <v>13990</v>
      </c>
      <c r="F1361">
        <v>76</v>
      </c>
      <c r="G1361" t="s">
        <v>9</v>
      </c>
      <c r="H1361" t="str" cm="1">
        <f t="array" ref="H1361">_xlfn.IFS(Grammys[[#This Row],[date]] &gt;= DATE(2022,2,1),"Grammys",TRUE,"Grammys TRA")</f>
        <v>Grammys TRA</v>
      </c>
      <c r="I1361">
        <f>_xlfn.XLOOKUP(Grammys[[#This Row],[date]],mobile_visits[date],mobile_visits[mobile_visitors],0)</f>
        <v>0</v>
      </c>
    </row>
    <row r="1362" spans="1:9">
      <c r="A1362" s="1">
        <v>44096</v>
      </c>
      <c r="B1362">
        <v>37235</v>
      </c>
      <c r="C1362">
        <v>63629</v>
      </c>
      <c r="D1362">
        <v>40488</v>
      </c>
      <c r="E1362">
        <v>13309</v>
      </c>
      <c r="F1362">
        <v>75</v>
      </c>
      <c r="G1362" t="s">
        <v>9</v>
      </c>
      <c r="H1362" t="str" cm="1">
        <f t="array" ref="H1362">_xlfn.IFS(Grammys[[#This Row],[date]] &gt;= DATE(2022,2,1),"Grammys",TRUE,"Grammys TRA")</f>
        <v>Grammys TRA</v>
      </c>
      <c r="I1362">
        <f>_xlfn.XLOOKUP(Grammys[[#This Row],[date]],mobile_visits[date],mobile_visits[mobile_visitors],0)</f>
        <v>0</v>
      </c>
    </row>
    <row r="1363" spans="1:9">
      <c r="A1363" s="1">
        <v>44097</v>
      </c>
      <c r="B1363">
        <v>26278</v>
      </c>
      <c r="C1363">
        <v>46667</v>
      </c>
      <c r="D1363">
        <v>28131</v>
      </c>
      <c r="E1363">
        <v>11410</v>
      </c>
      <c r="F1363">
        <v>87</v>
      </c>
      <c r="G1363" t="s">
        <v>9</v>
      </c>
      <c r="H1363" t="str" cm="1">
        <f t="array" ref="H1363">_xlfn.IFS(Grammys[[#This Row],[date]] &gt;= DATE(2022,2,1),"Grammys",TRUE,"Grammys TRA")</f>
        <v>Grammys TRA</v>
      </c>
      <c r="I1363">
        <f>_xlfn.XLOOKUP(Grammys[[#This Row],[date]],mobile_visits[date],mobile_visits[mobile_visitors],0)</f>
        <v>0</v>
      </c>
    </row>
    <row r="1364" spans="1:9">
      <c r="A1364" s="1">
        <v>44098</v>
      </c>
      <c r="B1364">
        <v>30034</v>
      </c>
      <c r="C1364">
        <v>52409</v>
      </c>
      <c r="D1364">
        <v>32376</v>
      </c>
      <c r="E1364">
        <v>12216</v>
      </c>
      <c r="F1364">
        <v>101</v>
      </c>
      <c r="G1364" t="s">
        <v>9</v>
      </c>
      <c r="H1364" t="str" cm="1">
        <f t="array" ref="H1364">_xlfn.IFS(Grammys[[#This Row],[date]] &gt;= DATE(2022,2,1),"Grammys",TRUE,"Grammys TRA")</f>
        <v>Grammys TRA</v>
      </c>
      <c r="I1364">
        <f>_xlfn.XLOOKUP(Grammys[[#This Row],[date]],mobile_visits[date],mobile_visits[mobile_visitors],0)</f>
        <v>0</v>
      </c>
    </row>
    <row r="1365" spans="1:9">
      <c r="A1365" s="1">
        <v>44099</v>
      </c>
      <c r="B1365">
        <v>37147</v>
      </c>
      <c r="C1365">
        <v>66274</v>
      </c>
      <c r="D1365">
        <v>42189</v>
      </c>
      <c r="E1365">
        <v>15956</v>
      </c>
      <c r="F1365">
        <v>142</v>
      </c>
      <c r="G1365" t="s">
        <v>9</v>
      </c>
      <c r="H1365" t="str" cm="1">
        <f t="array" ref="H1365">_xlfn.IFS(Grammys[[#This Row],[date]] &gt;= DATE(2022,2,1),"Grammys",TRUE,"Grammys TRA")</f>
        <v>Grammys TRA</v>
      </c>
      <c r="I1365">
        <f>_xlfn.XLOOKUP(Grammys[[#This Row],[date]],mobile_visits[date],mobile_visits[mobile_visitors],0)</f>
        <v>0</v>
      </c>
    </row>
    <row r="1366" spans="1:9">
      <c r="A1366" s="1">
        <v>44100</v>
      </c>
      <c r="B1366">
        <v>36219</v>
      </c>
      <c r="C1366">
        <v>58412</v>
      </c>
      <c r="D1366">
        <v>39910</v>
      </c>
      <c r="E1366">
        <v>16100</v>
      </c>
      <c r="F1366">
        <v>109</v>
      </c>
      <c r="G1366" t="s">
        <v>9</v>
      </c>
      <c r="H1366" t="str" cm="1">
        <f t="array" ref="H1366">_xlfn.IFS(Grammys[[#This Row],[date]] &gt;= DATE(2022,2,1),"Grammys",TRUE,"Grammys TRA")</f>
        <v>Grammys TRA</v>
      </c>
      <c r="I1366">
        <f>_xlfn.XLOOKUP(Grammys[[#This Row],[date]],mobile_visits[date],mobile_visits[mobile_visitors],0)</f>
        <v>0</v>
      </c>
    </row>
    <row r="1367" spans="1:9">
      <c r="A1367" s="1">
        <v>44101</v>
      </c>
      <c r="B1367">
        <v>24538</v>
      </c>
      <c r="C1367">
        <v>42013</v>
      </c>
      <c r="D1367">
        <v>26612</v>
      </c>
      <c r="E1367">
        <v>11412</v>
      </c>
      <c r="F1367">
        <v>101</v>
      </c>
      <c r="G1367" t="s">
        <v>9</v>
      </c>
      <c r="H1367" t="str" cm="1">
        <f t="array" ref="H1367">_xlfn.IFS(Grammys[[#This Row],[date]] &gt;= DATE(2022,2,1),"Grammys",TRUE,"Grammys TRA")</f>
        <v>Grammys TRA</v>
      </c>
      <c r="I1367">
        <f>_xlfn.XLOOKUP(Grammys[[#This Row],[date]],mobile_visits[date],mobile_visits[mobile_visitors],0)</f>
        <v>0</v>
      </c>
    </row>
    <row r="1368" spans="1:9">
      <c r="A1368" s="1">
        <v>44102</v>
      </c>
      <c r="B1368">
        <v>24366</v>
      </c>
      <c r="C1368">
        <v>44509</v>
      </c>
      <c r="D1368">
        <v>25932</v>
      </c>
      <c r="E1368">
        <v>10002</v>
      </c>
      <c r="F1368">
        <v>90</v>
      </c>
      <c r="G1368" t="s">
        <v>9</v>
      </c>
      <c r="H1368" t="str" cm="1">
        <f t="array" ref="H1368">_xlfn.IFS(Grammys[[#This Row],[date]] &gt;= DATE(2022,2,1),"Grammys",TRUE,"Grammys TRA")</f>
        <v>Grammys TRA</v>
      </c>
      <c r="I1368">
        <f>_xlfn.XLOOKUP(Grammys[[#This Row],[date]],mobile_visits[date],mobile_visits[mobile_visitors],0)</f>
        <v>0</v>
      </c>
    </row>
    <row r="1369" spans="1:9">
      <c r="A1369" s="1">
        <v>44103</v>
      </c>
      <c r="B1369">
        <v>75836</v>
      </c>
      <c r="C1369">
        <v>146462</v>
      </c>
      <c r="D1369">
        <v>81578</v>
      </c>
      <c r="E1369">
        <v>19204</v>
      </c>
      <c r="F1369">
        <v>171</v>
      </c>
      <c r="G1369" t="s">
        <v>9</v>
      </c>
      <c r="H1369" t="str" cm="1">
        <f t="array" ref="H1369">_xlfn.IFS(Grammys[[#This Row],[date]] &gt;= DATE(2022,2,1),"Grammys",TRUE,"Grammys TRA")</f>
        <v>Grammys TRA</v>
      </c>
      <c r="I1369">
        <f>_xlfn.XLOOKUP(Grammys[[#This Row],[date]],mobile_visits[date],mobile_visits[mobile_visitors],0)</f>
        <v>0</v>
      </c>
    </row>
    <row r="1370" spans="1:9">
      <c r="A1370" s="1">
        <v>44104</v>
      </c>
      <c r="B1370">
        <v>43438</v>
      </c>
      <c r="C1370">
        <v>91877</v>
      </c>
      <c r="D1370">
        <v>48359</v>
      </c>
      <c r="E1370">
        <v>17158</v>
      </c>
      <c r="F1370">
        <v>110</v>
      </c>
      <c r="G1370" t="s">
        <v>9</v>
      </c>
      <c r="H1370" t="str" cm="1">
        <f t="array" ref="H1370">_xlfn.IFS(Grammys[[#This Row],[date]] &gt;= DATE(2022,2,1),"Grammys",TRUE,"Grammys TRA")</f>
        <v>Grammys TRA</v>
      </c>
      <c r="I1370">
        <f>_xlfn.XLOOKUP(Grammys[[#This Row],[date]],mobile_visits[date],mobile_visits[mobile_visitors],0)</f>
        <v>0</v>
      </c>
    </row>
    <row r="1371" spans="1:9">
      <c r="A1371" s="1">
        <v>44105</v>
      </c>
      <c r="B1371">
        <v>41020</v>
      </c>
      <c r="C1371">
        <v>76997</v>
      </c>
      <c r="D1371">
        <v>43465</v>
      </c>
      <c r="E1371">
        <v>17799</v>
      </c>
      <c r="F1371">
        <v>85</v>
      </c>
      <c r="G1371" t="s">
        <v>9</v>
      </c>
      <c r="H1371" t="str" cm="1">
        <f t="array" ref="H1371">_xlfn.IFS(Grammys[[#This Row],[date]] &gt;= DATE(2022,2,1),"Grammys",TRUE,"Grammys TRA")</f>
        <v>Grammys TRA</v>
      </c>
      <c r="I1371">
        <f>_xlfn.XLOOKUP(Grammys[[#This Row],[date]],mobile_visits[date],mobile_visits[mobile_visitors],0)</f>
        <v>0</v>
      </c>
    </row>
    <row r="1372" spans="1:9">
      <c r="A1372" s="1">
        <v>44106</v>
      </c>
      <c r="B1372">
        <v>34921</v>
      </c>
      <c r="C1372">
        <v>67067</v>
      </c>
      <c r="D1372">
        <v>37492</v>
      </c>
      <c r="E1372">
        <v>16280</v>
      </c>
      <c r="F1372">
        <v>84</v>
      </c>
      <c r="G1372" t="s">
        <v>9</v>
      </c>
      <c r="H1372" t="str" cm="1">
        <f t="array" ref="H1372">_xlfn.IFS(Grammys[[#This Row],[date]] &gt;= DATE(2022,2,1),"Grammys",TRUE,"Grammys TRA")</f>
        <v>Grammys TRA</v>
      </c>
      <c r="I1372">
        <f>_xlfn.XLOOKUP(Grammys[[#This Row],[date]],mobile_visits[date],mobile_visits[mobile_visitors],0)</f>
        <v>0</v>
      </c>
    </row>
    <row r="1373" spans="1:9">
      <c r="A1373" s="1">
        <v>44107</v>
      </c>
      <c r="B1373">
        <v>28152</v>
      </c>
      <c r="C1373">
        <v>51979</v>
      </c>
      <c r="D1373">
        <v>29803</v>
      </c>
      <c r="E1373">
        <v>12449</v>
      </c>
      <c r="F1373">
        <v>79</v>
      </c>
      <c r="G1373" t="s">
        <v>9</v>
      </c>
      <c r="H1373" t="str" cm="1">
        <f t="array" ref="H1373">_xlfn.IFS(Grammys[[#This Row],[date]] &gt;= DATE(2022,2,1),"Grammys",TRUE,"Grammys TRA")</f>
        <v>Grammys TRA</v>
      </c>
      <c r="I1373">
        <f>_xlfn.XLOOKUP(Grammys[[#This Row],[date]],mobile_visits[date],mobile_visits[mobile_visitors],0)</f>
        <v>0</v>
      </c>
    </row>
    <row r="1374" spans="1:9">
      <c r="A1374" s="1">
        <v>44108</v>
      </c>
      <c r="B1374">
        <v>24607</v>
      </c>
      <c r="C1374">
        <v>45997</v>
      </c>
      <c r="D1374">
        <v>26375</v>
      </c>
      <c r="E1374">
        <v>10951</v>
      </c>
      <c r="F1374">
        <v>81</v>
      </c>
      <c r="G1374" t="s">
        <v>9</v>
      </c>
      <c r="H1374" t="str" cm="1">
        <f t="array" ref="H1374">_xlfn.IFS(Grammys[[#This Row],[date]] &gt;= DATE(2022,2,1),"Grammys",TRUE,"Grammys TRA")</f>
        <v>Grammys TRA</v>
      </c>
      <c r="I1374">
        <f>_xlfn.XLOOKUP(Grammys[[#This Row],[date]],mobile_visits[date],mobile_visits[mobile_visitors],0)</f>
        <v>0</v>
      </c>
    </row>
    <row r="1375" spans="1:9">
      <c r="A1375" s="1">
        <v>44109</v>
      </c>
      <c r="B1375">
        <v>22575</v>
      </c>
      <c r="C1375">
        <v>44417</v>
      </c>
      <c r="D1375">
        <v>24434</v>
      </c>
      <c r="E1375">
        <v>10485</v>
      </c>
      <c r="F1375">
        <v>90</v>
      </c>
      <c r="G1375" t="s">
        <v>9</v>
      </c>
      <c r="H1375" t="str" cm="1">
        <f t="array" ref="H1375">_xlfn.IFS(Grammys[[#This Row],[date]] &gt;= DATE(2022,2,1),"Grammys",TRUE,"Grammys TRA")</f>
        <v>Grammys TRA</v>
      </c>
      <c r="I1375">
        <f>_xlfn.XLOOKUP(Grammys[[#This Row],[date]],mobile_visits[date],mobile_visits[mobile_visitors],0)</f>
        <v>0</v>
      </c>
    </row>
    <row r="1376" spans="1:9">
      <c r="A1376" s="1">
        <v>44110</v>
      </c>
      <c r="B1376">
        <v>28241</v>
      </c>
      <c r="C1376">
        <v>52151</v>
      </c>
      <c r="D1376">
        <v>30107</v>
      </c>
      <c r="E1376">
        <v>12615</v>
      </c>
      <c r="F1376">
        <v>104</v>
      </c>
      <c r="G1376" t="s">
        <v>9</v>
      </c>
      <c r="H1376" t="str" cm="1">
        <f t="array" ref="H1376">_xlfn.IFS(Grammys[[#This Row],[date]] &gt;= DATE(2022,2,1),"Grammys",TRUE,"Grammys TRA")</f>
        <v>Grammys TRA</v>
      </c>
      <c r="I1376">
        <f>_xlfn.XLOOKUP(Grammys[[#This Row],[date]],mobile_visits[date],mobile_visits[mobile_visitors],0)</f>
        <v>0</v>
      </c>
    </row>
    <row r="1377" spans="1:9">
      <c r="A1377" s="1">
        <v>44111</v>
      </c>
      <c r="B1377">
        <v>37612</v>
      </c>
      <c r="C1377">
        <v>71687</v>
      </c>
      <c r="D1377">
        <v>40733</v>
      </c>
      <c r="E1377">
        <v>15389</v>
      </c>
      <c r="F1377">
        <v>144</v>
      </c>
      <c r="G1377" t="s">
        <v>9</v>
      </c>
      <c r="H1377" t="str" cm="1">
        <f t="array" ref="H1377">_xlfn.IFS(Grammys[[#This Row],[date]] &gt;= DATE(2022,2,1),"Grammys",TRUE,"Grammys TRA")</f>
        <v>Grammys TRA</v>
      </c>
      <c r="I1377">
        <f>_xlfn.XLOOKUP(Grammys[[#This Row],[date]],mobile_visits[date],mobile_visits[mobile_visitors],0)</f>
        <v>0</v>
      </c>
    </row>
    <row r="1378" spans="1:9">
      <c r="A1378" s="1">
        <v>44112</v>
      </c>
      <c r="B1378">
        <v>31984</v>
      </c>
      <c r="C1378">
        <v>58043</v>
      </c>
      <c r="D1378">
        <v>33973</v>
      </c>
      <c r="E1378">
        <v>14388</v>
      </c>
      <c r="F1378">
        <v>113</v>
      </c>
      <c r="G1378" t="s">
        <v>9</v>
      </c>
      <c r="H1378" t="str" cm="1">
        <f t="array" ref="H1378">_xlfn.IFS(Grammys[[#This Row],[date]] &gt;= DATE(2022,2,1),"Grammys",TRUE,"Grammys TRA")</f>
        <v>Grammys TRA</v>
      </c>
      <c r="I1378">
        <f>_xlfn.XLOOKUP(Grammys[[#This Row],[date]],mobile_visits[date],mobile_visits[mobile_visitors],0)</f>
        <v>0</v>
      </c>
    </row>
    <row r="1379" spans="1:9">
      <c r="A1379" s="1">
        <v>44113</v>
      </c>
      <c r="B1379">
        <v>25040</v>
      </c>
      <c r="C1379">
        <v>46936</v>
      </c>
      <c r="D1379">
        <v>27021</v>
      </c>
      <c r="E1379">
        <v>11422</v>
      </c>
      <c r="F1379">
        <v>97</v>
      </c>
      <c r="G1379" t="s">
        <v>9</v>
      </c>
      <c r="H1379" t="str" cm="1">
        <f t="array" ref="H1379">_xlfn.IFS(Grammys[[#This Row],[date]] &gt;= DATE(2022,2,1),"Grammys",TRUE,"Grammys TRA")</f>
        <v>Grammys TRA</v>
      </c>
      <c r="I1379">
        <f>_xlfn.XLOOKUP(Grammys[[#This Row],[date]],mobile_visits[date],mobile_visits[mobile_visitors],0)</f>
        <v>0</v>
      </c>
    </row>
    <row r="1380" spans="1:9">
      <c r="A1380" s="1">
        <v>44114</v>
      </c>
      <c r="B1380">
        <v>22129</v>
      </c>
      <c r="C1380">
        <v>39559</v>
      </c>
      <c r="D1380">
        <v>23781</v>
      </c>
      <c r="E1380">
        <v>9560</v>
      </c>
      <c r="F1380">
        <v>92</v>
      </c>
      <c r="G1380" t="s">
        <v>9</v>
      </c>
      <c r="H1380" t="str" cm="1">
        <f t="array" ref="H1380">_xlfn.IFS(Grammys[[#This Row],[date]] &gt;= DATE(2022,2,1),"Grammys",TRUE,"Grammys TRA")</f>
        <v>Grammys TRA</v>
      </c>
      <c r="I1380">
        <f>_xlfn.XLOOKUP(Grammys[[#This Row],[date]],mobile_visits[date],mobile_visits[mobile_visitors],0)</f>
        <v>0</v>
      </c>
    </row>
    <row r="1381" spans="1:9">
      <c r="A1381" s="1">
        <v>44115</v>
      </c>
      <c r="B1381">
        <v>21476</v>
      </c>
      <c r="C1381">
        <v>40992</v>
      </c>
      <c r="D1381">
        <v>23184</v>
      </c>
      <c r="E1381">
        <v>9302</v>
      </c>
      <c r="F1381">
        <v>93</v>
      </c>
      <c r="G1381" t="s">
        <v>9</v>
      </c>
      <c r="H1381" t="str" cm="1">
        <f t="array" ref="H1381">_xlfn.IFS(Grammys[[#This Row],[date]] &gt;= DATE(2022,2,1),"Grammys",TRUE,"Grammys TRA")</f>
        <v>Grammys TRA</v>
      </c>
      <c r="I1381">
        <f>_xlfn.XLOOKUP(Grammys[[#This Row],[date]],mobile_visits[date],mobile_visits[mobile_visitors],0)</f>
        <v>0</v>
      </c>
    </row>
    <row r="1382" spans="1:9">
      <c r="A1382" s="1">
        <v>44116</v>
      </c>
      <c r="B1382">
        <v>27364</v>
      </c>
      <c r="C1382">
        <v>53377</v>
      </c>
      <c r="D1382">
        <v>29733</v>
      </c>
      <c r="E1382">
        <v>12931</v>
      </c>
      <c r="F1382">
        <v>92</v>
      </c>
      <c r="G1382" t="s">
        <v>9</v>
      </c>
      <c r="H1382" t="str" cm="1">
        <f t="array" ref="H1382">_xlfn.IFS(Grammys[[#This Row],[date]] &gt;= DATE(2022,2,1),"Grammys",TRUE,"Grammys TRA")</f>
        <v>Grammys TRA</v>
      </c>
      <c r="I1382">
        <f>_xlfn.XLOOKUP(Grammys[[#This Row],[date]],mobile_visits[date],mobile_visits[mobile_visitors],0)</f>
        <v>0</v>
      </c>
    </row>
    <row r="1383" spans="1:9">
      <c r="A1383" s="1">
        <v>44117</v>
      </c>
      <c r="B1383">
        <v>23155</v>
      </c>
      <c r="C1383">
        <v>43879</v>
      </c>
      <c r="D1383">
        <v>24752</v>
      </c>
      <c r="E1383">
        <v>10711</v>
      </c>
      <c r="F1383">
        <v>82</v>
      </c>
      <c r="G1383" t="s">
        <v>9</v>
      </c>
      <c r="H1383" t="str" cm="1">
        <f t="array" ref="H1383">_xlfn.IFS(Grammys[[#This Row],[date]] &gt;= DATE(2022,2,1),"Grammys",TRUE,"Grammys TRA")</f>
        <v>Grammys TRA</v>
      </c>
      <c r="I1383">
        <f>_xlfn.XLOOKUP(Grammys[[#This Row],[date]],mobile_visits[date],mobile_visits[mobile_visitors],0)</f>
        <v>0</v>
      </c>
    </row>
    <row r="1384" spans="1:9">
      <c r="A1384" s="1">
        <v>44118</v>
      </c>
      <c r="B1384">
        <v>22916</v>
      </c>
      <c r="C1384">
        <v>43410</v>
      </c>
      <c r="D1384">
        <v>24444</v>
      </c>
      <c r="E1384">
        <v>10333</v>
      </c>
      <c r="F1384">
        <v>80</v>
      </c>
      <c r="G1384" t="s">
        <v>9</v>
      </c>
      <c r="H1384" t="str" cm="1">
        <f t="array" ref="H1384">_xlfn.IFS(Grammys[[#This Row],[date]] &gt;= DATE(2022,2,1),"Grammys",TRUE,"Grammys TRA")</f>
        <v>Grammys TRA</v>
      </c>
      <c r="I1384">
        <f>_xlfn.XLOOKUP(Grammys[[#This Row],[date]],mobile_visits[date],mobile_visits[mobile_visitors],0)</f>
        <v>0</v>
      </c>
    </row>
    <row r="1385" spans="1:9">
      <c r="A1385" s="1">
        <v>44119</v>
      </c>
      <c r="B1385">
        <v>21944</v>
      </c>
      <c r="C1385">
        <v>41694</v>
      </c>
      <c r="D1385">
        <v>23463</v>
      </c>
      <c r="E1385">
        <v>9970</v>
      </c>
      <c r="F1385">
        <v>86</v>
      </c>
      <c r="G1385" t="s">
        <v>9</v>
      </c>
      <c r="H1385" t="str" cm="1">
        <f t="array" ref="H1385">_xlfn.IFS(Grammys[[#This Row],[date]] &gt;= DATE(2022,2,1),"Grammys",TRUE,"Grammys TRA")</f>
        <v>Grammys TRA</v>
      </c>
      <c r="I1385">
        <f>_xlfn.XLOOKUP(Grammys[[#This Row],[date]],mobile_visits[date],mobile_visits[mobile_visitors],0)</f>
        <v>0</v>
      </c>
    </row>
    <row r="1386" spans="1:9">
      <c r="A1386" s="1">
        <v>44120</v>
      </c>
      <c r="B1386">
        <v>24022</v>
      </c>
      <c r="C1386">
        <v>44842</v>
      </c>
      <c r="D1386">
        <v>25633</v>
      </c>
      <c r="E1386">
        <v>11023</v>
      </c>
      <c r="F1386">
        <v>83</v>
      </c>
      <c r="G1386" t="s">
        <v>9</v>
      </c>
      <c r="H1386" t="str" cm="1">
        <f t="array" ref="H1386">_xlfn.IFS(Grammys[[#This Row],[date]] &gt;= DATE(2022,2,1),"Grammys",TRUE,"Grammys TRA")</f>
        <v>Grammys TRA</v>
      </c>
      <c r="I1386">
        <f>_xlfn.XLOOKUP(Grammys[[#This Row],[date]],mobile_visits[date],mobile_visits[mobile_visitors],0)</f>
        <v>0</v>
      </c>
    </row>
    <row r="1387" spans="1:9">
      <c r="A1387" s="1">
        <v>44121</v>
      </c>
      <c r="B1387">
        <v>20469</v>
      </c>
      <c r="C1387">
        <v>37718</v>
      </c>
      <c r="D1387">
        <v>21780</v>
      </c>
      <c r="E1387">
        <v>9216</v>
      </c>
      <c r="F1387">
        <v>80</v>
      </c>
      <c r="G1387" t="s">
        <v>9</v>
      </c>
      <c r="H1387" t="str" cm="1">
        <f t="array" ref="H1387">_xlfn.IFS(Grammys[[#This Row],[date]] &gt;= DATE(2022,2,1),"Grammys",TRUE,"Grammys TRA")</f>
        <v>Grammys TRA</v>
      </c>
      <c r="I1387">
        <f>_xlfn.XLOOKUP(Grammys[[#This Row],[date]],mobile_visits[date],mobile_visits[mobile_visitors],0)</f>
        <v>0</v>
      </c>
    </row>
    <row r="1388" spans="1:9">
      <c r="A1388" s="1">
        <v>44122</v>
      </c>
      <c r="B1388">
        <v>18254</v>
      </c>
      <c r="C1388">
        <v>34564</v>
      </c>
      <c r="D1388">
        <v>19425</v>
      </c>
      <c r="E1388">
        <v>8190</v>
      </c>
      <c r="F1388">
        <v>83</v>
      </c>
      <c r="G1388" t="s">
        <v>9</v>
      </c>
      <c r="H1388" t="str" cm="1">
        <f t="array" ref="H1388">_xlfn.IFS(Grammys[[#This Row],[date]] &gt;= DATE(2022,2,1),"Grammys",TRUE,"Grammys TRA")</f>
        <v>Grammys TRA</v>
      </c>
      <c r="I1388">
        <f>_xlfn.XLOOKUP(Grammys[[#This Row],[date]],mobile_visits[date],mobile_visits[mobile_visitors],0)</f>
        <v>0</v>
      </c>
    </row>
    <row r="1389" spans="1:9">
      <c r="A1389" s="1">
        <v>44123</v>
      </c>
      <c r="B1389">
        <v>17963</v>
      </c>
      <c r="C1389">
        <v>34833</v>
      </c>
      <c r="D1389">
        <v>19150</v>
      </c>
      <c r="E1389">
        <v>8151</v>
      </c>
      <c r="F1389">
        <v>87</v>
      </c>
      <c r="G1389" t="s">
        <v>9</v>
      </c>
      <c r="H1389" t="str" cm="1">
        <f t="array" ref="H1389">_xlfn.IFS(Grammys[[#This Row],[date]] &gt;= DATE(2022,2,1),"Grammys",TRUE,"Grammys TRA")</f>
        <v>Grammys TRA</v>
      </c>
      <c r="I1389">
        <f>_xlfn.XLOOKUP(Grammys[[#This Row],[date]],mobile_visits[date],mobile_visits[mobile_visitors],0)</f>
        <v>0</v>
      </c>
    </row>
    <row r="1390" spans="1:9">
      <c r="A1390" s="1">
        <v>44124</v>
      </c>
      <c r="B1390">
        <v>17177</v>
      </c>
      <c r="C1390">
        <v>33673</v>
      </c>
      <c r="D1390">
        <v>18261</v>
      </c>
      <c r="E1390">
        <v>8004</v>
      </c>
      <c r="F1390">
        <v>91</v>
      </c>
      <c r="G1390" t="s">
        <v>9</v>
      </c>
      <c r="H1390" t="str" cm="1">
        <f t="array" ref="H1390">_xlfn.IFS(Grammys[[#This Row],[date]] &gt;= DATE(2022,2,1),"Grammys",TRUE,"Grammys TRA")</f>
        <v>Grammys TRA</v>
      </c>
      <c r="I1390">
        <f>_xlfn.XLOOKUP(Grammys[[#This Row],[date]],mobile_visits[date],mobile_visits[mobile_visitors],0)</f>
        <v>0</v>
      </c>
    </row>
    <row r="1391" spans="1:9">
      <c r="A1391" s="1">
        <v>44125</v>
      </c>
      <c r="B1391">
        <v>34674</v>
      </c>
      <c r="C1391">
        <v>66396</v>
      </c>
      <c r="D1391">
        <v>37000</v>
      </c>
      <c r="E1391">
        <v>15189</v>
      </c>
      <c r="F1391">
        <v>77</v>
      </c>
      <c r="G1391" t="s">
        <v>9</v>
      </c>
      <c r="H1391" t="str" cm="1">
        <f t="array" ref="H1391">_xlfn.IFS(Grammys[[#This Row],[date]] &gt;= DATE(2022,2,1),"Grammys",TRUE,"Grammys TRA")</f>
        <v>Grammys TRA</v>
      </c>
      <c r="I1391">
        <f>_xlfn.XLOOKUP(Grammys[[#This Row],[date]],mobile_visits[date],mobile_visits[mobile_visitors],0)</f>
        <v>0</v>
      </c>
    </row>
    <row r="1392" spans="1:9">
      <c r="A1392" s="1">
        <v>44126</v>
      </c>
      <c r="B1392">
        <v>25334</v>
      </c>
      <c r="C1392">
        <v>48598</v>
      </c>
      <c r="D1392">
        <v>27390</v>
      </c>
      <c r="E1392">
        <v>11948</v>
      </c>
      <c r="F1392">
        <v>84</v>
      </c>
      <c r="G1392" t="s">
        <v>9</v>
      </c>
      <c r="H1392" t="str" cm="1">
        <f t="array" ref="H1392">_xlfn.IFS(Grammys[[#This Row],[date]] &gt;= DATE(2022,2,1),"Grammys",TRUE,"Grammys TRA")</f>
        <v>Grammys TRA</v>
      </c>
      <c r="I1392">
        <f>_xlfn.XLOOKUP(Grammys[[#This Row],[date]],mobile_visits[date],mobile_visits[mobile_visitors],0)</f>
        <v>0</v>
      </c>
    </row>
    <row r="1393" spans="1:9">
      <c r="A1393" s="1">
        <v>44127</v>
      </c>
      <c r="B1393">
        <v>20083</v>
      </c>
      <c r="C1393">
        <v>38755</v>
      </c>
      <c r="D1393">
        <v>21310</v>
      </c>
      <c r="E1393">
        <v>9068</v>
      </c>
      <c r="F1393">
        <v>83</v>
      </c>
      <c r="G1393" t="s">
        <v>9</v>
      </c>
      <c r="H1393" t="str" cm="1">
        <f t="array" ref="H1393">_xlfn.IFS(Grammys[[#This Row],[date]] &gt;= DATE(2022,2,1),"Grammys",TRUE,"Grammys TRA")</f>
        <v>Grammys TRA</v>
      </c>
      <c r="I1393">
        <f>_xlfn.XLOOKUP(Grammys[[#This Row],[date]],mobile_visits[date],mobile_visits[mobile_visitors],0)</f>
        <v>0</v>
      </c>
    </row>
    <row r="1394" spans="1:9">
      <c r="A1394" s="1">
        <v>44128</v>
      </c>
      <c r="B1394">
        <v>19208</v>
      </c>
      <c r="C1394">
        <v>37695</v>
      </c>
      <c r="D1394">
        <v>20524</v>
      </c>
      <c r="E1394">
        <v>8407</v>
      </c>
      <c r="F1394">
        <v>82</v>
      </c>
      <c r="G1394" t="s">
        <v>9</v>
      </c>
      <c r="H1394" t="str" cm="1">
        <f t="array" ref="H1394">_xlfn.IFS(Grammys[[#This Row],[date]] &gt;= DATE(2022,2,1),"Grammys",TRUE,"Grammys TRA")</f>
        <v>Grammys TRA</v>
      </c>
      <c r="I1394">
        <f>_xlfn.XLOOKUP(Grammys[[#This Row],[date]],mobile_visits[date],mobile_visits[mobile_visitors],0)</f>
        <v>0</v>
      </c>
    </row>
    <row r="1395" spans="1:9">
      <c r="A1395" s="1">
        <v>44129</v>
      </c>
      <c r="B1395">
        <v>17880</v>
      </c>
      <c r="C1395">
        <v>34580</v>
      </c>
      <c r="D1395">
        <v>19086</v>
      </c>
      <c r="E1395">
        <v>8108</v>
      </c>
      <c r="F1395">
        <v>79</v>
      </c>
      <c r="G1395" t="s">
        <v>9</v>
      </c>
      <c r="H1395" t="str" cm="1">
        <f t="array" ref="H1395">_xlfn.IFS(Grammys[[#This Row],[date]] &gt;= DATE(2022,2,1),"Grammys",TRUE,"Grammys TRA")</f>
        <v>Grammys TRA</v>
      </c>
      <c r="I1395">
        <f>_xlfn.XLOOKUP(Grammys[[#This Row],[date]],mobile_visits[date],mobile_visits[mobile_visitors],0)</f>
        <v>0</v>
      </c>
    </row>
    <row r="1396" spans="1:9">
      <c r="A1396" s="1">
        <v>44130</v>
      </c>
      <c r="B1396">
        <v>29907</v>
      </c>
      <c r="C1396">
        <v>53516</v>
      </c>
      <c r="D1396">
        <v>32148</v>
      </c>
      <c r="E1396">
        <v>13541</v>
      </c>
      <c r="F1396">
        <v>119</v>
      </c>
      <c r="G1396" t="s">
        <v>9</v>
      </c>
      <c r="H1396" t="str" cm="1">
        <f t="array" ref="H1396">_xlfn.IFS(Grammys[[#This Row],[date]] &gt;= DATE(2022,2,1),"Grammys",TRUE,"Grammys TRA")</f>
        <v>Grammys TRA</v>
      </c>
      <c r="I1396">
        <f>_xlfn.XLOOKUP(Grammys[[#This Row],[date]],mobile_visits[date],mobile_visits[mobile_visitors],0)</f>
        <v>0</v>
      </c>
    </row>
    <row r="1397" spans="1:9">
      <c r="A1397" s="1">
        <v>44131</v>
      </c>
      <c r="B1397">
        <v>20512</v>
      </c>
      <c r="C1397">
        <v>39791</v>
      </c>
      <c r="D1397">
        <v>22144</v>
      </c>
      <c r="E1397">
        <v>9857</v>
      </c>
      <c r="F1397">
        <v>90</v>
      </c>
      <c r="G1397" t="s">
        <v>9</v>
      </c>
      <c r="H1397" t="str" cm="1">
        <f t="array" ref="H1397">_xlfn.IFS(Grammys[[#This Row],[date]] &gt;= DATE(2022,2,1),"Grammys",TRUE,"Grammys TRA")</f>
        <v>Grammys TRA</v>
      </c>
      <c r="I1397">
        <f>_xlfn.XLOOKUP(Grammys[[#This Row],[date]],mobile_visits[date],mobile_visits[mobile_visitors],0)</f>
        <v>0</v>
      </c>
    </row>
    <row r="1398" spans="1:9">
      <c r="A1398" s="1">
        <v>44132</v>
      </c>
      <c r="B1398">
        <v>21173</v>
      </c>
      <c r="C1398">
        <v>43393</v>
      </c>
      <c r="D1398">
        <v>22735</v>
      </c>
      <c r="E1398">
        <v>9838</v>
      </c>
      <c r="F1398">
        <v>82</v>
      </c>
      <c r="G1398" t="s">
        <v>9</v>
      </c>
      <c r="H1398" t="str" cm="1">
        <f t="array" ref="H1398">_xlfn.IFS(Grammys[[#This Row],[date]] &gt;= DATE(2022,2,1),"Grammys",TRUE,"Grammys TRA")</f>
        <v>Grammys TRA</v>
      </c>
      <c r="I1398">
        <f>_xlfn.XLOOKUP(Grammys[[#This Row],[date]],mobile_visits[date],mobile_visits[mobile_visitors],0)</f>
        <v>0</v>
      </c>
    </row>
    <row r="1399" spans="1:9">
      <c r="A1399" s="1">
        <v>44133</v>
      </c>
      <c r="B1399">
        <v>19574</v>
      </c>
      <c r="C1399">
        <v>38305</v>
      </c>
      <c r="D1399">
        <v>20930</v>
      </c>
      <c r="E1399">
        <v>9339</v>
      </c>
      <c r="F1399">
        <v>86</v>
      </c>
      <c r="G1399" t="s">
        <v>9</v>
      </c>
      <c r="H1399" t="str" cm="1">
        <f t="array" ref="H1399">_xlfn.IFS(Grammys[[#This Row],[date]] &gt;= DATE(2022,2,1),"Grammys",TRUE,"Grammys TRA")</f>
        <v>Grammys TRA</v>
      </c>
      <c r="I1399">
        <f>_xlfn.XLOOKUP(Grammys[[#This Row],[date]],mobile_visits[date],mobile_visits[mobile_visitors],0)</f>
        <v>0</v>
      </c>
    </row>
    <row r="1400" spans="1:9">
      <c r="A1400" s="1">
        <v>44134</v>
      </c>
      <c r="B1400">
        <v>17623</v>
      </c>
      <c r="C1400">
        <v>32898</v>
      </c>
      <c r="D1400">
        <v>18684</v>
      </c>
      <c r="E1400">
        <v>8567</v>
      </c>
      <c r="F1400">
        <v>79</v>
      </c>
      <c r="G1400" t="s">
        <v>9</v>
      </c>
      <c r="H1400" t="str" cm="1">
        <f t="array" ref="H1400">_xlfn.IFS(Grammys[[#This Row],[date]] &gt;= DATE(2022,2,1),"Grammys",TRUE,"Grammys TRA")</f>
        <v>Grammys TRA</v>
      </c>
      <c r="I1400">
        <f>_xlfn.XLOOKUP(Grammys[[#This Row],[date]],mobile_visits[date],mobile_visits[mobile_visitors],0)</f>
        <v>0</v>
      </c>
    </row>
    <row r="1401" spans="1:9">
      <c r="A1401" s="1">
        <v>44135</v>
      </c>
      <c r="B1401">
        <v>13141</v>
      </c>
      <c r="C1401">
        <v>24495</v>
      </c>
      <c r="D1401">
        <v>14002</v>
      </c>
      <c r="E1401">
        <v>6157</v>
      </c>
      <c r="F1401">
        <v>76</v>
      </c>
      <c r="G1401" t="s">
        <v>9</v>
      </c>
      <c r="H1401" t="str" cm="1">
        <f t="array" ref="H1401">_xlfn.IFS(Grammys[[#This Row],[date]] &gt;= DATE(2022,2,1),"Grammys",TRUE,"Grammys TRA")</f>
        <v>Grammys TRA</v>
      </c>
      <c r="I1401">
        <f>_xlfn.XLOOKUP(Grammys[[#This Row],[date]],mobile_visits[date],mobile_visits[mobile_visitors],0)</f>
        <v>0</v>
      </c>
    </row>
    <row r="1402" spans="1:9">
      <c r="A1402" s="1">
        <v>44136</v>
      </c>
      <c r="B1402">
        <v>14584</v>
      </c>
      <c r="C1402">
        <v>27731</v>
      </c>
      <c r="D1402">
        <v>15478</v>
      </c>
      <c r="E1402">
        <v>6752</v>
      </c>
      <c r="F1402">
        <v>86</v>
      </c>
      <c r="G1402" t="s">
        <v>9</v>
      </c>
      <c r="H1402" t="str" cm="1">
        <f t="array" ref="H1402">_xlfn.IFS(Grammys[[#This Row],[date]] &gt;= DATE(2022,2,1),"Grammys",TRUE,"Grammys TRA")</f>
        <v>Grammys TRA</v>
      </c>
      <c r="I1402">
        <f>_xlfn.XLOOKUP(Grammys[[#This Row],[date]],mobile_visits[date],mobile_visits[mobile_visitors],0)</f>
        <v>0</v>
      </c>
    </row>
    <row r="1403" spans="1:9">
      <c r="A1403" s="1">
        <v>44137</v>
      </c>
      <c r="B1403">
        <v>15014</v>
      </c>
      <c r="C1403">
        <v>29404</v>
      </c>
      <c r="D1403">
        <v>16137</v>
      </c>
      <c r="E1403">
        <v>7112</v>
      </c>
      <c r="F1403">
        <v>85</v>
      </c>
      <c r="G1403" t="s">
        <v>9</v>
      </c>
      <c r="H1403" t="str" cm="1">
        <f t="array" ref="H1403">_xlfn.IFS(Grammys[[#This Row],[date]] &gt;= DATE(2022,2,1),"Grammys",TRUE,"Grammys TRA")</f>
        <v>Grammys TRA</v>
      </c>
      <c r="I1403">
        <f>_xlfn.XLOOKUP(Grammys[[#This Row],[date]],mobile_visits[date],mobile_visits[mobile_visitors],0)</f>
        <v>0</v>
      </c>
    </row>
    <row r="1404" spans="1:9">
      <c r="A1404" s="1">
        <v>44138</v>
      </c>
      <c r="B1404">
        <v>13986</v>
      </c>
      <c r="C1404">
        <v>26426</v>
      </c>
      <c r="D1404">
        <v>14984</v>
      </c>
      <c r="E1404">
        <v>6295</v>
      </c>
      <c r="F1404">
        <v>85</v>
      </c>
      <c r="G1404" t="s">
        <v>9</v>
      </c>
      <c r="H1404" t="str" cm="1">
        <f t="array" ref="H1404">_xlfn.IFS(Grammys[[#This Row],[date]] &gt;= DATE(2022,2,1),"Grammys",TRUE,"Grammys TRA")</f>
        <v>Grammys TRA</v>
      </c>
      <c r="I1404">
        <f>_xlfn.XLOOKUP(Grammys[[#This Row],[date]],mobile_visits[date],mobile_visits[mobile_visitors],0)</f>
        <v>0</v>
      </c>
    </row>
    <row r="1405" spans="1:9">
      <c r="A1405" s="1">
        <v>44139</v>
      </c>
      <c r="B1405">
        <v>13576</v>
      </c>
      <c r="C1405">
        <v>26365</v>
      </c>
      <c r="D1405">
        <v>14579</v>
      </c>
      <c r="E1405">
        <v>6487</v>
      </c>
      <c r="F1405">
        <v>83</v>
      </c>
      <c r="G1405" t="s">
        <v>9</v>
      </c>
      <c r="H1405" t="str" cm="1">
        <f t="array" ref="H1405">_xlfn.IFS(Grammys[[#This Row],[date]] &gt;= DATE(2022,2,1),"Grammys",TRUE,"Grammys TRA")</f>
        <v>Grammys TRA</v>
      </c>
      <c r="I1405">
        <f>_xlfn.XLOOKUP(Grammys[[#This Row],[date]],mobile_visits[date],mobile_visits[mobile_visitors],0)</f>
        <v>0</v>
      </c>
    </row>
    <row r="1406" spans="1:9">
      <c r="A1406" s="1">
        <v>44140</v>
      </c>
      <c r="B1406">
        <v>13514</v>
      </c>
      <c r="C1406">
        <v>27232</v>
      </c>
      <c r="D1406">
        <v>14694</v>
      </c>
      <c r="E1406">
        <v>6520</v>
      </c>
      <c r="F1406">
        <v>88</v>
      </c>
      <c r="G1406" t="s">
        <v>9</v>
      </c>
      <c r="H1406" t="str" cm="1">
        <f t="array" ref="H1406">_xlfn.IFS(Grammys[[#This Row],[date]] &gt;= DATE(2022,2,1),"Grammys",TRUE,"Grammys TRA")</f>
        <v>Grammys TRA</v>
      </c>
      <c r="I1406">
        <f>_xlfn.XLOOKUP(Grammys[[#This Row],[date]],mobile_visits[date],mobile_visits[mobile_visitors],0)</f>
        <v>0</v>
      </c>
    </row>
    <row r="1407" spans="1:9">
      <c r="A1407" s="1">
        <v>44141</v>
      </c>
      <c r="B1407">
        <v>14861</v>
      </c>
      <c r="C1407">
        <v>28090</v>
      </c>
      <c r="D1407">
        <v>15797</v>
      </c>
      <c r="E1407">
        <v>6872</v>
      </c>
      <c r="F1407">
        <v>81</v>
      </c>
      <c r="G1407" t="s">
        <v>9</v>
      </c>
      <c r="H1407" t="str" cm="1">
        <f t="array" ref="H1407">_xlfn.IFS(Grammys[[#This Row],[date]] &gt;= DATE(2022,2,1),"Grammys",TRUE,"Grammys TRA")</f>
        <v>Grammys TRA</v>
      </c>
      <c r="I1407">
        <f>_xlfn.XLOOKUP(Grammys[[#This Row],[date]],mobile_visits[date],mobile_visits[mobile_visitors],0)</f>
        <v>0</v>
      </c>
    </row>
    <row r="1408" spans="1:9">
      <c r="A1408" s="1">
        <v>44142</v>
      </c>
      <c r="B1408">
        <v>13135</v>
      </c>
      <c r="C1408">
        <v>25767</v>
      </c>
      <c r="D1408">
        <v>13984</v>
      </c>
      <c r="E1408">
        <v>5706</v>
      </c>
      <c r="F1408">
        <v>74</v>
      </c>
      <c r="G1408" t="s">
        <v>9</v>
      </c>
      <c r="H1408" t="str" cm="1">
        <f t="array" ref="H1408">_xlfn.IFS(Grammys[[#This Row],[date]] &gt;= DATE(2022,2,1),"Grammys",TRUE,"Grammys TRA")</f>
        <v>Grammys TRA</v>
      </c>
      <c r="I1408">
        <f>_xlfn.XLOOKUP(Grammys[[#This Row],[date]],mobile_visits[date],mobile_visits[mobile_visitors],0)</f>
        <v>0</v>
      </c>
    </row>
    <row r="1409" spans="1:9">
      <c r="A1409" s="1">
        <v>44143</v>
      </c>
      <c r="B1409">
        <v>13600</v>
      </c>
      <c r="C1409">
        <v>26410</v>
      </c>
      <c r="D1409">
        <v>14409</v>
      </c>
      <c r="E1409">
        <v>5996</v>
      </c>
      <c r="F1409">
        <v>85</v>
      </c>
      <c r="G1409" t="s">
        <v>9</v>
      </c>
      <c r="H1409" t="str" cm="1">
        <f t="array" ref="H1409">_xlfn.IFS(Grammys[[#This Row],[date]] &gt;= DATE(2022,2,1),"Grammys",TRUE,"Grammys TRA")</f>
        <v>Grammys TRA</v>
      </c>
      <c r="I1409">
        <f>_xlfn.XLOOKUP(Grammys[[#This Row],[date]],mobile_visits[date],mobile_visits[mobile_visitors],0)</f>
        <v>0</v>
      </c>
    </row>
    <row r="1410" spans="1:9">
      <c r="A1410" s="1">
        <v>44144</v>
      </c>
      <c r="B1410">
        <v>18814</v>
      </c>
      <c r="C1410">
        <v>34866</v>
      </c>
      <c r="D1410">
        <v>19966</v>
      </c>
      <c r="E1410">
        <v>8013</v>
      </c>
      <c r="F1410">
        <v>80</v>
      </c>
      <c r="G1410" t="s">
        <v>9</v>
      </c>
      <c r="H1410" t="str" cm="1">
        <f t="array" ref="H1410">_xlfn.IFS(Grammys[[#This Row],[date]] &gt;= DATE(2022,2,1),"Grammys",TRUE,"Grammys TRA")</f>
        <v>Grammys TRA</v>
      </c>
      <c r="I1410">
        <f>_xlfn.XLOOKUP(Grammys[[#This Row],[date]],mobile_visits[date],mobile_visits[mobile_visitors],0)</f>
        <v>0</v>
      </c>
    </row>
    <row r="1411" spans="1:9">
      <c r="A1411" s="1">
        <v>44145</v>
      </c>
      <c r="B1411">
        <v>16962</v>
      </c>
      <c r="C1411">
        <v>33261</v>
      </c>
      <c r="D1411">
        <v>18232</v>
      </c>
      <c r="E1411">
        <v>7649</v>
      </c>
      <c r="F1411">
        <v>83</v>
      </c>
      <c r="G1411" t="s">
        <v>9</v>
      </c>
      <c r="H1411" t="str" cm="1">
        <f t="array" ref="H1411">_xlfn.IFS(Grammys[[#This Row],[date]] &gt;= DATE(2022,2,1),"Grammys",TRUE,"Grammys TRA")</f>
        <v>Grammys TRA</v>
      </c>
      <c r="I1411">
        <f>_xlfn.XLOOKUP(Grammys[[#This Row],[date]],mobile_visits[date],mobile_visits[mobile_visitors],0)</f>
        <v>0</v>
      </c>
    </row>
    <row r="1412" spans="1:9">
      <c r="A1412" s="1">
        <v>44146</v>
      </c>
      <c r="B1412">
        <v>17079</v>
      </c>
      <c r="C1412">
        <v>33553</v>
      </c>
      <c r="D1412">
        <v>18490</v>
      </c>
      <c r="E1412">
        <v>7996</v>
      </c>
      <c r="F1412">
        <v>83</v>
      </c>
      <c r="G1412" t="s">
        <v>9</v>
      </c>
      <c r="H1412" t="str" cm="1">
        <f t="array" ref="H1412">_xlfn.IFS(Grammys[[#This Row],[date]] &gt;= DATE(2022,2,1),"Grammys",TRUE,"Grammys TRA")</f>
        <v>Grammys TRA</v>
      </c>
      <c r="I1412">
        <f>_xlfn.XLOOKUP(Grammys[[#This Row],[date]],mobile_visits[date],mobile_visits[mobile_visitors],0)</f>
        <v>0</v>
      </c>
    </row>
    <row r="1413" spans="1:9">
      <c r="A1413" s="1">
        <v>44147</v>
      </c>
      <c r="B1413">
        <v>18830</v>
      </c>
      <c r="C1413">
        <v>35501</v>
      </c>
      <c r="D1413">
        <v>20505</v>
      </c>
      <c r="E1413">
        <v>8873</v>
      </c>
      <c r="F1413">
        <v>89</v>
      </c>
      <c r="G1413" t="s">
        <v>9</v>
      </c>
      <c r="H1413" t="str" cm="1">
        <f t="array" ref="H1413">_xlfn.IFS(Grammys[[#This Row],[date]] &gt;= DATE(2022,2,1),"Grammys",TRUE,"Grammys TRA")</f>
        <v>Grammys TRA</v>
      </c>
      <c r="I1413">
        <f>_xlfn.XLOOKUP(Grammys[[#This Row],[date]],mobile_visits[date],mobile_visits[mobile_visitors],0)</f>
        <v>0</v>
      </c>
    </row>
    <row r="1414" spans="1:9">
      <c r="A1414" s="1">
        <v>44148</v>
      </c>
      <c r="B1414">
        <v>16319</v>
      </c>
      <c r="C1414">
        <v>30687</v>
      </c>
      <c r="D1414">
        <v>17412</v>
      </c>
      <c r="E1414">
        <v>7704</v>
      </c>
      <c r="F1414">
        <v>84</v>
      </c>
      <c r="G1414" t="s">
        <v>9</v>
      </c>
      <c r="H1414" t="str" cm="1">
        <f t="array" ref="H1414">_xlfn.IFS(Grammys[[#This Row],[date]] &gt;= DATE(2022,2,1),"Grammys",TRUE,"Grammys TRA")</f>
        <v>Grammys TRA</v>
      </c>
      <c r="I1414">
        <f>_xlfn.XLOOKUP(Grammys[[#This Row],[date]],mobile_visits[date],mobile_visits[mobile_visitors],0)</f>
        <v>0</v>
      </c>
    </row>
    <row r="1415" spans="1:9">
      <c r="A1415" s="1">
        <v>44149</v>
      </c>
      <c r="B1415">
        <v>15983</v>
      </c>
      <c r="C1415">
        <v>30682</v>
      </c>
      <c r="D1415">
        <v>17289</v>
      </c>
      <c r="E1415">
        <v>7405</v>
      </c>
      <c r="F1415">
        <v>78</v>
      </c>
      <c r="G1415" t="s">
        <v>9</v>
      </c>
      <c r="H1415" t="str" cm="1">
        <f t="array" ref="H1415">_xlfn.IFS(Grammys[[#This Row],[date]] &gt;= DATE(2022,2,1),"Grammys",TRUE,"Grammys TRA")</f>
        <v>Grammys TRA</v>
      </c>
      <c r="I1415">
        <f>_xlfn.XLOOKUP(Grammys[[#This Row],[date]],mobile_visits[date],mobile_visits[mobile_visitors],0)</f>
        <v>0</v>
      </c>
    </row>
    <row r="1416" spans="1:9">
      <c r="A1416" s="1">
        <v>44150</v>
      </c>
      <c r="B1416">
        <v>17175</v>
      </c>
      <c r="C1416">
        <v>32326</v>
      </c>
      <c r="D1416">
        <v>18273</v>
      </c>
      <c r="E1416">
        <v>7651</v>
      </c>
      <c r="F1416">
        <v>80</v>
      </c>
      <c r="G1416" t="s">
        <v>9</v>
      </c>
      <c r="H1416" t="str" cm="1">
        <f t="array" ref="H1416">_xlfn.IFS(Grammys[[#This Row],[date]] &gt;= DATE(2022,2,1),"Grammys",TRUE,"Grammys TRA")</f>
        <v>Grammys TRA</v>
      </c>
      <c r="I1416">
        <f>_xlfn.XLOOKUP(Grammys[[#This Row],[date]],mobile_visits[date],mobile_visits[mobile_visitors],0)</f>
        <v>0</v>
      </c>
    </row>
    <row r="1417" spans="1:9">
      <c r="A1417" s="1">
        <v>44151</v>
      </c>
      <c r="B1417">
        <v>20858</v>
      </c>
      <c r="C1417">
        <v>41662</v>
      </c>
      <c r="D1417">
        <v>22350</v>
      </c>
      <c r="E1417">
        <v>8925</v>
      </c>
      <c r="F1417">
        <v>88</v>
      </c>
      <c r="G1417" t="s">
        <v>9</v>
      </c>
      <c r="H1417" t="str" cm="1">
        <f t="array" ref="H1417">_xlfn.IFS(Grammys[[#This Row],[date]] &gt;= DATE(2022,2,1),"Grammys",TRUE,"Grammys TRA")</f>
        <v>Grammys TRA</v>
      </c>
      <c r="I1417">
        <f>_xlfn.XLOOKUP(Grammys[[#This Row],[date]],mobile_visits[date],mobile_visits[mobile_visitors],0)</f>
        <v>0</v>
      </c>
    </row>
    <row r="1418" spans="1:9">
      <c r="A1418" s="1">
        <v>44152</v>
      </c>
      <c r="B1418">
        <v>25041</v>
      </c>
      <c r="C1418">
        <v>51792</v>
      </c>
      <c r="D1418">
        <v>27188</v>
      </c>
      <c r="E1418">
        <v>10846</v>
      </c>
      <c r="F1418">
        <v>91</v>
      </c>
      <c r="G1418" t="s">
        <v>9</v>
      </c>
      <c r="H1418" t="str" cm="1">
        <f t="array" ref="H1418">_xlfn.IFS(Grammys[[#This Row],[date]] &gt;= DATE(2022,2,1),"Grammys",TRUE,"Grammys TRA")</f>
        <v>Grammys TRA</v>
      </c>
      <c r="I1418">
        <f>_xlfn.XLOOKUP(Grammys[[#This Row],[date]],mobile_visits[date],mobile_visits[mobile_visitors],0)</f>
        <v>0</v>
      </c>
    </row>
    <row r="1419" spans="1:9">
      <c r="A1419" s="1">
        <v>44153</v>
      </c>
      <c r="B1419">
        <v>25803</v>
      </c>
      <c r="C1419">
        <v>50872</v>
      </c>
      <c r="D1419">
        <v>27947</v>
      </c>
      <c r="E1419">
        <v>11378</v>
      </c>
      <c r="F1419">
        <v>80</v>
      </c>
      <c r="G1419" t="s">
        <v>9</v>
      </c>
      <c r="H1419" t="str" cm="1">
        <f t="array" ref="H1419">_xlfn.IFS(Grammys[[#This Row],[date]] &gt;= DATE(2022,2,1),"Grammys",TRUE,"Grammys TRA")</f>
        <v>Grammys TRA</v>
      </c>
      <c r="I1419">
        <f>_xlfn.XLOOKUP(Grammys[[#This Row],[date]],mobile_visits[date],mobile_visits[mobile_visitors],0)</f>
        <v>0</v>
      </c>
    </row>
    <row r="1420" spans="1:9">
      <c r="A1420" s="1">
        <v>44154</v>
      </c>
      <c r="B1420">
        <v>61532</v>
      </c>
      <c r="C1420">
        <v>106845</v>
      </c>
      <c r="D1420">
        <v>67141</v>
      </c>
      <c r="E1420">
        <v>25044</v>
      </c>
      <c r="F1420">
        <v>73</v>
      </c>
      <c r="G1420" t="s">
        <v>9</v>
      </c>
      <c r="H1420" t="str" cm="1">
        <f t="array" ref="H1420">_xlfn.IFS(Grammys[[#This Row],[date]] &gt;= DATE(2022,2,1),"Grammys",TRUE,"Grammys TRA")</f>
        <v>Grammys TRA</v>
      </c>
      <c r="I1420">
        <f>_xlfn.XLOOKUP(Grammys[[#This Row],[date]],mobile_visits[date],mobile_visits[mobile_visitors],0)</f>
        <v>0</v>
      </c>
    </row>
    <row r="1421" spans="1:9">
      <c r="A1421" s="1">
        <v>44155</v>
      </c>
      <c r="B1421">
        <v>42261</v>
      </c>
      <c r="C1421">
        <v>75620</v>
      </c>
      <c r="D1421">
        <v>44995</v>
      </c>
      <c r="E1421">
        <v>17967</v>
      </c>
      <c r="F1421">
        <v>65</v>
      </c>
      <c r="G1421" t="s">
        <v>9</v>
      </c>
      <c r="H1421" t="str" cm="1">
        <f t="array" ref="H1421">_xlfn.IFS(Grammys[[#This Row],[date]] &gt;= DATE(2022,2,1),"Grammys",TRUE,"Grammys TRA")</f>
        <v>Grammys TRA</v>
      </c>
      <c r="I1421">
        <f>_xlfn.XLOOKUP(Grammys[[#This Row],[date]],mobile_visits[date],mobile_visits[mobile_visitors],0)</f>
        <v>0</v>
      </c>
    </row>
    <row r="1422" spans="1:9">
      <c r="A1422" s="1">
        <v>44156</v>
      </c>
      <c r="B1422">
        <v>24891</v>
      </c>
      <c r="C1422">
        <v>48028</v>
      </c>
      <c r="D1422">
        <v>26896</v>
      </c>
      <c r="E1422">
        <v>11230</v>
      </c>
      <c r="F1422">
        <v>77</v>
      </c>
      <c r="G1422" t="s">
        <v>9</v>
      </c>
      <c r="H1422" t="str" cm="1">
        <f t="array" ref="H1422">_xlfn.IFS(Grammys[[#This Row],[date]] &gt;= DATE(2022,2,1),"Grammys",TRUE,"Grammys TRA")</f>
        <v>Grammys TRA</v>
      </c>
      <c r="I1422">
        <f>_xlfn.XLOOKUP(Grammys[[#This Row],[date]],mobile_visits[date],mobile_visits[mobile_visitors],0)</f>
        <v>0</v>
      </c>
    </row>
    <row r="1423" spans="1:9">
      <c r="A1423" s="1">
        <v>44157</v>
      </c>
      <c r="B1423">
        <v>32299</v>
      </c>
      <c r="C1423">
        <v>60680</v>
      </c>
      <c r="D1423">
        <v>34794</v>
      </c>
      <c r="E1423">
        <v>13323</v>
      </c>
      <c r="F1423">
        <v>69</v>
      </c>
      <c r="G1423" t="s">
        <v>9</v>
      </c>
      <c r="H1423" t="str" cm="1">
        <f t="array" ref="H1423">_xlfn.IFS(Grammys[[#This Row],[date]] &gt;= DATE(2022,2,1),"Grammys",TRUE,"Grammys TRA")</f>
        <v>Grammys TRA</v>
      </c>
      <c r="I1423">
        <f>_xlfn.XLOOKUP(Grammys[[#This Row],[date]],mobile_visits[date],mobile_visits[mobile_visitors],0)</f>
        <v>0</v>
      </c>
    </row>
    <row r="1424" spans="1:9">
      <c r="A1424" s="1">
        <v>44158</v>
      </c>
      <c r="B1424">
        <v>63653</v>
      </c>
      <c r="C1424">
        <v>140266</v>
      </c>
      <c r="D1424">
        <v>70828</v>
      </c>
      <c r="E1424">
        <v>26688</v>
      </c>
      <c r="F1424">
        <v>88</v>
      </c>
      <c r="G1424" t="s">
        <v>10</v>
      </c>
      <c r="H1424" t="str" cm="1">
        <f t="array" ref="H1424">_xlfn.IFS(Grammys[[#This Row],[date]] &gt;= DATE(2022,2,1),"Grammys",TRUE,"Grammys TRA")</f>
        <v>Grammys TRA</v>
      </c>
      <c r="I1424">
        <f>_xlfn.XLOOKUP(Grammys[[#This Row],[date]],mobile_visits[date],mobile_visits[mobile_visitors],0)</f>
        <v>0</v>
      </c>
    </row>
    <row r="1425" spans="1:9">
      <c r="A1425" s="1">
        <v>44159</v>
      </c>
      <c r="B1425">
        <v>1958933</v>
      </c>
      <c r="C1425">
        <v>4148435</v>
      </c>
      <c r="D1425">
        <v>2261918</v>
      </c>
      <c r="E1425">
        <v>630849</v>
      </c>
      <c r="F1425">
        <v>198</v>
      </c>
      <c r="G1425" t="s">
        <v>9</v>
      </c>
      <c r="H1425" t="str" cm="1">
        <f t="array" ref="H1425">_xlfn.IFS(Grammys[[#This Row],[date]] &gt;= DATE(2022,2,1),"Grammys",TRUE,"Grammys TRA")</f>
        <v>Grammys TRA</v>
      </c>
      <c r="I1425">
        <f>_xlfn.XLOOKUP(Grammys[[#This Row],[date]],mobile_visits[date],mobile_visits[mobile_visitors],0)</f>
        <v>0</v>
      </c>
    </row>
    <row r="1426" spans="1:9">
      <c r="A1426" s="1">
        <v>44160</v>
      </c>
      <c r="B1426">
        <v>762775</v>
      </c>
      <c r="C1426">
        <v>1441502</v>
      </c>
      <c r="D1426">
        <v>856904</v>
      </c>
      <c r="E1426">
        <v>330937</v>
      </c>
      <c r="F1426">
        <v>116</v>
      </c>
      <c r="G1426" t="s">
        <v>9</v>
      </c>
      <c r="H1426" t="str" cm="1">
        <f t="array" ref="H1426">_xlfn.IFS(Grammys[[#This Row],[date]] &gt;= DATE(2022,2,1),"Grammys",TRUE,"Grammys TRA")</f>
        <v>Grammys TRA</v>
      </c>
      <c r="I1426">
        <f>_xlfn.XLOOKUP(Grammys[[#This Row],[date]],mobile_visits[date],mobile_visits[mobile_visitors],0)</f>
        <v>0</v>
      </c>
    </row>
    <row r="1427" spans="1:9">
      <c r="A1427" s="1">
        <v>44161</v>
      </c>
      <c r="B1427">
        <v>260940</v>
      </c>
      <c r="C1427">
        <v>505559</v>
      </c>
      <c r="D1427">
        <v>290319</v>
      </c>
      <c r="E1427">
        <v>118915</v>
      </c>
      <c r="F1427">
        <v>109</v>
      </c>
      <c r="G1427" t="s">
        <v>9</v>
      </c>
      <c r="H1427" t="str" cm="1">
        <f t="array" ref="H1427">_xlfn.IFS(Grammys[[#This Row],[date]] &gt;= DATE(2022,2,1),"Grammys",TRUE,"Grammys TRA")</f>
        <v>Grammys TRA</v>
      </c>
      <c r="I1427">
        <f>_xlfn.XLOOKUP(Grammys[[#This Row],[date]],mobile_visits[date],mobile_visits[mobile_visitors],0)</f>
        <v>0</v>
      </c>
    </row>
    <row r="1428" spans="1:9">
      <c r="A1428" s="1">
        <v>44162</v>
      </c>
      <c r="B1428">
        <v>141310</v>
      </c>
      <c r="C1428">
        <v>283121</v>
      </c>
      <c r="D1428">
        <v>156211</v>
      </c>
      <c r="E1428">
        <v>62891</v>
      </c>
      <c r="F1428">
        <v>112</v>
      </c>
      <c r="G1428" t="s">
        <v>9</v>
      </c>
      <c r="H1428" t="str" cm="1">
        <f t="array" ref="H1428">_xlfn.IFS(Grammys[[#This Row],[date]] &gt;= DATE(2022,2,1),"Grammys",TRUE,"Grammys TRA")</f>
        <v>Grammys TRA</v>
      </c>
      <c r="I1428">
        <f>_xlfn.XLOOKUP(Grammys[[#This Row],[date]],mobile_visits[date],mobile_visits[mobile_visitors],0)</f>
        <v>0</v>
      </c>
    </row>
    <row r="1429" spans="1:9">
      <c r="A1429" s="1">
        <v>44163</v>
      </c>
      <c r="B1429">
        <v>113877</v>
      </c>
      <c r="C1429">
        <v>227719</v>
      </c>
      <c r="D1429">
        <v>125883</v>
      </c>
      <c r="E1429">
        <v>51071</v>
      </c>
      <c r="F1429">
        <v>112</v>
      </c>
      <c r="G1429" t="s">
        <v>9</v>
      </c>
      <c r="H1429" t="str" cm="1">
        <f t="array" ref="H1429">_xlfn.IFS(Grammys[[#This Row],[date]] &gt;= DATE(2022,2,1),"Grammys",TRUE,"Grammys TRA")</f>
        <v>Grammys TRA</v>
      </c>
      <c r="I1429">
        <f>_xlfn.XLOOKUP(Grammys[[#This Row],[date]],mobile_visits[date],mobile_visits[mobile_visitors],0)</f>
        <v>0</v>
      </c>
    </row>
    <row r="1430" spans="1:9">
      <c r="A1430" s="1">
        <v>44164</v>
      </c>
      <c r="B1430">
        <v>94497</v>
      </c>
      <c r="C1430">
        <v>189935</v>
      </c>
      <c r="D1430">
        <v>104784</v>
      </c>
      <c r="E1430">
        <v>41694</v>
      </c>
      <c r="F1430">
        <v>111</v>
      </c>
      <c r="G1430" t="s">
        <v>9</v>
      </c>
      <c r="H1430" t="str" cm="1">
        <f t="array" ref="H1430">_xlfn.IFS(Grammys[[#This Row],[date]] &gt;= DATE(2022,2,1),"Grammys",TRUE,"Grammys TRA")</f>
        <v>Grammys TRA</v>
      </c>
      <c r="I1430">
        <f>_xlfn.XLOOKUP(Grammys[[#This Row],[date]],mobile_visits[date],mobile_visits[mobile_visitors],0)</f>
        <v>0</v>
      </c>
    </row>
    <row r="1431" spans="1:9">
      <c r="A1431" s="1">
        <v>44165</v>
      </c>
      <c r="B1431">
        <v>92980</v>
      </c>
      <c r="C1431">
        <v>194194</v>
      </c>
      <c r="D1431">
        <v>100948</v>
      </c>
      <c r="E1431">
        <v>37331</v>
      </c>
      <c r="F1431">
        <v>105</v>
      </c>
      <c r="G1431" t="s">
        <v>9</v>
      </c>
      <c r="H1431" t="str" cm="1">
        <f t="array" ref="H1431">_xlfn.IFS(Grammys[[#This Row],[date]] &gt;= DATE(2022,2,1),"Grammys",TRUE,"Grammys TRA")</f>
        <v>Grammys TRA</v>
      </c>
      <c r="I1431">
        <f>_xlfn.XLOOKUP(Grammys[[#This Row],[date]],mobile_visits[date],mobile_visits[mobile_visitors],0)</f>
        <v>0</v>
      </c>
    </row>
    <row r="1432" spans="1:9">
      <c r="A1432" s="1">
        <v>44166</v>
      </c>
      <c r="B1432">
        <v>76758</v>
      </c>
      <c r="C1432">
        <v>163418</v>
      </c>
      <c r="D1432">
        <v>83983</v>
      </c>
      <c r="E1432">
        <v>32544</v>
      </c>
      <c r="F1432">
        <v>104</v>
      </c>
      <c r="G1432" t="s">
        <v>9</v>
      </c>
      <c r="H1432" t="str" cm="1">
        <f t="array" ref="H1432">_xlfn.IFS(Grammys[[#This Row],[date]] &gt;= DATE(2022,2,1),"Grammys",TRUE,"Grammys TRA")</f>
        <v>Grammys TRA</v>
      </c>
      <c r="I1432">
        <f>_xlfn.XLOOKUP(Grammys[[#This Row],[date]],mobile_visits[date],mobile_visits[mobile_visitors],0)</f>
        <v>0</v>
      </c>
    </row>
    <row r="1433" spans="1:9">
      <c r="A1433" s="1">
        <v>44167</v>
      </c>
      <c r="B1433">
        <v>63844</v>
      </c>
      <c r="C1433">
        <v>137753</v>
      </c>
      <c r="D1433">
        <v>71479</v>
      </c>
      <c r="E1433">
        <v>29650</v>
      </c>
      <c r="F1433">
        <v>103</v>
      </c>
      <c r="G1433" t="s">
        <v>9</v>
      </c>
      <c r="H1433" t="str" cm="1">
        <f t="array" ref="H1433">_xlfn.IFS(Grammys[[#This Row],[date]] &gt;= DATE(2022,2,1),"Grammys",TRUE,"Grammys TRA")</f>
        <v>Grammys TRA</v>
      </c>
      <c r="I1433">
        <f>_xlfn.XLOOKUP(Grammys[[#This Row],[date]],mobile_visits[date],mobile_visits[mobile_visitors],0)</f>
        <v>0</v>
      </c>
    </row>
    <row r="1434" spans="1:9">
      <c r="A1434" s="1">
        <v>44168</v>
      </c>
      <c r="B1434">
        <v>51087</v>
      </c>
      <c r="C1434">
        <v>107078</v>
      </c>
      <c r="D1434">
        <v>55955</v>
      </c>
      <c r="E1434">
        <v>23770</v>
      </c>
      <c r="F1434">
        <v>101</v>
      </c>
      <c r="G1434" t="s">
        <v>9</v>
      </c>
      <c r="H1434" t="str" cm="1">
        <f t="array" ref="H1434">_xlfn.IFS(Grammys[[#This Row],[date]] &gt;= DATE(2022,2,1),"Grammys",TRUE,"Grammys TRA")</f>
        <v>Grammys TRA</v>
      </c>
      <c r="I1434">
        <f>_xlfn.XLOOKUP(Grammys[[#This Row],[date]],mobile_visits[date],mobile_visits[mobile_visitors],0)</f>
        <v>0</v>
      </c>
    </row>
    <row r="1435" spans="1:9">
      <c r="A1435" s="1">
        <v>44169</v>
      </c>
      <c r="B1435">
        <v>48800</v>
      </c>
      <c r="C1435">
        <v>99890</v>
      </c>
      <c r="D1435">
        <v>52657</v>
      </c>
      <c r="E1435">
        <v>22701</v>
      </c>
      <c r="F1435">
        <v>100</v>
      </c>
      <c r="G1435" t="s">
        <v>9</v>
      </c>
      <c r="H1435" t="str" cm="1">
        <f t="array" ref="H1435">_xlfn.IFS(Grammys[[#This Row],[date]] &gt;= DATE(2022,2,1),"Grammys",TRUE,"Grammys TRA")</f>
        <v>Grammys TRA</v>
      </c>
      <c r="I1435">
        <f>_xlfn.XLOOKUP(Grammys[[#This Row],[date]],mobile_visits[date],mobile_visits[mobile_visitors],0)</f>
        <v>0</v>
      </c>
    </row>
    <row r="1436" spans="1:9">
      <c r="A1436" s="1">
        <v>44170</v>
      </c>
      <c r="B1436">
        <v>43764</v>
      </c>
      <c r="C1436">
        <v>87082</v>
      </c>
      <c r="D1436">
        <v>47498</v>
      </c>
      <c r="E1436">
        <v>20800</v>
      </c>
      <c r="F1436">
        <v>97</v>
      </c>
      <c r="G1436" t="s">
        <v>9</v>
      </c>
      <c r="H1436" t="str" cm="1">
        <f t="array" ref="H1436">_xlfn.IFS(Grammys[[#This Row],[date]] &gt;= DATE(2022,2,1),"Grammys",TRUE,"Grammys TRA")</f>
        <v>Grammys TRA</v>
      </c>
      <c r="I1436">
        <f>_xlfn.XLOOKUP(Grammys[[#This Row],[date]],mobile_visits[date],mobile_visits[mobile_visitors],0)</f>
        <v>0</v>
      </c>
    </row>
    <row r="1437" spans="1:9">
      <c r="A1437" s="1">
        <v>44171</v>
      </c>
      <c r="B1437">
        <v>42409</v>
      </c>
      <c r="C1437">
        <v>87619</v>
      </c>
      <c r="D1437">
        <v>46342</v>
      </c>
      <c r="E1437">
        <v>19515</v>
      </c>
      <c r="F1437">
        <v>96</v>
      </c>
      <c r="G1437" t="s">
        <v>9</v>
      </c>
      <c r="H1437" t="str" cm="1">
        <f t="array" ref="H1437">_xlfn.IFS(Grammys[[#This Row],[date]] &gt;= DATE(2022,2,1),"Grammys",TRUE,"Grammys TRA")</f>
        <v>Grammys TRA</v>
      </c>
      <c r="I1437">
        <f>_xlfn.XLOOKUP(Grammys[[#This Row],[date]],mobile_visits[date],mobile_visits[mobile_visitors],0)</f>
        <v>0</v>
      </c>
    </row>
    <row r="1438" spans="1:9">
      <c r="A1438" s="1">
        <v>44172</v>
      </c>
      <c r="B1438">
        <v>43390</v>
      </c>
      <c r="C1438">
        <v>96172</v>
      </c>
      <c r="D1438">
        <v>47278</v>
      </c>
      <c r="E1438">
        <v>19030</v>
      </c>
      <c r="F1438">
        <v>101</v>
      </c>
      <c r="G1438" t="s">
        <v>9</v>
      </c>
      <c r="H1438" t="str" cm="1">
        <f t="array" ref="H1438">_xlfn.IFS(Grammys[[#This Row],[date]] &gt;= DATE(2022,2,1),"Grammys",TRUE,"Grammys TRA")</f>
        <v>Grammys TRA</v>
      </c>
      <c r="I1438">
        <f>_xlfn.XLOOKUP(Grammys[[#This Row],[date]],mobile_visits[date],mobile_visits[mobile_visitors],0)</f>
        <v>0</v>
      </c>
    </row>
    <row r="1439" spans="1:9">
      <c r="A1439" s="1">
        <v>44173</v>
      </c>
      <c r="B1439">
        <v>43146</v>
      </c>
      <c r="C1439">
        <v>90214</v>
      </c>
      <c r="D1439">
        <v>46608</v>
      </c>
      <c r="E1439">
        <v>18737</v>
      </c>
      <c r="F1439">
        <v>98</v>
      </c>
      <c r="G1439" t="s">
        <v>9</v>
      </c>
      <c r="H1439" t="str" cm="1">
        <f t="array" ref="H1439">_xlfn.IFS(Grammys[[#This Row],[date]] &gt;= DATE(2022,2,1),"Grammys",TRUE,"Grammys TRA")</f>
        <v>Grammys TRA</v>
      </c>
      <c r="I1439">
        <f>_xlfn.XLOOKUP(Grammys[[#This Row],[date]],mobile_visits[date],mobile_visits[mobile_visitors],0)</f>
        <v>0</v>
      </c>
    </row>
    <row r="1440" spans="1:9">
      <c r="A1440" s="1">
        <v>44174</v>
      </c>
      <c r="B1440">
        <v>38797</v>
      </c>
      <c r="C1440">
        <v>83490</v>
      </c>
      <c r="D1440">
        <v>42421</v>
      </c>
      <c r="E1440">
        <v>17546</v>
      </c>
      <c r="F1440">
        <v>99</v>
      </c>
      <c r="G1440" t="s">
        <v>9</v>
      </c>
      <c r="H1440" t="str" cm="1">
        <f t="array" ref="H1440">_xlfn.IFS(Grammys[[#This Row],[date]] &gt;= DATE(2022,2,1),"Grammys",TRUE,"Grammys TRA")</f>
        <v>Grammys TRA</v>
      </c>
      <c r="I1440">
        <f>_xlfn.XLOOKUP(Grammys[[#This Row],[date]],mobile_visits[date],mobile_visits[mobile_visitors],0)</f>
        <v>0</v>
      </c>
    </row>
    <row r="1441" spans="1:9">
      <c r="A1441" s="1">
        <v>44175</v>
      </c>
      <c r="B1441">
        <v>44347</v>
      </c>
      <c r="C1441">
        <v>92506</v>
      </c>
      <c r="D1441">
        <v>47998</v>
      </c>
      <c r="E1441">
        <v>20500</v>
      </c>
      <c r="F1441">
        <v>96</v>
      </c>
      <c r="G1441" t="s">
        <v>9</v>
      </c>
      <c r="H1441" t="str" cm="1">
        <f t="array" ref="H1441">_xlfn.IFS(Grammys[[#This Row],[date]] &gt;= DATE(2022,2,1),"Grammys",TRUE,"Grammys TRA")</f>
        <v>Grammys TRA</v>
      </c>
      <c r="I1441">
        <f>_xlfn.XLOOKUP(Grammys[[#This Row],[date]],mobile_visits[date],mobile_visits[mobile_visitors],0)</f>
        <v>0</v>
      </c>
    </row>
    <row r="1442" spans="1:9">
      <c r="A1442" s="1">
        <v>44176</v>
      </c>
      <c r="B1442">
        <v>43634</v>
      </c>
      <c r="C1442">
        <v>97289</v>
      </c>
      <c r="D1442">
        <v>48654</v>
      </c>
      <c r="E1442">
        <v>19146</v>
      </c>
      <c r="F1442">
        <v>115</v>
      </c>
      <c r="G1442" t="s">
        <v>9</v>
      </c>
      <c r="H1442" t="str" cm="1">
        <f t="array" ref="H1442">_xlfn.IFS(Grammys[[#This Row],[date]] &gt;= DATE(2022,2,1),"Grammys",TRUE,"Grammys TRA")</f>
        <v>Grammys TRA</v>
      </c>
      <c r="I1442">
        <f>_xlfn.XLOOKUP(Grammys[[#This Row],[date]],mobile_visits[date],mobile_visits[mobile_visitors],0)</f>
        <v>0</v>
      </c>
    </row>
    <row r="1443" spans="1:9">
      <c r="A1443" s="1">
        <v>44177</v>
      </c>
      <c r="B1443">
        <v>37815</v>
      </c>
      <c r="C1443">
        <v>77135</v>
      </c>
      <c r="D1443">
        <v>41338</v>
      </c>
      <c r="E1443">
        <v>16978</v>
      </c>
      <c r="F1443">
        <v>99</v>
      </c>
      <c r="G1443" t="s">
        <v>9</v>
      </c>
      <c r="H1443" t="str" cm="1">
        <f t="array" ref="H1443">_xlfn.IFS(Grammys[[#This Row],[date]] &gt;= DATE(2022,2,1),"Grammys",TRUE,"Grammys TRA")</f>
        <v>Grammys TRA</v>
      </c>
      <c r="I1443">
        <f>_xlfn.XLOOKUP(Grammys[[#This Row],[date]],mobile_visits[date],mobile_visits[mobile_visitors],0)</f>
        <v>0</v>
      </c>
    </row>
    <row r="1444" spans="1:9">
      <c r="A1444" s="1">
        <v>44178</v>
      </c>
      <c r="B1444">
        <v>34527</v>
      </c>
      <c r="C1444">
        <v>68666</v>
      </c>
      <c r="D1444">
        <v>37085</v>
      </c>
      <c r="E1444">
        <v>15439</v>
      </c>
      <c r="F1444">
        <v>96</v>
      </c>
      <c r="G1444" t="s">
        <v>9</v>
      </c>
      <c r="H1444" t="str" cm="1">
        <f t="array" ref="H1444">_xlfn.IFS(Grammys[[#This Row],[date]] &gt;= DATE(2022,2,1),"Grammys",TRUE,"Grammys TRA")</f>
        <v>Grammys TRA</v>
      </c>
      <c r="I1444">
        <f>_xlfn.XLOOKUP(Grammys[[#This Row],[date]],mobile_visits[date],mobile_visits[mobile_visitors],0)</f>
        <v>0</v>
      </c>
    </row>
    <row r="1445" spans="1:9">
      <c r="A1445" s="1">
        <v>44179</v>
      </c>
      <c r="B1445">
        <v>32447</v>
      </c>
      <c r="C1445">
        <v>68981</v>
      </c>
      <c r="D1445">
        <v>35488</v>
      </c>
      <c r="E1445">
        <v>14451</v>
      </c>
      <c r="F1445">
        <v>102</v>
      </c>
      <c r="G1445" t="s">
        <v>9</v>
      </c>
      <c r="H1445" t="str" cm="1">
        <f t="array" ref="H1445">_xlfn.IFS(Grammys[[#This Row],[date]] &gt;= DATE(2022,2,1),"Grammys",TRUE,"Grammys TRA")</f>
        <v>Grammys TRA</v>
      </c>
      <c r="I1445">
        <f>_xlfn.XLOOKUP(Grammys[[#This Row],[date]],mobile_visits[date],mobile_visits[mobile_visitors],0)</f>
        <v>0</v>
      </c>
    </row>
    <row r="1446" spans="1:9">
      <c r="A1446" s="1">
        <v>44180</v>
      </c>
      <c r="B1446">
        <v>47318</v>
      </c>
      <c r="C1446">
        <v>103196</v>
      </c>
      <c r="D1446">
        <v>51756</v>
      </c>
      <c r="E1446">
        <v>20646</v>
      </c>
      <c r="F1446">
        <v>100</v>
      </c>
      <c r="G1446" t="s">
        <v>9</v>
      </c>
      <c r="H1446" t="str" cm="1">
        <f t="array" ref="H1446">_xlfn.IFS(Grammys[[#This Row],[date]] &gt;= DATE(2022,2,1),"Grammys",TRUE,"Grammys TRA")</f>
        <v>Grammys TRA</v>
      </c>
      <c r="I1446">
        <f>_xlfn.XLOOKUP(Grammys[[#This Row],[date]],mobile_visits[date],mobile_visits[mobile_visitors],0)</f>
        <v>0</v>
      </c>
    </row>
    <row r="1447" spans="1:9">
      <c r="A1447" s="1">
        <v>44181</v>
      </c>
      <c r="B1447">
        <v>39080</v>
      </c>
      <c r="C1447">
        <v>79662</v>
      </c>
      <c r="D1447">
        <v>43112</v>
      </c>
      <c r="E1447">
        <v>19629</v>
      </c>
      <c r="F1447">
        <v>96</v>
      </c>
      <c r="G1447" t="s">
        <v>9</v>
      </c>
      <c r="H1447" t="str" cm="1">
        <f t="array" ref="H1447">_xlfn.IFS(Grammys[[#This Row],[date]] &gt;= DATE(2022,2,1),"Grammys",TRUE,"Grammys TRA")</f>
        <v>Grammys TRA</v>
      </c>
      <c r="I1447">
        <f>_xlfn.XLOOKUP(Grammys[[#This Row],[date]],mobile_visits[date],mobile_visits[mobile_visitors],0)</f>
        <v>0</v>
      </c>
    </row>
    <row r="1448" spans="1:9">
      <c r="A1448" s="1">
        <v>44182</v>
      </c>
      <c r="B1448">
        <v>36052</v>
      </c>
      <c r="C1448">
        <v>72926</v>
      </c>
      <c r="D1448">
        <v>38693</v>
      </c>
      <c r="E1448">
        <v>17304</v>
      </c>
      <c r="F1448">
        <v>92</v>
      </c>
      <c r="G1448" t="s">
        <v>9</v>
      </c>
      <c r="H1448" t="str" cm="1">
        <f t="array" ref="H1448">_xlfn.IFS(Grammys[[#This Row],[date]] &gt;= DATE(2022,2,1),"Grammys",TRUE,"Grammys TRA")</f>
        <v>Grammys TRA</v>
      </c>
      <c r="I1448">
        <f>_xlfn.XLOOKUP(Grammys[[#This Row],[date]],mobile_visits[date],mobile_visits[mobile_visitors],0)</f>
        <v>0</v>
      </c>
    </row>
    <row r="1449" spans="1:9">
      <c r="A1449" s="1">
        <v>44183</v>
      </c>
      <c r="B1449">
        <v>34217</v>
      </c>
      <c r="C1449">
        <v>68546</v>
      </c>
      <c r="D1449">
        <v>36939</v>
      </c>
      <c r="E1449">
        <v>16220</v>
      </c>
      <c r="F1449">
        <v>91</v>
      </c>
      <c r="G1449" t="s">
        <v>9</v>
      </c>
      <c r="H1449" t="str" cm="1">
        <f t="array" ref="H1449">_xlfn.IFS(Grammys[[#This Row],[date]] &gt;= DATE(2022,2,1),"Grammys",TRUE,"Grammys TRA")</f>
        <v>Grammys TRA</v>
      </c>
      <c r="I1449">
        <f>_xlfn.XLOOKUP(Grammys[[#This Row],[date]],mobile_visits[date],mobile_visits[mobile_visitors],0)</f>
        <v>0</v>
      </c>
    </row>
    <row r="1450" spans="1:9">
      <c r="A1450" s="1">
        <v>44184</v>
      </c>
      <c r="B1450">
        <v>30628</v>
      </c>
      <c r="C1450">
        <v>60462</v>
      </c>
      <c r="D1450">
        <v>33394</v>
      </c>
      <c r="E1450">
        <v>14978</v>
      </c>
      <c r="F1450">
        <v>93</v>
      </c>
      <c r="G1450" t="s">
        <v>9</v>
      </c>
      <c r="H1450" t="str" cm="1">
        <f t="array" ref="H1450">_xlfn.IFS(Grammys[[#This Row],[date]] &gt;= DATE(2022,2,1),"Grammys",TRUE,"Grammys TRA")</f>
        <v>Grammys TRA</v>
      </c>
      <c r="I1450">
        <f>_xlfn.XLOOKUP(Grammys[[#This Row],[date]],mobile_visits[date],mobile_visits[mobile_visitors],0)</f>
        <v>0</v>
      </c>
    </row>
    <row r="1451" spans="1:9">
      <c r="A1451" s="1">
        <v>44185</v>
      </c>
      <c r="B1451">
        <v>32345</v>
      </c>
      <c r="C1451">
        <v>64112</v>
      </c>
      <c r="D1451">
        <v>35669</v>
      </c>
      <c r="E1451">
        <v>15991</v>
      </c>
      <c r="F1451">
        <v>97</v>
      </c>
      <c r="G1451" t="s">
        <v>9</v>
      </c>
      <c r="H1451" t="str" cm="1">
        <f t="array" ref="H1451">_xlfn.IFS(Grammys[[#This Row],[date]] &gt;= DATE(2022,2,1),"Grammys",TRUE,"Grammys TRA")</f>
        <v>Grammys TRA</v>
      </c>
      <c r="I1451">
        <f>_xlfn.XLOOKUP(Grammys[[#This Row],[date]],mobile_visits[date],mobile_visits[mobile_visitors],0)</f>
        <v>0</v>
      </c>
    </row>
    <row r="1452" spans="1:9">
      <c r="A1452" s="1">
        <v>44186</v>
      </c>
      <c r="B1452">
        <v>30430</v>
      </c>
      <c r="C1452">
        <v>60128</v>
      </c>
      <c r="D1452">
        <v>32715</v>
      </c>
      <c r="E1452">
        <v>14706</v>
      </c>
      <c r="F1452">
        <v>95</v>
      </c>
      <c r="G1452" t="s">
        <v>9</v>
      </c>
      <c r="H1452" t="str" cm="1">
        <f t="array" ref="H1452">_xlfn.IFS(Grammys[[#This Row],[date]] &gt;= DATE(2022,2,1),"Grammys",TRUE,"Grammys TRA")</f>
        <v>Grammys TRA</v>
      </c>
      <c r="I1452">
        <f>_xlfn.XLOOKUP(Grammys[[#This Row],[date]],mobile_visits[date],mobile_visits[mobile_visitors],0)</f>
        <v>0</v>
      </c>
    </row>
    <row r="1453" spans="1:9">
      <c r="A1453" s="1">
        <v>44187</v>
      </c>
      <c r="B1453">
        <v>30528</v>
      </c>
      <c r="C1453">
        <v>59146</v>
      </c>
      <c r="D1453">
        <v>33100</v>
      </c>
      <c r="E1453">
        <v>14919</v>
      </c>
      <c r="F1453">
        <v>92</v>
      </c>
      <c r="G1453" t="s">
        <v>9</v>
      </c>
      <c r="H1453" t="str" cm="1">
        <f t="array" ref="H1453">_xlfn.IFS(Grammys[[#This Row],[date]] &gt;= DATE(2022,2,1),"Grammys",TRUE,"Grammys TRA")</f>
        <v>Grammys TRA</v>
      </c>
      <c r="I1453">
        <f>_xlfn.XLOOKUP(Grammys[[#This Row],[date]],mobile_visits[date],mobile_visits[mobile_visitors],0)</f>
        <v>0</v>
      </c>
    </row>
    <row r="1454" spans="1:9">
      <c r="A1454" s="1">
        <v>44188</v>
      </c>
      <c r="B1454">
        <v>27639</v>
      </c>
      <c r="C1454">
        <v>52727</v>
      </c>
      <c r="D1454">
        <v>29873</v>
      </c>
      <c r="E1454">
        <v>13850</v>
      </c>
      <c r="F1454">
        <v>93</v>
      </c>
      <c r="G1454" t="s">
        <v>9</v>
      </c>
      <c r="H1454" t="str" cm="1">
        <f t="array" ref="H1454">_xlfn.IFS(Grammys[[#This Row],[date]] &gt;= DATE(2022,2,1),"Grammys",TRUE,"Grammys TRA")</f>
        <v>Grammys TRA</v>
      </c>
      <c r="I1454">
        <f>_xlfn.XLOOKUP(Grammys[[#This Row],[date]],mobile_visits[date],mobile_visits[mobile_visitors],0)</f>
        <v>0</v>
      </c>
    </row>
    <row r="1455" spans="1:9">
      <c r="A1455" s="1">
        <v>44189</v>
      </c>
      <c r="B1455">
        <v>24138</v>
      </c>
      <c r="C1455">
        <v>44714</v>
      </c>
      <c r="D1455">
        <v>25710</v>
      </c>
      <c r="E1455">
        <v>12130</v>
      </c>
      <c r="F1455">
        <v>87</v>
      </c>
      <c r="G1455" t="s">
        <v>9</v>
      </c>
      <c r="H1455" t="str" cm="1">
        <f t="array" ref="H1455">_xlfn.IFS(Grammys[[#This Row],[date]] &gt;= DATE(2022,2,1),"Grammys",TRUE,"Grammys TRA")</f>
        <v>Grammys TRA</v>
      </c>
      <c r="I1455">
        <f>_xlfn.XLOOKUP(Grammys[[#This Row],[date]],mobile_visits[date],mobile_visits[mobile_visitors],0)</f>
        <v>0</v>
      </c>
    </row>
    <row r="1456" spans="1:9">
      <c r="A1456" s="1">
        <v>44190</v>
      </c>
      <c r="B1456">
        <v>23066</v>
      </c>
      <c r="C1456">
        <v>42606</v>
      </c>
      <c r="D1456">
        <v>24926</v>
      </c>
      <c r="E1456">
        <v>12025</v>
      </c>
      <c r="F1456">
        <v>83</v>
      </c>
      <c r="G1456" t="s">
        <v>9</v>
      </c>
      <c r="H1456" t="str" cm="1">
        <f t="array" ref="H1456">_xlfn.IFS(Grammys[[#This Row],[date]] &gt;= DATE(2022,2,1),"Grammys",TRUE,"Grammys TRA")</f>
        <v>Grammys TRA</v>
      </c>
      <c r="I1456">
        <f>_xlfn.XLOOKUP(Grammys[[#This Row],[date]],mobile_visits[date],mobile_visits[mobile_visitors],0)</f>
        <v>0</v>
      </c>
    </row>
    <row r="1457" spans="1:9">
      <c r="A1457" s="1">
        <v>44191</v>
      </c>
      <c r="B1457">
        <v>27622</v>
      </c>
      <c r="C1457">
        <v>53539</v>
      </c>
      <c r="D1457">
        <v>30223</v>
      </c>
      <c r="E1457">
        <v>14003</v>
      </c>
      <c r="F1457">
        <v>90</v>
      </c>
      <c r="G1457" t="s">
        <v>9</v>
      </c>
      <c r="H1457" t="str" cm="1">
        <f t="array" ref="H1457">_xlfn.IFS(Grammys[[#This Row],[date]] &gt;= DATE(2022,2,1),"Grammys",TRUE,"Grammys TRA")</f>
        <v>Grammys TRA</v>
      </c>
      <c r="I1457">
        <f>_xlfn.XLOOKUP(Grammys[[#This Row],[date]],mobile_visits[date],mobile_visits[mobile_visitors],0)</f>
        <v>0</v>
      </c>
    </row>
    <row r="1458" spans="1:9">
      <c r="A1458" s="1">
        <v>44192</v>
      </c>
      <c r="B1458">
        <v>31899</v>
      </c>
      <c r="C1458">
        <v>59573</v>
      </c>
      <c r="D1458">
        <v>33770</v>
      </c>
      <c r="E1458">
        <v>15484</v>
      </c>
      <c r="F1458">
        <v>96</v>
      </c>
      <c r="G1458" t="s">
        <v>9</v>
      </c>
      <c r="H1458" t="str" cm="1">
        <f t="array" ref="H1458">_xlfn.IFS(Grammys[[#This Row],[date]] &gt;= DATE(2022,2,1),"Grammys",TRUE,"Grammys TRA")</f>
        <v>Grammys TRA</v>
      </c>
      <c r="I1458">
        <f>_xlfn.XLOOKUP(Grammys[[#This Row],[date]],mobile_visits[date],mobile_visits[mobile_visitors],0)</f>
        <v>0</v>
      </c>
    </row>
    <row r="1459" spans="1:9">
      <c r="A1459" s="1">
        <v>44193</v>
      </c>
      <c r="B1459">
        <v>34809</v>
      </c>
      <c r="C1459">
        <v>67685</v>
      </c>
      <c r="D1459">
        <v>37855</v>
      </c>
      <c r="E1459">
        <v>17296</v>
      </c>
      <c r="F1459">
        <v>89</v>
      </c>
      <c r="G1459" t="s">
        <v>9</v>
      </c>
      <c r="H1459" t="str" cm="1">
        <f t="array" ref="H1459">_xlfn.IFS(Grammys[[#This Row],[date]] &gt;= DATE(2022,2,1),"Grammys",TRUE,"Grammys TRA")</f>
        <v>Grammys TRA</v>
      </c>
      <c r="I1459">
        <f>_xlfn.XLOOKUP(Grammys[[#This Row],[date]],mobile_visits[date],mobile_visits[mobile_visitors],0)</f>
        <v>0</v>
      </c>
    </row>
    <row r="1460" spans="1:9">
      <c r="A1460" s="1">
        <v>44194</v>
      </c>
      <c r="B1460">
        <v>37251</v>
      </c>
      <c r="C1460">
        <v>70736</v>
      </c>
      <c r="D1460">
        <v>39980</v>
      </c>
      <c r="E1460">
        <v>16888</v>
      </c>
      <c r="F1460">
        <v>99</v>
      </c>
      <c r="G1460" t="s">
        <v>9</v>
      </c>
      <c r="H1460" t="str" cm="1">
        <f t="array" ref="H1460">_xlfn.IFS(Grammys[[#This Row],[date]] &gt;= DATE(2022,2,1),"Grammys",TRUE,"Grammys TRA")</f>
        <v>Grammys TRA</v>
      </c>
      <c r="I1460">
        <f>_xlfn.XLOOKUP(Grammys[[#This Row],[date]],mobile_visits[date],mobile_visits[mobile_visitors],0)</f>
        <v>0</v>
      </c>
    </row>
    <row r="1461" spans="1:9">
      <c r="A1461" s="1">
        <v>44195</v>
      </c>
      <c r="B1461">
        <v>47761</v>
      </c>
      <c r="C1461">
        <v>84979</v>
      </c>
      <c r="D1461">
        <v>50686</v>
      </c>
      <c r="E1461">
        <v>22769</v>
      </c>
      <c r="F1461">
        <v>97</v>
      </c>
      <c r="G1461" t="s">
        <v>9</v>
      </c>
      <c r="H1461" t="str" cm="1">
        <f t="array" ref="H1461">_xlfn.IFS(Grammys[[#This Row],[date]] &gt;= DATE(2022,2,1),"Grammys",TRUE,"Grammys TRA")</f>
        <v>Grammys TRA</v>
      </c>
      <c r="I1461">
        <f>_xlfn.XLOOKUP(Grammys[[#This Row],[date]],mobile_visits[date],mobile_visits[mobile_visitors],0)</f>
        <v>0</v>
      </c>
    </row>
    <row r="1462" spans="1:9">
      <c r="A1462" s="1">
        <v>44196</v>
      </c>
      <c r="B1462">
        <v>60092</v>
      </c>
      <c r="C1462">
        <v>104198</v>
      </c>
      <c r="D1462">
        <v>64141</v>
      </c>
      <c r="E1462">
        <v>26542</v>
      </c>
      <c r="F1462">
        <v>97</v>
      </c>
      <c r="G1462" t="s">
        <v>9</v>
      </c>
      <c r="H1462" t="str" cm="1">
        <f t="array" ref="H1462">_xlfn.IFS(Grammys[[#This Row],[date]] &gt;= DATE(2022,2,1),"Grammys",TRUE,"Grammys TRA")</f>
        <v>Grammys TRA</v>
      </c>
      <c r="I1462">
        <f>_xlfn.XLOOKUP(Grammys[[#This Row],[date]],mobile_visits[date],mobile_visits[mobile_visitors],0)</f>
        <v>0</v>
      </c>
    </row>
    <row r="1463" spans="1:9">
      <c r="A1463" s="1">
        <v>44197</v>
      </c>
      <c r="B1463">
        <v>40258</v>
      </c>
      <c r="C1463">
        <v>73036</v>
      </c>
      <c r="D1463">
        <v>42932</v>
      </c>
      <c r="E1463">
        <v>18659</v>
      </c>
      <c r="F1463">
        <v>105</v>
      </c>
      <c r="G1463" t="s">
        <v>9</v>
      </c>
      <c r="H1463" t="str" cm="1">
        <f t="array" ref="H1463">_xlfn.IFS(Grammys[[#This Row],[date]] &gt;= DATE(2022,2,1),"Grammys",TRUE,"Grammys TRA")</f>
        <v>Grammys TRA</v>
      </c>
      <c r="I1463">
        <f>_xlfn.XLOOKUP(Grammys[[#This Row],[date]],mobile_visits[date],mobile_visits[mobile_visitors],0)</f>
        <v>0</v>
      </c>
    </row>
    <row r="1464" spans="1:9">
      <c r="A1464" s="1">
        <v>44198</v>
      </c>
      <c r="B1464">
        <v>37616</v>
      </c>
      <c r="C1464">
        <v>72572</v>
      </c>
      <c r="D1464">
        <v>41253</v>
      </c>
      <c r="E1464">
        <v>19229</v>
      </c>
      <c r="F1464">
        <v>91</v>
      </c>
      <c r="G1464" t="s">
        <v>9</v>
      </c>
      <c r="H1464" t="str" cm="1">
        <f t="array" ref="H1464">_xlfn.IFS(Grammys[[#This Row],[date]] &gt;= DATE(2022,2,1),"Grammys",TRUE,"Grammys TRA")</f>
        <v>Grammys TRA</v>
      </c>
      <c r="I1464">
        <f>_xlfn.XLOOKUP(Grammys[[#This Row],[date]],mobile_visits[date],mobile_visits[mobile_visitors],0)</f>
        <v>0</v>
      </c>
    </row>
    <row r="1465" spans="1:9">
      <c r="A1465" s="1">
        <v>44199</v>
      </c>
      <c r="B1465">
        <v>52820</v>
      </c>
      <c r="C1465">
        <v>97686</v>
      </c>
      <c r="D1465">
        <v>57161</v>
      </c>
      <c r="E1465">
        <v>27524</v>
      </c>
      <c r="F1465">
        <v>89</v>
      </c>
      <c r="G1465" t="s">
        <v>9</v>
      </c>
      <c r="H1465" t="str" cm="1">
        <f t="array" ref="H1465">_xlfn.IFS(Grammys[[#This Row],[date]] &gt;= DATE(2022,2,1),"Grammys",TRUE,"Grammys TRA")</f>
        <v>Grammys TRA</v>
      </c>
      <c r="I1465">
        <f>_xlfn.XLOOKUP(Grammys[[#This Row],[date]],mobile_visits[date],mobile_visits[mobile_visitors],0)</f>
        <v>0</v>
      </c>
    </row>
    <row r="1466" spans="1:9">
      <c r="A1466" s="1">
        <v>44200</v>
      </c>
      <c r="B1466">
        <v>51998</v>
      </c>
      <c r="C1466">
        <v>111180</v>
      </c>
      <c r="D1466">
        <v>56799</v>
      </c>
      <c r="E1466">
        <v>23163</v>
      </c>
      <c r="F1466">
        <v>99</v>
      </c>
      <c r="G1466" t="s">
        <v>9</v>
      </c>
      <c r="H1466" t="str" cm="1">
        <f t="array" ref="H1466">_xlfn.IFS(Grammys[[#This Row],[date]] &gt;= DATE(2022,2,1),"Grammys",TRUE,"Grammys TRA")</f>
        <v>Grammys TRA</v>
      </c>
      <c r="I1466">
        <f>_xlfn.XLOOKUP(Grammys[[#This Row],[date]],mobile_visits[date],mobile_visits[mobile_visitors],0)</f>
        <v>0</v>
      </c>
    </row>
    <row r="1467" spans="1:9">
      <c r="A1467" s="1">
        <v>44201</v>
      </c>
      <c r="B1467">
        <v>68607</v>
      </c>
      <c r="C1467">
        <v>134845</v>
      </c>
      <c r="D1467">
        <v>73893</v>
      </c>
      <c r="E1467">
        <v>28169</v>
      </c>
      <c r="F1467">
        <v>113</v>
      </c>
      <c r="G1467" t="s">
        <v>9</v>
      </c>
      <c r="H1467" t="str" cm="1">
        <f t="array" ref="H1467">_xlfn.IFS(Grammys[[#This Row],[date]] &gt;= DATE(2022,2,1),"Grammys",TRUE,"Grammys TRA")</f>
        <v>Grammys TRA</v>
      </c>
      <c r="I1467">
        <f>_xlfn.XLOOKUP(Grammys[[#This Row],[date]],mobile_visits[date],mobile_visits[mobile_visitors],0)</f>
        <v>0</v>
      </c>
    </row>
    <row r="1468" spans="1:9">
      <c r="A1468" s="1">
        <v>44202</v>
      </c>
      <c r="B1468">
        <v>42536</v>
      </c>
      <c r="C1468">
        <v>89142</v>
      </c>
      <c r="D1468">
        <v>46318</v>
      </c>
      <c r="E1468">
        <v>18472</v>
      </c>
      <c r="F1468">
        <v>99</v>
      </c>
      <c r="G1468" t="s">
        <v>9</v>
      </c>
      <c r="H1468" t="str" cm="1">
        <f t="array" ref="H1468">_xlfn.IFS(Grammys[[#This Row],[date]] &gt;= DATE(2022,2,1),"Grammys",TRUE,"Grammys TRA")</f>
        <v>Grammys TRA</v>
      </c>
      <c r="I1468">
        <f>_xlfn.XLOOKUP(Grammys[[#This Row],[date]],mobile_visits[date],mobile_visits[mobile_visitors],0)</f>
        <v>0</v>
      </c>
    </row>
    <row r="1469" spans="1:9">
      <c r="A1469" s="1">
        <v>44203</v>
      </c>
      <c r="B1469">
        <v>53905</v>
      </c>
      <c r="C1469">
        <v>101276</v>
      </c>
      <c r="D1469">
        <v>58359</v>
      </c>
      <c r="E1469">
        <v>21045</v>
      </c>
      <c r="F1469">
        <v>121</v>
      </c>
      <c r="G1469" t="s">
        <v>9</v>
      </c>
      <c r="H1469" t="str" cm="1">
        <f t="array" ref="H1469">_xlfn.IFS(Grammys[[#This Row],[date]] &gt;= DATE(2022,2,1),"Grammys",TRUE,"Grammys TRA")</f>
        <v>Grammys TRA</v>
      </c>
      <c r="I1469">
        <f>_xlfn.XLOOKUP(Grammys[[#This Row],[date]],mobile_visits[date],mobile_visits[mobile_visitors],0)</f>
        <v>0</v>
      </c>
    </row>
    <row r="1470" spans="1:9">
      <c r="A1470" s="1">
        <v>44204</v>
      </c>
      <c r="B1470">
        <v>46932</v>
      </c>
      <c r="C1470">
        <v>84378</v>
      </c>
      <c r="D1470">
        <v>50215</v>
      </c>
      <c r="E1470">
        <v>20086</v>
      </c>
      <c r="F1470">
        <v>101</v>
      </c>
      <c r="G1470" t="s">
        <v>9</v>
      </c>
      <c r="H1470" t="str" cm="1">
        <f t="array" ref="H1470">_xlfn.IFS(Grammys[[#This Row],[date]] &gt;= DATE(2022,2,1),"Grammys",TRUE,"Grammys TRA")</f>
        <v>Grammys TRA</v>
      </c>
      <c r="I1470">
        <f>_xlfn.XLOOKUP(Grammys[[#This Row],[date]],mobile_visits[date],mobile_visits[mobile_visitors],0)</f>
        <v>0</v>
      </c>
    </row>
    <row r="1471" spans="1:9">
      <c r="A1471" s="1">
        <v>44205</v>
      </c>
      <c r="B1471">
        <v>33569</v>
      </c>
      <c r="C1471">
        <v>61814</v>
      </c>
      <c r="D1471">
        <v>35796</v>
      </c>
      <c r="E1471">
        <v>15661</v>
      </c>
      <c r="F1471">
        <v>95</v>
      </c>
      <c r="G1471" t="s">
        <v>9</v>
      </c>
      <c r="H1471" t="str" cm="1">
        <f t="array" ref="H1471">_xlfn.IFS(Grammys[[#This Row],[date]] &gt;= DATE(2022,2,1),"Grammys",TRUE,"Grammys TRA")</f>
        <v>Grammys TRA</v>
      </c>
      <c r="I1471">
        <f>_xlfn.XLOOKUP(Grammys[[#This Row],[date]],mobile_visits[date],mobile_visits[mobile_visitors],0)</f>
        <v>0</v>
      </c>
    </row>
    <row r="1472" spans="1:9">
      <c r="A1472" s="1">
        <v>44206</v>
      </c>
      <c r="B1472">
        <v>29415</v>
      </c>
      <c r="C1472">
        <v>58413</v>
      </c>
      <c r="D1472">
        <v>31787</v>
      </c>
      <c r="E1472">
        <v>14232</v>
      </c>
      <c r="F1472">
        <v>94</v>
      </c>
      <c r="G1472" t="s">
        <v>9</v>
      </c>
      <c r="H1472" t="str" cm="1">
        <f t="array" ref="H1472">_xlfn.IFS(Grammys[[#This Row],[date]] &gt;= DATE(2022,2,1),"Grammys",TRUE,"Grammys TRA")</f>
        <v>Grammys TRA</v>
      </c>
      <c r="I1472">
        <f>_xlfn.XLOOKUP(Grammys[[#This Row],[date]],mobile_visits[date],mobile_visits[mobile_visitors],0)</f>
        <v>0</v>
      </c>
    </row>
    <row r="1473" spans="1:9">
      <c r="A1473" s="1">
        <v>44207</v>
      </c>
      <c r="B1473">
        <v>28714</v>
      </c>
      <c r="C1473">
        <v>58685</v>
      </c>
      <c r="D1473">
        <v>30709</v>
      </c>
      <c r="E1473">
        <v>14130</v>
      </c>
      <c r="F1473">
        <v>92</v>
      </c>
      <c r="G1473" t="s">
        <v>9</v>
      </c>
      <c r="H1473" t="str" cm="1">
        <f t="array" ref="H1473">_xlfn.IFS(Grammys[[#This Row],[date]] &gt;= DATE(2022,2,1),"Grammys",TRUE,"Grammys TRA")</f>
        <v>Grammys TRA</v>
      </c>
      <c r="I1473">
        <f>_xlfn.XLOOKUP(Grammys[[#This Row],[date]],mobile_visits[date],mobile_visits[mobile_visitors],0)</f>
        <v>0</v>
      </c>
    </row>
    <row r="1474" spans="1:9">
      <c r="A1474" s="1">
        <v>44208</v>
      </c>
      <c r="B1474">
        <v>64897</v>
      </c>
      <c r="C1474">
        <v>110033</v>
      </c>
      <c r="D1474">
        <v>69036</v>
      </c>
      <c r="E1474">
        <v>28961</v>
      </c>
      <c r="F1474">
        <v>129</v>
      </c>
      <c r="G1474" t="s">
        <v>9</v>
      </c>
      <c r="H1474" t="str" cm="1">
        <f t="array" ref="H1474">_xlfn.IFS(Grammys[[#This Row],[date]] &gt;= DATE(2022,2,1),"Grammys",TRUE,"Grammys TRA")</f>
        <v>Grammys TRA</v>
      </c>
      <c r="I1474">
        <f>_xlfn.XLOOKUP(Grammys[[#This Row],[date]],mobile_visits[date],mobile_visits[mobile_visitors],0)</f>
        <v>0</v>
      </c>
    </row>
    <row r="1475" spans="1:9">
      <c r="A1475" s="1">
        <v>44209</v>
      </c>
      <c r="B1475">
        <v>39162</v>
      </c>
      <c r="C1475">
        <v>73050</v>
      </c>
      <c r="D1475">
        <v>42086</v>
      </c>
      <c r="E1475">
        <v>18603</v>
      </c>
      <c r="F1475">
        <v>98</v>
      </c>
      <c r="G1475" t="s">
        <v>9</v>
      </c>
      <c r="H1475" t="str" cm="1">
        <f t="array" ref="H1475">_xlfn.IFS(Grammys[[#This Row],[date]] &gt;= DATE(2022,2,1),"Grammys",TRUE,"Grammys TRA")</f>
        <v>Grammys TRA</v>
      </c>
      <c r="I1475">
        <f>_xlfn.XLOOKUP(Grammys[[#This Row],[date]],mobile_visits[date],mobile_visits[mobile_visitors],0)</f>
        <v>0</v>
      </c>
    </row>
    <row r="1476" spans="1:9">
      <c r="A1476" s="1">
        <v>44210</v>
      </c>
      <c r="B1476">
        <v>29025</v>
      </c>
      <c r="C1476">
        <v>56357</v>
      </c>
      <c r="D1476">
        <v>31616</v>
      </c>
      <c r="E1476">
        <v>14215</v>
      </c>
      <c r="F1476">
        <v>96</v>
      </c>
      <c r="G1476" t="s">
        <v>9</v>
      </c>
      <c r="H1476" t="str" cm="1">
        <f t="array" ref="H1476">_xlfn.IFS(Grammys[[#This Row],[date]] &gt;= DATE(2022,2,1),"Grammys",TRUE,"Grammys TRA")</f>
        <v>Grammys TRA</v>
      </c>
      <c r="I1476">
        <f>_xlfn.XLOOKUP(Grammys[[#This Row],[date]],mobile_visits[date],mobile_visits[mobile_visitors],0)</f>
        <v>0</v>
      </c>
    </row>
    <row r="1477" spans="1:9">
      <c r="A1477" s="1">
        <v>44211</v>
      </c>
      <c r="B1477">
        <v>27081</v>
      </c>
      <c r="C1477">
        <v>52345</v>
      </c>
      <c r="D1477">
        <v>28903</v>
      </c>
      <c r="E1477">
        <v>13042</v>
      </c>
      <c r="F1477">
        <v>94</v>
      </c>
      <c r="G1477" t="s">
        <v>9</v>
      </c>
      <c r="H1477" t="str" cm="1">
        <f t="array" ref="H1477">_xlfn.IFS(Grammys[[#This Row],[date]] &gt;= DATE(2022,2,1),"Grammys",TRUE,"Grammys TRA")</f>
        <v>Grammys TRA</v>
      </c>
      <c r="I1477">
        <f>_xlfn.XLOOKUP(Grammys[[#This Row],[date]],mobile_visits[date],mobile_visits[mobile_visitors],0)</f>
        <v>0</v>
      </c>
    </row>
    <row r="1478" spans="1:9">
      <c r="A1478" s="1">
        <v>44212</v>
      </c>
      <c r="B1478">
        <v>35318</v>
      </c>
      <c r="C1478">
        <v>68794</v>
      </c>
      <c r="D1478">
        <v>37345</v>
      </c>
      <c r="E1478">
        <v>14479</v>
      </c>
      <c r="F1478">
        <v>91</v>
      </c>
      <c r="G1478" t="s">
        <v>9</v>
      </c>
      <c r="H1478" t="str" cm="1">
        <f t="array" ref="H1478">_xlfn.IFS(Grammys[[#This Row],[date]] &gt;= DATE(2022,2,1),"Grammys",TRUE,"Grammys TRA")</f>
        <v>Grammys TRA</v>
      </c>
      <c r="I1478">
        <f>_xlfn.XLOOKUP(Grammys[[#This Row],[date]],mobile_visits[date],mobile_visits[mobile_visitors],0)</f>
        <v>0</v>
      </c>
    </row>
    <row r="1479" spans="1:9">
      <c r="A1479" s="1">
        <v>44213</v>
      </c>
      <c r="B1479">
        <v>30540</v>
      </c>
      <c r="C1479">
        <v>59273</v>
      </c>
      <c r="D1479">
        <v>33259</v>
      </c>
      <c r="E1479">
        <v>14774</v>
      </c>
      <c r="F1479">
        <v>88</v>
      </c>
      <c r="G1479" t="s">
        <v>9</v>
      </c>
      <c r="H1479" t="str" cm="1">
        <f t="array" ref="H1479">_xlfn.IFS(Grammys[[#This Row],[date]] &gt;= DATE(2022,2,1),"Grammys",TRUE,"Grammys TRA")</f>
        <v>Grammys TRA</v>
      </c>
      <c r="I1479">
        <f>_xlfn.XLOOKUP(Grammys[[#This Row],[date]],mobile_visits[date],mobile_visits[mobile_visitors],0)</f>
        <v>0</v>
      </c>
    </row>
    <row r="1480" spans="1:9">
      <c r="A1480" s="1">
        <v>44214</v>
      </c>
      <c r="B1480">
        <v>27897</v>
      </c>
      <c r="C1480">
        <v>56048</v>
      </c>
      <c r="D1480">
        <v>30360</v>
      </c>
      <c r="E1480">
        <v>13708</v>
      </c>
      <c r="F1480">
        <v>90</v>
      </c>
      <c r="G1480" t="s">
        <v>9</v>
      </c>
      <c r="H1480" t="str" cm="1">
        <f t="array" ref="H1480">_xlfn.IFS(Grammys[[#This Row],[date]] &gt;= DATE(2022,2,1),"Grammys",TRUE,"Grammys TRA")</f>
        <v>Grammys TRA</v>
      </c>
      <c r="I1480">
        <f>_xlfn.XLOOKUP(Grammys[[#This Row],[date]],mobile_visits[date],mobile_visits[mobile_visitors],0)</f>
        <v>0</v>
      </c>
    </row>
    <row r="1481" spans="1:9">
      <c r="A1481" s="1">
        <v>44215</v>
      </c>
      <c r="B1481">
        <v>30789</v>
      </c>
      <c r="C1481">
        <v>62492</v>
      </c>
      <c r="D1481">
        <v>33507</v>
      </c>
      <c r="E1481">
        <v>15243</v>
      </c>
      <c r="F1481">
        <v>94</v>
      </c>
      <c r="G1481" t="s">
        <v>9</v>
      </c>
      <c r="H1481" t="str" cm="1">
        <f t="array" ref="H1481">_xlfn.IFS(Grammys[[#This Row],[date]] &gt;= DATE(2022,2,1),"Grammys",TRUE,"Grammys TRA")</f>
        <v>Grammys TRA</v>
      </c>
      <c r="I1481">
        <f>_xlfn.XLOOKUP(Grammys[[#This Row],[date]],mobile_visits[date],mobile_visits[mobile_visitors],0)</f>
        <v>0</v>
      </c>
    </row>
    <row r="1482" spans="1:9">
      <c r="A1482" s="1">
        <v>44216</v>
      </c>
      <c r="B1482">
        <v>34055</v>
      </c>
      <c r="C1482">
        <v>73428</v>
      </c>
      <c r="D1482">
        <v>36975</v>
      </c>
      <c r="E1482">
        <v>14949</v>
      </c>
      <c r="F1482">
        <v>89</v>
      </c>
      <c r="G1482" t="s">
        <v>9</v>
      </c>
      <c r="H1482" t="str" cm="1">
        <f t="array" ref="H1482">_xlfn.IFS(Grammys[[#This Row],[date]] &gt;= DATE(2022,2,1),"Grammys",TRUE,"Grammys TRA")</f>
        <v>Grammys TRA</v>
      </c>
      <c r="I1482">
        <f>_xlfn.XLOOKUP(Grammys[[#This Row],[date]],mobile_visits[date],mobile_visits[mobile_visitors],0)</f>
        <v>0</v>
      </c>
    </row>
    <row r="1483" spans="1:9">
      <c r="A1483" s="1">
        <v>44217</v>
      </c>
      <c r="B1483">
        <v>28723</v>
      </c>
      <c r="C1483">
        <v>66901</v>
      </c>
      <c r="D1483">
        <v>31016</v>
      </c>
      <c r="E1483">
        <v>12205</v>
      </c>
      <c r="F1483">
        <v>91</v>
      </c>
      <c r="G1483" t="s">
        <v>9</v>
      </c>
      <c r="H1483" t="str" cm="1">
        <f t="array" ref="H1483">_xlfn.IFS(Grammys[[#This Row],[date]] &gt;= DATE(2022,2,1),"Grammys",TRUE,"Grammys TRA")</f>
        <v>Grammys TRA</v>
      </c>
      <c r="I1483">
        <f>_xlfn.XLOOKUP(Grammys[[#This Row],[date]],mobile_visits[date],mobile_visits[mobile_visitors],0)</f>
        <v>0</v>
      </c>
    </row>
    <row r="1484" spans="1:9">
      <c r="A1484" s="1">
        <v>44218</v>
      </c>
      <c r="B1484">
        <v>26986</v>
      </c>
      <c r="C1484">
        <v>55672</v>
      </c>
      <c r="D1484">
        <v>29219</v>
      </c>
      <c r="E1484">
        <v>12915</v>
      </c>
      <c r="F1484">
        <v>91</v>
      </c>
      <c r="G1484" t="s">
        <v>9</v>
      </c>
      <c r="H1484" t="str" cm="1">
        <f t="array" ref="H1484">_xlfn.IFS(Grammys[[#This Row],[date]] &gt;= DATE(2022,2,1),"Grammys",TRUE,"Grammys TRA")</f>
        <v>Grammys TRA</v>
      </c>
      <c r="I1484">
        <f>_xlfn.XLOOKUP(Grammys[[#This Row],[date]],mobile_visits[date],mobile_visits[mobile_visitors],0)</f>
        <v>0</v>
      </c>
    </row>
    <row r="1485" spans="1:9">
      <c r="A1485" s="1">
        <v>44219</v>
      </c>
      <c r="B1485">
        <v>26181</v>
      </c>
      <c r="C1485">
        <v>50255</v>
      </c>
      <c r="D1485">
        <v>28164</v>
      </c>
      <c r="E1485">
        <v>12559</v>
      </c>
      <c r="F1485">
        <v>85</v>
      </c>
      <c r="G1485" t="s">
        <v>9</v>
      </c>
      <c r="H1485" t="str" cm="1">
        <f t="array" ref="H1485">_xlfn.IFS(Grammys[[#This Row],[date]] &gt;= DATE(2022,2,1),"Grammys",TRUE,"Grammys TRA")</f>
        <v>Grammys TRA</v>
      </c>
      <c r="I1485">
        <f>_xlfn.XLOOKUP(Grammys[[#This Row],[date]],mobile_visits[date],mobile_visits[mobile_visitors],0)</f>
        <v>0</v>
      </c>
    </row>
    <row r="1486" spans="1:9">
      <c r="A1486" s="1">
        <v>44220</v>
      </c>
      <c r="B1486">
        <v>27607</v>
      </c>
      <c r="C1486">
        <v>54100</v>
      </c>
      <c r="D1486">
        <v>30227</v>
      </c>
      <c r="E1486">
        <v>13606</v>
      </c>
      <c r="F1486">
        <v>94</v>
      </c>
      <c r="G1486" t="s">
        <v>9</v>
      </c>
      <c r="H1486" t="str" cm="1">
        <f t="array" ref="H1486">_xlfn.IFS(Grammys[[#This Row],[date]] &gt;= DATE(2022,2,1),"Grammys",TRUE,"Grammys TRA")</f>
        <v>Grammys TRA</v>
      </c>
      <c r="I1486">
        <f>_xlfn.XLOOKUP(Grammys[[#This Row],[date]],mobile_visits[date],mobile_visits[mobile_visitors],0)</f>
        <v>0</v>
      </c>
    </row>
    <row r="1487" spans="1:9">
      <c r="A1487" s="1">
        <v>44221</v>
      </c>
      <c r="B1487">
        <v>28697</v>
      </c>
      <c r="C1487">
        <v>61356</v>
      </c>
      <c r="D1487">
        <v>31127</v>
      </c>
      <c r="E1487">
        <v>13236</v>
      </c>
      <c r="F1487">
        <v>96</v>
      </c>
      <c r="G1487" t="s">
        <v>9</v>
      </c>
      <c r="H1487" t="str" cm="1">
        <f t="array" ref="H1487">_xlfn.IFS(Grammys[[#This Row],[date]] &gt;= DATE(2022,2,1),"Grammys",TRUE,"Grammys TRA")</f>
        <v>Grammys TRA</v>
      </c>
      <c r="I1487">
        <f>_xlfn.XLOOKUP(Grammys[[#This Row],[date]],mobile_visits[date],mobile_visits[mobile_visitors],0)</f>
        <v>0</v>
      </c>
    </row>
    <row r="1488" spans="1:9">
      <c r="A1488" s="1">
        <v>44222</v>
      </c>
      <c r="B1488">
        <v>30624</v>
      </c>
      <c r="C1488">
        <v>64845</v>
      </c>
      <c r="D1488">
        <v>33059</v>
      </c>
      <c r="E1488">
        <v>14735</v>
      </c>
      <c r="F1488">
        <v>95</v>
      </c>
      <c r="G1488" t="s">
        <v>9</v>
      </c>
      <c r="H1488" t="str" cm="1">
        <f t="array" ref="H1488">_xlfn.IFS(Grammys[[#This Row],[date]] &gt;= DATE(2022,2,1),"Grammys",TRUE,"Grammys TRA")</f>
        <v>Grammys TRA</v>
      </c>
      <c r="I1488">
        <f>_xlfn.XLOOKUP(Grammys[[#This Row],[date]],mobile_visits[date],mobile_visits[mobile_visitors],0)</f>
        <v>0</v>
      </c>
    </row>
    <row r="1489" spans="1:9">
      <c r="A1489" s="1">
        <v>44223</v>
      </c>
      <c r="B1489">
        <v>28918</v>
      </c>
      <c r="C1489">
        <v>61156</v>
      </c>
      <c r="D1489">
        <v>31438</v>
      </c>
      <c r="E1489">
        <v>14387</v>
      </c>
      <c r="F1489">
        <v>93</v>
      </c>
      <c r="G1489" t="s">
        <v>9</v>
      </c>
      <c r="H1489" t="str" cm="1">
        <f t="array" ref="H1489">_xlfn.IFS(Grammys[[#This Row],[date]] &gt;= DATE(2022,2,1),"Grammys",TRUE,"Grammys TRA")</f>
        <v>Grammys TRA</v>
      </c>
      <c r="I1489">
        <f>_xlfn.XLOOKUP(Grammys[[#This Row],[date]],mobile_visits[date],mobile_visits[mobile_visitors],0)</f>
        <v>0</v>
      </c>
    </row>
    <row r="1490" spans="1:9">
      <c r="A1490" s="1">
        <v>44224</v>
      </c>
      <c r="B1490">
        <v>29339</v>
      </c>
      <c r="C1490">
        <v>62821</v>
      </c>
      <c r="D1490">
        <v>32152</v>
      </c>
      <c r="E1490">
        <v>14411</v>
      </c>
      <c r="F1490">
        <v>97</v>
      </c>
      <c r="G1490" t="s">
        <v>9</v>
      </c>
      <c r="H1490" t="str" cm="1">
        <f t="array" ref="H1490">_xlfn.IFS(Grammys[[#This Row],[date]] &gt;= DATE(2022,2,1),"Grammys",TRUE,"Grammys TRA")</f>
        <v>Grammys TRA</v>
      </c>
      <c r="I1490">
        <f>_xlfn.XLOOKUP(Grammys[[#This Row],[date]],mobile_visits[date],mobile_visits[mobile_visitors],0)</f>
        <v>0</v>
      </c>
    </row>
    <row r="1491" spans="1:9">
      <c r="A1491" s="1">
        <v>44225</v>
      </c>
      <c r="B1491">
        <v>32113</v>
      </c>
      <c r="C1491">
        <v>66109</v>
      </c>
      <c r="D1491">
        <v>34666</v>
      </c>
      <c r="E1491">
        <v>15562</v>
      </c>
      <c r="F1491">
        <v>93</v>
      </c>
      <c r="G1491" t="s">
        <v>9</v>
      </c>
      <c r="H1491" t="str" cm="1">
        <f t="array" ref="H1491">_xlfn.IFS(Grammys[[#This Row],[date]] &gt;= DATE(2022,2,1),"Grammys",TRUE,"Grammys TRA")</f>
        <v>Grammys TRA</v>
      </c>
      <c r="I1491">
        <f>_xlfn.XLOOKUP(Grammys[[#This Row],[date]],mobile_visits[date],mobile_visits[mobile_visitors],0)</f>
        <v>0</v>
      </c>
    </row>
    <row r="1492" spans="1:9">
      <c r="A1492" s="1">
        <v>44226</v>
      </c>
      <c r="B1492">
        <v>39955</v>
      </c>
      <c r="C1492">
        <v>75401</v>
      </c>
      <c r="D1492">
        <v>42248</v>
      </c>
      <c r="E1492">
        <v>20516</v>
      </c>
      <c r="F1492">
        <v>83</v>
      </c>
      <c r="G1492" t="s">
        <v>9</v>
      </c>
      <c r="H1492" t="str" cm="1">
        <f t="array" ref="H1492">_xlfn.IFS(Grammys[[#This Row],[date]] &gt;= DATE(2022,2,1),"Grammys",TRUE,"Grammys TRA")</f>
        <v>Grammys TRA</v>
      </c>
      <c r="I1492">
        <f>_xlfn.XLOOKUP(Grammys[[#This Row],[date]],mobile_visits[date],mobile_visits[mobile_visitors],0)</f>
        <v>0</v>
      </c>
    </row>
    <row r="1493" spans="1:9">
      <c r="A1493" s="1">
        <v>44227</v>
      </c>
      <c r="B1493">
        <v>45327</v>
      </c>
      <c r="C1493">
        <v>88713</v>
      </c>
      <c r="D1493">
        <v>49140</v>
      </c>
      <c r="E1493">
        <v>23632</v>
      </c>
      <c r="F1493">
        <v>83</v>
      </c>
      <c r="G1493" t="s">
        <v>9</v>
      </c>
      <c r="H1493" t="str" cm="1">
        <f t="array" ref="H1493">_xlfn.IFS(Grammys[[#This Row],[date]] &gt;= DATE(2022,2,1),"Grammys",TRUE,"Grammys TRA")</f>
        <v>Grammys TRA</v>
      </c>
      <c r="I1493">
        <f>_xlfn.XLOOKUP(Grammys[[#This Row],[date]],mobile_visits[date],mobile_visits[mobile_visitors],0)</f>
        <v>0</v>
      </c>
    </row>
    <row r="1494" spans="1:9">
      <c r="A1494" s="1">
        <v>44228</v>
      </c>
      <c r="B1494">
        <v>36153</v>
      </c>
      <c r="C1494">
        <v>74128</v>
      </c>
      <c r="D1494">
        <v>38762</v>
      </c>
      <c r="E1494">
        <v>17273</v>
      </c>
      <c r="F1494">
        <v>89</v>
      </c>
      <c r="G1494" t="s">
        <v>9</v>
      </c>
      <c r="H1494" t="str" cm="1">
        <f t="array" ref="H1494">_xlfn.IFS(Grammys[[#This Row],[date]] &gt;= DATE(2022,2,1),"Grammys",TRUE,"Grammys TRA")</f>
        <v>Grammys TRA</v>
      </c>
      <c r="I1494">
        <f>_xlfn.XLOOKUP(Grammys[[#This Row],[date]],mobile_visits[date],mobile_visits[mobile_visitors],0)</f>
        <v>0</v>
      </c>
    </row>
    <row r="1495" spans="1:9">
      <c r="A1495" s="1">
        <v>44229</v>
      </c>
      <c r="B1495">
        <v>32165</v>
      </c>
      <c r="C1495">
        <v>65706</v>
      </c>
      <c r="D1495">
        <v>34989</v>
      </c>
      <c r="E1495">
        <v>15735</v>
      </c>
      <c r="F1495">
        <v>90</v>
      </c>
      <c r="G1495" t="s">
        <v>9</v>
      </c>
      <c r="H1495" t="str" cm="1">
        <f t="array" ref="H1495">_xlfn.IFS(Grammys[[#This Row],[date]] &gt;= DATE(2022,2,1),"Grammys",TRUE,"Grammys TRA")</f>
        <v>Grammys TRA</v>
      </c>
      <c r="I1495">
        <f>_xlfn.XLOOKUP(Grammys[[#This Row],[date]],mobile_visits[date],mobile_visits[mobile_visitors],0)</f>
        <v>0</v>
      </c>
    </row>
    <row r="1496" spans="1:9">
      <c r="A1496" s="1">
        <v>44230</v>
      </c>
      <c r="B1496">
        <v>37163</v>
      </c>
      <c r="C1496">
        <v>73039</v>
      </c>
      <c r="D1496">
        <v>39661</v>
      </c>
      <c r="E1496">
        <v>18114</v>
      </c>
      <c r="F1496">
        <v>88</v>
      </c>
      <c r="G1496" t="s">
        <v>9</v>
      </c>
      <c r="H1496" t="str" cm="1">
        <f t="array" ref="H1496">_xlfn.IFS(Grammys[[#This Row],[date]] &gt;= DATE(2022,2,1),"Grammys",TRUE,"Grammys TRA")</f>
        <v>Grammys TRA</v>
      </c>
      <c r="I1496">
        <f>_xlfn.XLOOKUP(Grammys[[#This Row],[date]],mobile_visits[date],mobile_visits[mobile_visitors],0)</f>
        <v>0</v>
      </c>
    </row>
    <row r="1497" spans="1:9">
      <c r="A1497" s="1">
        <v>44231</v>
      </c>
      <c r="B1497">
        <v>32797</v>
      </c>
      <c r="C1497">
        <v>65509</v>
      </c>
      <c r="D1497">
        <v>35561</v>
      </c>
      <c r="E1497">
        <v>16202</v>
      </c>
      <c r="F1497">
        <v>95</v>
      </c>
      <c r="G1497" t="s">
        <v>9</v>
      </c>
      <c r="H1497" t="str" cm="1">
        <f t="array" ref="H1497">_xlfn.IFS(Grammys[[#This Row],[date]] &gt;= DATE(2022,2,1),"Grammys",TRUE,"Grammys TRA")</f>
        <v>Grammys TRA</v>
      </c>
      <c r="I1497">
        <f>_xlfn.XLOOKUP(Grammys[[#This Row],[date]],mobile_visits[date],mobile_visits[mobile_visitors],0)</f>
        <v>0</v>
      </c>
    </row>
    <row r="1498" spans="1:9">
      <c r="A1498" s="1">
        <v>44232</v>
      </c>
      <c r="B1498">
        <v>33624</v>
      </c>
      <c r="C1498">
        <v>66410</v>
      </c>
      <c r="D1498">
        <v>36262</v>
      </c>
      <c r="E1498">
        <v>16532</v>
      </c>
      <c r="F1498">
        <v>92</v>
      </c>
      <c r="G1498" t="s">
        <v>9</v>
      </c>
      <c r="H1498" t="str" cm="1">
        <f t="array" ref="H1498">_xlfn.IFS(Grammys[[#This Row],[date]] &gt;= DATE(2022,2,1),"Grammys",TRUE,"Grammys TRA")</f>
        <v>Grammys TRA</v>
      </c>
      <c r="I1498">
        <f>_xlfn.XLOOKUP(Grammys[[#This Row],[date]],mobile_visits[date],mobile_visits[mobile_visitors],0)</f>
        <v>0</v>
      </c>
    </row>
    <row r="1499" spans="1:9">
      <c r="A1499" s="1">
        <v>44233</v>
      </c>
      <c r="B1499">
        <v>33292</v>
      </c>
      <c r="C1499">
        <v>63643</v>
      </c>
      <c r="D1499">
        <v>35552</v>
      </c>
      <c r="E1499">
        <v>16248</v>
      </c>
      <c r="F1499">
        <v>88</v>
      </c>
      <c r="G1499" t="s">
        <v>9</v>
      </c>
      <c r="H1499" t="str" cm="1">
        <f t="array" ref="H1499">_xlfn.IFS(Grammys[[#This Row],[date]] &gt;= DATE(2022,2,1),"Grammys",TRUE,"Grammys TRA")</f>
        <v>Grammys TRA</v>
      </c>
      <c r="I1499">
        <f>_xlfn.XLOOKUP(Grammys[[#This Row],[date]],mobile_visits[date],mobile_visits[mobile_visitors],0)</f>
        <v>0</v>
      </c>
    </row>
    <row r="1500" spans="1:9">
      <c r="A1500" s="1">
        <v>44234</v>
      </c>
      <c r="B1500">
        <v>46467</v>
      </c>
      <c r="C1500">
        <v>86636</v>
      </c>
      <c r="D1500">
        <v>49416</v>
      </c>
      <c r="E1500">
        <v>23241</v>
      </c>
      <c r="F1500">
        <v>91</v>
      </c>
      <c r="G1500" t="s">
        <v>9</v>
      </c>
      <c r="H1500" t="str" cm="1">
        <f t="array" ref="H1500">_xlfn.IFS(Grammys[[#This Row],[date]] &gt;= DATE(2022,2,1),"Grammys",TRUE,"Grammys TRA")</f>
        <v>Grammys TRA</v>
      </c>
      <c r="I1500">
        <f>_xlfn.XLOOKUP(Grammys[[#This Row],[date]],mobile_visits[date],mobile_visits[mobile_visitors],0)</f>
        <v>0</v>
      </c>
    </row>
    <row r="1501" spans="1:9">
      <c r="A1501" s="1">
        <v>44235</v>
      </c>
      <c r="B1501">
        <v>36737</v>
      </c>
      <c r="C1501">
        <v>78679</v>
      </c>
      <c r="D1501">
        <v>40407</v>
      </c>
      <c r="E1501">
        <v>18075</v>
      </c>
      <c r="F1501">
        <v>92</v>
      </c>
      <c r="G1501" t="s">
        <v>9</v>
      </c>
      <c r="H1501" t="str" cm="1">
        <f t="array" ref="H1501">_xlfn.IFS(Grammys[[#This Row],[date]] &gt;= DATE(2022,2,1),"Grammys",TRUE,"Grammys TRA")</f>
        <v>Grammys TRA</v>
      </c>
      <c r="I1501">
        <f>_xlfn.XLOOKUP(Grammys[[#This Row],[date]],mobile_visits[date],mobile_visits[mobile_visitors],0)</f>
        <v>0</v>
      </c>
    </row>
    <row r="1502" spans="1:9">
      <c r="A1502" s="1">
        <v>44236</v>
      </c>
      <c r="B1502">
        <v>33478</v>
      </c>
      <c r="C1502">
        <v>69823</v>
      </c>
      <c r="D1502">
        <v>36131</v>
      </c>
      <c r="E1502">
        <v>16476</v>
      </c>
      <c r="F1502">
        <v>91</v>
      </c>
      <c r="G1502" t="s">
        <v>9</v>
      </c>
      <c r="H1502" t="str" cm="1">
        <f t="array" ref="H1502">_xlfn.IFS(Grammys[[#This Row],[date]] &gt;= DATE(2022,2,1),"Grammys",TRUE,"Grammys TRA")</f>
        <v>Grammys TRA</v>
      </c>
      <c r="I1502">
        <f>_xlfn.XLOOKUP(Grammys[[#This Row],[date]],mobile_visits[date],mobile_visits[mobile_visitors],0)</f>
        <v>0</v>
      </c>
    </row>
    <row r="1503" spans="1:9">
      <c r="A1503" s="1">
        <v>44237</v>
      </c>
      <c r="B1503">
        <v>36115</v>
      </c>
      <c r="C1503">
        <v>74597</v>
      </c>
      <c r="D1503">
        <v>39444</v>
      </c>
      <c r="E1503">
        <v>18086</v>
      </c>
      <c r="F1503">
        <v>80</v>
      </c>
      <c r="G1503" t="s">
        <v>9</v>
      </c>
      <c r="H1503" t="str" cm="1">
        <f t="array" ref="H1503">_xlfn.IFS(Grammys[[#This Row],[date]] &gt;= DATE(2022,2,1),"Grammys",TRUE,"Grammys TRA")</f>
        <v>Grammys TRA</v>
      </c>
      <c r="I1503">
        <f>_xlfn.XLOOKUP(Grammys[[#This Row],[date]],mobile_visits[date],mobile_visits[mobile_visitors],0)</f>
        <v>0</v>
      </c>
    </row>
    <row r="1504" spans="1:9">
      <c r="A1504" s="1">
        <v>44238</v>
      </c>
      <c r="B1504">
        <v>35117</v>
      </c>
      <c r="C1504">
        <v>73269</v>
      </c>
      <c r="D1504">
        <v>38237</v>
      </c>
      <c r="E1504">
        <v>17345</v>
      </c>
      <c r="F1504">
        <v>88</v>
      </c>
      <c r="G1504" t="s">
        <v>9</v>
      </c>
      <c r="H1504" t="str" cm="1">
        <f t="array" ref="H1504">_xlfn.IFS(Grammys[[#This Row],[date]] &gt;= DATE(2022,2,1),"Grammys",TRUE,"Grammys TRA")</f>
        <v>Grammys TRA</v>
      </c>
      <c r="I1504">
        <f>_xlfn.XLOOKUP(Grammys[[#This Row],[date]],mobile_visits[date],mobile_visits[mobile_visitors],0)</f>
        <v>0</v>
      </c>
    </row>
    <row r="1505" spans="1:9">
      <c r="A1505" s="1">
        <v>44239</v>
      </c>
      <c r="B1505">
        <v>31024</v>
      </c>
      <c r="C1505">
        <v>62657</v>
      </c>
      <c r="D1505">
        <v>33771</v>
      </c>
      <c r="E1505">
        <v>15457</v>
      </c>
      <c r="F1505">
        <v>94</v>
      </c>
      <c r="G1505" t="s">
        <v>9</v>
      </c>
      <c r="H1505" t="str" cm="1">
        <f t="array" ref="H1505">_xlfn.IFS(Grammys[[#This Row],[date]] &gt;= DATE(2022,2,1),"Grammys",TRUE,"Grammys TRA")</f>
        <v>Grammys TRA</v>
      </c>
      <c r="I1505">
        <f>_xlfn.XLOOKUP(Grammys[[#This Row],[date]],mobile_visits[date],mobile_visits[mobile_visitors],0)</f>
        <v>0</v>
      </c>
    </row>
    <row r="1506" spans="1:9">
      <c r="A1506" s="1">
        <v>44240</v>
      </c>
      <c r="B1506">
        <v>43253</v>
      </c>
      <c r="C1506">
        <v>78489</v>
      </c>
      <c r="D1506">
        <v>47351</v>
      </c>
      <c r="E1506">
        <v>24850</v>
      </c>
      <c r="F1506">
        <v>66</v>
      </c>
      <c r="G1506" t="s">
        <v>9</v>
      </c>
      <c r="H1506" t="str" cm="1">
        <f t="array" ref="H1506">_xlfn.IFS(Grammys[[#This Row],[date]] &gt;= DATE(2022,2,1),"Grammys",TRUE,"Grammys TRA")</f>
        <v>Grammys TRA</v>
      </c>
      <c r="I1506">
        <f>_xlfn.XLOOKUP(Grammys[[#This Row],[date]],mobile_visits[date],mobile_visits[mobile_visitors],0)</f>
        <v>0</v>
      </c>
    </row>
    <row r="1507" spans="1:9">
      <c r="A1507" s="1">
        <v>44241</v>
      </c>
      <c r="B1507">
        <v>27848</v>
      </c>
      <c r="C1507">
        <v>54855</v>
      </c>
      <c r="D1507">
        <v>30274</v>
      </c>
      <c r="E1507">
        <v>14029</v>
      </c>
      <c r="F1507">
        <v>88</v>
      </c>
      <c r="G1507" t="s">
        <v>9</v>
      </c>
      <c r="H1507" t="str" cm="1">
        <f t="array" ref="H1507">_xlfn.IFS(Grammys[[#This Row],[date]] &gt;= DATE(2022,2,1),"Grammys",TRUE,"Grammys TRA")</f>
        <v>Grammys TRA</v>
      </c>
      <c r="I1507">
        <f>_xlfn.XLOOKUP(Grammys[[#This Row],[date]],mobile_visits[date],mobile_visits[mobile_visitors],0)</f>
        <v>0</v>
      </c>
    </row>
    <row r="1508" spans="1:9">
      <c r="A1508" s="1">
        <v>44242</v>
      </c>
      <c r="B1508">
        <v>30025</v>
      </c>
      <c r="C1508">
        <v>61121</v>
      </c>
      <c r="D1508">
        <v>32589</v>
      </c>
      <c r="E1508">
        <v>14734</v>
      </c>
      <c r="F1508">
        <v>89</v>
      </c>
      <c r="G1508" t="s">
        <v>9</v>
      </c>
      <c r="H1508" t="str" cm="1">
        <f t="array" ref="H1508">_xlfn.IFS(Grammys[[#This Row],[date]] &gt;= DATE(2022,2,1),"Grammys",TRUE,"Grammys TRA")</f>
        <v>Grammys TRA</v>
      </c>
      <c r="I1508">
        <f>_xlfn.XLOOKUP(Grammys[[#This Row],[date]],mobile_visits[date],mobile_visits[mobile_visitors],0)</f>
        <v>0</v>
      </c>
    </row>
    <row r="1509" spans="1:9">
      <c r="A1509" s="1">
        <v>44243</v>
      </c>
      <c r="B1509">
        <v>40727</v>
      </c>
      <c r="C1509">
        <v>82037</v>
      </c>
      <c r="D1509">
        <v>44217</v>
      </c>
      <c r="E1509">
        <v>21180</v>
      </c>
      <c r="F1509">
        <v>87</v>
      </c>
      <c r="G1509" t="s">
        <v>9</v>
      </c>
      <c r="H1509" t="str" cm="1">
        <f t="array" ref="H1509">_xlfn.IFS(Grammys[[#This Row],[date]] &gt;= DATE(2022,2,1),"Grammys",TRUE,"Grammys TRA")</f>
        <v>Grammys TRA</v>
      </c>
      <c r="I1509">
        <f>_xlfn.XLOOKUP(Grammys[[#This Row],[date]],mobile_visits[date],mobile_visits[mobile_visitors],0)</f>
        <v>0</v>
      </c>
    </row>
    <row r="1510" spans="1:9">
      <c r="A1510" s="1">
        <v>44244</v>
      </c>
      <c r="B1510">
        <v>36765</v>
      </c>
      <c r="C1510">
        <v>74326</v>
      </c>
      <c r="D1510">
        <v>39900</v>
      </c>
      <c r="E1510">
        <v>19579</v>
      </c>
      <c r="F1510">
        <v>88</v>
      </c>
      <c r="G1510" t="s">
        <v>9</v>
      </c>
      <c r="H1510" t="str" cm="1">
        <f t="array" ref="H1510">_xlfn.IFS(Grammys[[#This Row],[date]] &gt;= DATE(2022,2,1),"Grammys",TRUE,"Grammys TRA")</f>
        <v>Grammys TRA</v>
      </c>
      <c r="I1510">
        <f>_xlfn.XLOOKUP(Grammys[[#This Row],[date]],mobile_visits[date],mobile_visits[mobile_visitors],0)</f>
        <v>0</v>
      </c>
    </row>
    <row r="1511" spans="1:9">
      <c r="A1511" s="1">
        <v>44245</v>
      </c>
      <c r="B1511">
        <v>41094</v>
      </c>
      <c r="C1511">
        <v>79060</v>
      </c>
      <c r="D1511">
        <v>44632</v>
      </c>
      <c r="E1511">
        <v>22062</v>
      </c>
      <c r="F1511">
        <v>90</v>
      </c>
      <c r="G1511" t="s">
        <v>9</v>
      </c>
      <c r="H1511" t="str" cm="1">
        <f t="array" ref="H1511">_xlfn.IFS(Grammys[[#This Row],[date]] &gt;= DATE(2022,2,1),"Grammys",TRUE,"Grammys TRA")</f>
        <v>Grammys TRA</v>
      </c>
      <c r="I1511">
        <f>_xlfn.XLOOKUP(Grammys[[#This Row],[date]],mobile_visits[date],mobile_visits[mobile_visitors],0)</f>
        <v>0</v>
      </c>
    </row>
    <row r="1512" spans="1:9">
      <c r="A1512" s="1">
        <v>44246</v>
      </c>
      <c r="B1512">
        <v>40017</v>
      </c>
      <c r="C1512">
        <v>77273</v>
      </c>
      <c r="D1512">
        <v>43171</v>
      </c>
      <c r="E1512">
        <v>21409</v>
      </c>
      <c r="F1512">
        <v>81</v>
      </c>
      <c r="G1512" t="s">
        <v>9</v>
      </c>
      <c r="H1512" t="str" cm="1">
        <f t="array" ref="H1512">_xlfn.IFS(Grammys[[#This Row],[date]] &gt;= DATE(2022,2,1),"Grammys",TRUE,"Grammys TRA")</f>
        <v>Grammys TRA</v>
      </c>
      <c r="I1512">
        <f>_xlfn.XLOOKUP(Grammys[[#This Row],[date]],mobile_visits[date],mobile_visits[mobile_visitors],0)</f>
        <v>0</v>
      </c>
    </row>
    <row r="1513" spans="1:9">
      <c r="A1513" s="1">
        <v>44247</v>
      </c>
      <c r="B1513">
        <v>39861</v>
      </c>
      <c r="C1513">
        <v>73759</v>
      </c>
      <c r="D1513">
        <v>43075</v>
      </c>
      <c r="E1513">
        <v>19173</v>
      </c>
      <c r="F1513">
        <v>86</v>
      </c>
      <c r="G1513" t="s">
        <v>9</v>
      </c>
      <c r="H1513" t="str" cm="1">
        <f t="array" ref="H1513">_xlfn.IFS(Grammys[[#This Row],[date]] &gt;= DATE(2022,2,1),"Grammys",TRUE,"Grammys TRA")</f>
        <v>Grammys TRA</v>
      </c>
      <c r="I1513">
        <f>_xlfn.XLOOKUP(Grammys[[#This Row],[date]],mobile_visits[date],mobile_visits[mobile_visitors],0)</f>
        <v>0</v>
      </c>
    </row>
    <row r="1514" spans="1:9">
      <c r="A1514" s="1">
        <v>44248</v>
      </c>
      <c r="B1514">
        <v>39107</v>
      </c>
      <c r="C1514">
        <v>77081</v>
      </c>
      <c r="D1514">
        <v>42827</v>
      </c>
      <c r="E1514">
        <v>19662</v>
      </c>
      <c r="F1514">
        <v>86</v>
      </c>
      <c r="G1514" t="s">
        <v>9</v>
      </c>
      <c r="H1514" t="str" cm="1">
        <f t="array" ref="H1514">_xlfn.IFS(Grammys[[#This Row],[date]] &gt;= DATE(2022,2,1),"Grammys",TRUE,"Grammys TRA")</f>
        <v>Grammys TRA</v>
      </c>
      <c r="I1514">
        <f>_xlfn.XLOOKUP(Grammys[[#This Row],[date]],mobile_visits[date],mobile_visits[mobile_visitors],0)</f>
        <v>0</v>
      </c>
    </row>
    <row r="1515" spans="1:9">
      <c r="A1515" s="1">
        <v>44249</v>
      </c>
      <c r="B1515">
        <v>44411</v>
      </c>
      <c r="C1515">
        <v>91137</v>
      </c>
      <c r="D1515">
        <v>48047</v>
      </c>
      <c r="E1515">
        <v>21708</v>
      </c>
      <c r="F1515">
        <v>90</v>
      </c>
      <c r="G1515" t="s">
        <v>9</v>
      </c>
      <c r="H1515" t="str" cm="1">
        <f t="array" ref="H1515">_xlfn.IFS(Grammys[[#This Row],[date]] &gt;= DATE(2022,2,1),"Grammys",TRUE,"Grammys TRA")</f>
        <v>Grammys TRA</v>
      </c>
      <c r="I1515">
        <f>_xlfn.XLOOKUP(Grammys[[#This Row],[date]],mobile_visits[date],mobile_visits[mobile_visitors],0)</f>
        <v>0</v>
      </c>
    </row>
    <row r="1516" spans="1:9">
      <c r="A1516" s="1">
        <v>44250</v>
      </c>
      <c r="B1516">
        <v>40381</v>
      </c>
      <c r="C1516">
        <v>82465</v>
      </c>
      <c r="D1516">
        <v>43739</v>
      </c>
      <c r="E1516">
        <v>20584</v>
      </c>
      <c r="F1516">
        <v>89</v>
      </c>
      <c r="G1516" t="s">
        <v>9</v>
      </c>
      <c r="H1516" t="str" cm="1">
        <f t="array" ref="H1516">_xlfn.IFS(Grammys[[#This Row],[date]] &gt;= DATE(2022,2,1),"Grammys",TRUE,"Grammys TRA")</f>
        <v>Grammys TRA</v>
      </c>
      <c r="I1516">
        <f>_xlfn.XLOOKUP(Grammys[[#This Row],[date]],mobile_visits[date],mobile_visits[mobile_visitors],0)</f>
        <v>0</v>
      </c>
    </row>
    <row r="1517" spans="1:9">
      <c r="A1517" s="1">
        <v>44251</v>
      </c>
      <c r="B1517">
        <v>41689</v>
      </c>
      <c r="C1517">
        <v>84093</v>
      </c>
      <c r="D1517">
        <v>45637</v>
      </c>
      <c r="E1517">
        <v>21929</v>
      </c>
      <c r="F1517">
        <v>89</v>
      </c>
      <c r="G1517" t="s">
        <v>9</v>
      </c>
      <c r="H1517" t="str" cm="1">
        <f t="array" ref="H1517">_xlfn.IFS(Grammys[[#This Row],[date]] &gt;= DATE(2022,2,1),"Grammys",TRUE,"Grammys TRA")</f>
        <v>Grammys TRA</v>
      </c>
      <c r="I1517">
        <f>_xlfn.XLOOKUP(Grammys[[#This Row],[date]],mobile_visits[date],mobile_visits[mobile_visitors],0)</f>
        <v>0</v>
      </c>
    </row>
    <row r="1518" spans="1:9">
      <c r="A1518" s="1">
        <v>44252</v>
      </c>
      <c r="B1518">
        <v>44507</v>
      </c>
      <c r="C1518">
        <v>92221</v>
      </c>
      <c r="D1518">
        <v>49002</v>
      </c>
      <c r="E1518">
        <v>23815</v>
      </c>
      <c r="F1518">
        <v>89</v>
      </c>
      <c r="G1518" t="s">
        <v>9</v>
      </c>
      <c r="H1518" t="str" cm="1">
        <f t="array" ref="H1518">_xlfn.IFS(Grammys[[#This Row],[date]] &gt;= DATE(2022,2,1),"Grammys",TRUE,"Grammys TRA")</f>
        <v>Grammys TRA</v>
      </c>
      <c r="I1518">
        <f>_xlfn.XLOOKUP(Grammys[[#This Row],[date]],mobile_visits[date],mobile_visits[mobile_visitors],0)</f>
        <v>0</v>
      </c>
    </row>
    <row r="1519" spans="1:9">
      <c r="A1519" s="1">
        <v>44253</v>
      </c>
      <c r="B1519">
        <v>50087</v>
      </c>
      <c r="C1519">
        <v>97920</v>
      </c>
      <c r="D1519">
        <v>53820</v>
      </c>
      <c r="E1519">
        <v>26082</v>
      </c>
      <c r="F1519">
        <v>82</v>
      </c>
      <c r="G1519" t="s">
        <v>9</v>
      </c>
      <c r="H1519" t="str" cm="1">
        <f t="array" ref="H1519">_xlfn.IFS(Grammys[[#This Row],[date]] &gt;= DATE(2022,2,1),"Grammys",TRUE,"Grammys TRA")</f>
        <v>Grammys TRA</v>
      </c>
      <c r="I1519">
        <f>_xlfn.XLOOKUP(Grammys[[#This Row],[date]],mobile_visits[date],mobile_visits[mobile_visitors],0)</f>
        <v>0</v>
      </c>
    </row>
    <row r="1520" spans="1:9">
      <c r="A1520" s="1">
        <v>44254</v>
      </c>
      <c r="B1520">
        <v>41470</v>
      </c>
      <c r="C1520">
        <v>76732</v>
      </c>
      <c r="D1520">
        <v>44062</v>
      </c>
      <c r="E1520">
        <v>21463</v>
      </c>
      <c r="F1520">
        <v>87</v>
      </c>
      <c r="G1520" t="s">
        <v>9</v>
      </c>
      <c r="H1520" t="str" cm="1">
        <f t="array" ref="H1520">_xlfn.IFS(Grammys[[#This Row],[date]] &gt;= DATE(2022,2,1),"Grammys",TRUE,"Grammys TRA")</f>
        <v>Grammys TRA</v>
      </c>
      <c r="I1520">
        <f>_xlfn.XLOOKUP(Grammys[[#This Row],[date]],mobile_visits[date],mobile_visits[mobile_visitors],0)</f>
        <v>0</v>
      </c>
    </row>
    <row r="1521" spans="1:9">
      <c r="A1521" s="1">
        <v>44255</v>
      </c>
      <c r="B1521">
        <v>57598</v>
      </c>
      <c r="C1521">
        <v>109205</v>
      </c>
      <c r="D1521">
        <v>62383</v>
      </c>
      <c r="E1521">
        <v>30549</v>
      </c>
      <c r="F1521">
        <v>87</v>
      </c>
      <c r="G1521" t="s">
        <v>9</v>
      </c>
      <c r="H1521" t="str" cm="1">
        <f t="array" ref="H1521">_xlfn.IFS(Grammys[[#This Row],[date]] &gt;= DATE(2022,2,1),"Grammys",TRUE,"Grammys TRA")</f>
        <v>Grammys TRA</v>
      </c>
      <c r="I1521">
        <f>_xlfn.XLOOKUP(Grammys[[#This Row],[date]],mobile_visits[date],mobile_visits[mobile_visitors],0)</f>
        <v>0</v>
      </c>
    </row>
    <row r="1522" spans="1:9">
      <c r="A1522" s="1">
        <v>44256</v>
      </c>
      <c r="B1522">
        <v>60583</v>
      </c>
      <c r="C1522">
        <v>128453</v>
      </c>
      <c r="D1522">
        <v>66476</v>
      </c>
      <c r="E1522">
        <v>31145</v>
      </c>
      <c r="F1522">
        <v>92</v>
      </c>
      <c r="G1522" t="s">
        <v>9</v>
      </c>
      <c r="H1522" t="str" cm="1">
        <f t="array" ref="H1522">_xlfn.IFS(Grammys[[#This Row],[date]] &gt;= DATE(2022,2,1),"Grammys",TRUE,"Grammys TRA")</f>
        <v>Grammys TRA</v>
      </c>
      <c r="I1522">
        <f>_xlfn.XLOOKUP(Grammys[[#This Row],[date]],mobile_visits[date],mobile_visits[mobile_visitors],0)</f>
        <v>0</v>
      </c>
    </row>
    <row r="1523" spans="1:9">
      <c r="A1523" s="1">
        <v>44257</v>
      </c>
      <c r="B1523">
        <v>72866</v>
      </c>
      <c r="C1523">
        <v>145950</v>
      </c>
      <c r="D1523">
        <v>79774</v>
      </c>
      <c r="E1523">
        <v>36090</v>
      </c>
      <c r="F1523">
        <v>91</v>
      </c>
      <c r="G1523" t="s">
        <v>9</v>
      </c>
      <c r="H1523" t="str" cm="1">
        <f t="array" ref="H1523">_xlfn.IFS(Grammys[[#This Row],[date]] &gt;= DATE(2022,2,1),"Grammys",TRUE,"Grammys TRA")</f>
        <v>Grammys TRA</v>
      </c>
      <c r="I1523">
        <f>_xlfn.XLOOKUP(Grammys[[#This Row],[date]],mobile_visits[date],mobile_visits[mobile_visitors],0)</f>
        <v>0</v>
      </c>
    </row>
    <row r="1524" spans="1:9">
      <c r="A1524" s="1">
        <v>44258</v>
      </c>
      <c r="B1524">
        <v>81467</v>
      </c>
      <c r="C1524">
        <v>162861</v>
      </c>
      <c r="D1524">
        <v>87919</v>
      </c>
      <c r="E1524">
        <v>38650</v>
      </c>
      <c r="F1524">
        <v>88</v>
      </c>
      <c r="G1524" t="s">
        <v>9</v>
      </c>
      <c r="H1524" t="str" cm="1">
        <f t="array" ref="H1524">_xlfn.IFS(Grammys[[#This Row],[date]] &gt;= DATE(2022,2,1),"Grammys",TRUE,"Grammys TRA")</f>
        <v>Grammys TRA</v>
      </c>
      <c r="I1524">
        <f>_xlfn.XLOOKUP(Grammys[[#This Row],[date]],mobile_visits[date],mobile_visits[mobile_visitors],0)</f>
        <v>0</v>
      </c>
    </row>
    <row r="1525" spans="1:9">
      <c r="A1525" s="1">
        <v>44259</v>
      </c>
      <c r="B1525">
        <v>94367</v>
      </c>
      <c r="C1525">
        <v>189496</v>
      </c>
      <c r="D1525">
        <v>103438</v>
      </c>
      <c r="E1525">
        <v>44106</v>
      </c>
      <c r="F1525">
        <v>88</v>
      </c>
      <c r="G1525" t="s">
        <v>9</v>
      </c>
      <c r="H1525" t="str" cm="1">
        <f t="array" ref="H1525">_xlfn.IFS(Grammys[[#This Row],[date]] &gt;= DATE(2022,2,1),"Grammys",TRUE,"Grammys TRA")</f>
        <v>Grammys TRA</v>
      </c>
      <c r="I1525">
        <f>_xlfn.XLOOKUP(Grammys[[#This Row],[date]],mobile_visits[date],mobile_visits[mobile_visitors],0)</f>
        <v>0</v>
      </c>
    </row>
    <row r="1526" spans="1:9">
      <c r="A1526" s="1">
        <v>44260</v>
      </c>
      <c r="B1526">
        <v>92324</v>
      </c>
      <c r="C1526">
        <v>183052</v>
      </c>
      <c r="D1526">
        <v>102226</v>
      </c>
      <c r="E1526">
        <v>47996</v>
      </c>
      <c r="F1526">
        <v>88</v>
      </c>
      <c r="G1526" t="s">
        <v>9</v>
      </c>
      <c r="H1526" t="str" cm="1">
        <f t="array" ref="H1526">_xlfn.IFS(Grammys[[#This Row],[date]] &gt;= DATE(2022,2,1),"Grammys",TRUE,"Grammys TRA")</f>
        <v>Grammys TRA</v>
      </c>
      <c r="I1526">
        <f>_xlfn.XLOOKUP(Grammys[[#This Row],[date]],mobile_visits[date],mobile_visits[mobile_visitors],0)</f>
        <v>0</v>
      </c>
    </row>
    <row r="1527" spans="1:9">
      <c r="A1527" s="1">
        <v>44261</v>
      </c>
      <c r="B1527">
        <v>97176</v>
      </c>
      <c r="C1527">
        <v>187155</v>
      </c>
      <c r="D1527">
        <v>109275</v>
      </c>
      <c r="E1527">
        <v>54179</v>
      </c>
      <c r="F1527">
        <v>85</v>
      </c>
      <c r="G1527" t="s">
        <v>9</v>
      </c>
      <c r="H1527" t="str" cm="1">
        <f t="array" ref="H1527">_xlfn.IFS(Grammys[[#This Row],[date]] &gt;= DATE(2022,2,1),"Grammys",TRUE,"Grammys TRA")</f>
        <v>Grammys TRA</v>
      </c>
      <c r="I1527">
        <f>_xlfn.XLOOKUP(Grammys[[#This Row],[date]],mobile_visits[date],mobile_visits[mobile_visitors],0)</f>
        <v>0</v>
      </c>
    </row>
    <row r="1528" spans="1:9">
      <c r="A1528" s="1">
        <v>44262</v>
      </c>
      <c r="B1528">
        <v>582099</v>
      </c>
      <c r="C1528">
        <v>1115885</v>
      </c>
      <c r="D1528">
        <v>665492</v>
      </c>
      <c r="E1528">
        <v>285563</v>
      </c>
      <c r="F1528">
        <v>79</v>
      </c>
      <c r="G1528" t="s">
        <v>9</v>
      </c>
      <c r="H1528" t="str" cm="1">
        <f t="array" ref="H1528">_xlfn.IFS(Grammys[[#This Row],[date]] &gt;= DATE(2022,2,1),"Grammys",TRUE,"Grammys TRA")</f>
        <v>Grammys TRA</v>
      </c>
      <c r="I1528">
        <f>_xlfn.XLOOKUP(Grammys[[#This Row],[date]],mobile_visits[date],mobile_visits[mobile_visitors],0)</f>
        <v>0</v>
      </c>
    </row>
    <row r="1529" spans="1:9">
      <c r="A1529" s="1">
        <v>44263</v>
      </c>
      <c r="B1529">
        <v>324136</v>
      </c>
      <c r="C1529">
        <v>652820</v>
      </c>
      <c r="D1529">
        <v>363088</v>
      </c>
      <c r="E1529">
        <v>147087</v>
      </c>
      <c r="F1529">
        <v>79</v>
      </c>
      <c r="G1529" t="s">
        <v>9</v>
      </c>
      <c r="H1529" t="str" cm="1">
        <f t="array" ref="H1529">_xlfn.IFS(Grammys[[#This Row],[date]] &gt;= DATE(2022,2,1),"Grammys",TRUE,"Grammys TRA")</f>
        <v>Grammys TRA</v>
      </c>
      <c r="I1529">
        <f>_xlfn.XLOOKUP(Grammys[[#This Row],[date]],mobile_visits[date],mobile_visits[mobile_visitors],0)</f>
        <v>0</v>
      </c>
    </row>
    <row r="1530" spans="1:9">
      <c r="A1530" s="1">
        <v>44264</v>
      </c>
      <c r="B1530">
        <v>251019</v>
      </c>
      <c r="C1530">
        <v>524922</v>
      </c>
      <c r="D1530">
        <v>279366</v>
      </c>
      <c r="E1530">
        <v>116692</v>
      </c>
      <c r="F1530">
        <v>88</v>
      </c>
      <c r="G1530" t="s">
        <v>9</v>
      </c>
      <c r="H1530" t="str" cm="1">
        <f t="array" ref="H1530">_xlfn.IFS(Grammys[[#This Row],[date]] &gt;= DATE(2022,2,1),"Grammys",TRUE,"Grammys TRA")</f>
        <v>Grammys TRA</v>
      </c>
      <c r="I1530">
        <f>_xlfn.XLOOKUP(Grammys[[#This Row],[date]],mobile_visits[date],mobile_visits[mobile_visitors],0)</f>
        <v>0</v>
      </c>
    </row>
    <row r="1531" spans="1:9">
      <c r="A1531" s="1">
        <v>44265</v>
      </c>
      <c r="B1531">
        <v>246802</v>
      </c>
      <c r="C1531">
        <v>507277</v>
      </c>
      <c r="D1531">
        <v>273740</v>
      </c>
      <c r="E1531">
        <v>109934</v>
      </c>
      <c r="F1531">
        <v>108</v>
      </c>
      <c r="G1531" t="s">
        <v>9</v>
      </c>
      <c r="H1531" t="str" cm="1">
        <f t="array" ref="H1531">_xlfn.IFS(Grammys[[#This Row],[date]] &gt;= DATE(2022,2,1),"Grammys",TRUE,"Grammys TRA")</f>
        <v>Grammys TRA</v>
      </c>
      <c r="I1531">
        <f>_xlfn.XLOOKUP(Grammys[[#This Row],[date]],mobile_visits[date],mobile_visits[mobile_visitors],0)</f>
        <v>0</v>
      </c>
    </row>
    <row r="1532" spans="1:9">
      <c r="A1532" s="1">
        <v>44266</v>
      </c>
      <c r="B1532">
        <v>278768</v>
      </c>
      <c r="C1532">
        <v>607396</v>
      </c>
      <c r="D1532">
        <v>314160</v>
      </c>
      <c r="E1532">
        <v>129654</v>
      </c>
      <c r="F1532">
        <v>100</v>
      </c>
      <c r="G1532" t="s">
        <v>9</v>
      </c>
      <c r="H1532" t="str" cm="1">
        <f t="array" ref="H1532">_xlfn.IFS(Grammys[[#This Row],[date]] &gt;= DATE(2022,2,1),"Grammys",TRUE,"Grammys TRA")</f>
        <v>Grammys TRA</v>
      </c>
      <c r="I1532">
        <f>_xlfn.XLOOKUP(Grammys[[#This Row],[date]],mobile_visits[date],mobile_visits[mobile_visitors],0)</f>
        <v>0</v>
      </c>
    </row>
    <row r="1533" spans="1:9">
      <c r="A1533" s="1">
        <v>44267</v>
      </c>
      <c r="B1533">
        <v>450745</v>
      </c>
      <c r="C1533">
        <v>958929</v>
      </c>
      <c r="D1533">
        <v>503666</v>
      </c>
      <c r="E1533">
        <v>187868</v>
      </c>
      <c r="F1533">
        <v>91</v>
      </c>
      <c r="G1533" t="s">
        <v>9</v>
      </c>
      <c r="H1533" t="str" cm="1">
        <f t="array" ref="H1533">_xlfn.IFS(Grammys[[#This Row],[date]] &gt;= DATE(2022,2,1),"Grammys",TRUE,"Grammys TRA")</f>
        <v>Grammys TRA</v>
      </c>
      <c r="I1533">
        <f>_xlfn.XLOOKUP(Grammys[[#This Row],[date]],mobile_visits[date],mobile_visits[mobile_visitors],0)</f>
        <v>0</v>
      </c>
    </row>
    <row r="1534" spans="1:9">
      <c r="A1534" s="1">
        <v>44268</v>
      </c>
      <c r="B1534">
        <v>615568</v>
      </c>
      <c r="C1534">
        <v>1393434</v>
      </c>
      <c r="D1534">
        <v>713174</v>
      </c>
      <c r="E1534">
        <v>256173</v>
      </c>
      <c r="F1534">
        <v>98</v>
      </c>
      <c r="G1534" t="s">
        <v>9</v>
      </c>
      <c r="H1534" t="str" cm="1">
        <f t="array" ref="H1534">_xlfn.IFS(Grammys[[#This Row],[date]] &gt;= DATE(2022,2,1),"Grammys",TRUE,"Grammys TRA")</f>
        <v>Grammys TRA</v>
      </c>
      <c r="I1534">
        <f>_xlfn.XLOOKUP(Grammys[[#This Row],[date]],mobile_visits[date],mobile_visits[mobile_visitors],0)</f>
        <v>0</v>
      </c>
    </row>
    <row r="1535" spans="1:9">
      <c r="A1535" s="1">
        <v>44269</v>
      </c>
      <c r="B1535">
        <v>3241751</v>
      </c>
      <c r="C1535">
        <v>8182910</v>
      </c>
      <c r="D1535">
        <v>4255163</v>
      </c>
      <c r="E1535">
        <v>1276549</v>
      </c>
      <c r="F1535">
        <v>246</v>
      </c>
      <c r="G1535" t="s">
        <v>10</v>
      </c>
      <c r="H1535" t="str" cm="1">
        <f t="array" ref="H1535">_xlfn.IFS(Grammys[[#This Row],[date]] &gt;= DATE(2022,2,1),"Grammys",TRUE,"Grammys TRA")</f>
        <v>Grammys TRA</v>
      </c>
      <c r="I1535">
        <f>_xlfn.XLOOKUP(Grammys[[#This Row],[date]],mobile_visits[date],mobile_visits[mobile_visitors],0)</f>
        <v>0</v>
      </c>
    </row>
    <row r="1536" spans="1:9">
      <c r="A1536" s="1">
        <v>44270</v>
      </c>
      <c r="B1536">
        <v>642500</v>
      </c>
      <c r="C1536">
        <v>812061</v>
      </c>
      <c r="D1536">
        <v>693603</v>
      </c>
      <c r="E1536">
        <v>238392</v>
      </c>
      <c r="F1536">
        <v>112</v>
      </c>
      <c r="G1536" t="s">
        <v>9</v>
      </c>
      <c r="H1536" t="str" cm="1">
        <f t="array" ref="H1536">_xlfn.IFS(Grammys[[#This Row],[date]] &gt;= DATE(2022,2,1),"Grammys",TRUE,"Grammys TRA")</f>
        <v>Grammys TRA</v>
      </c>
      <c r="I1536">
        <f>_xlfn.XLOOKUP(Grammys[[#This Row],[date]],mobile_visits[date],mobile_visits[mobile_visitors],0)</f>
        <v>0</v>
      </c>
    </row>
    <row r="1537" spans="1:9">
      <c r="A1537" s="1">
        <v>44271</v>
      </c>
      <c r="B1537">
        <v>613586</v>
      </c>
      <c r="C1537">
        <v>1077837</v>
      </c>
      <c r="D1537">
        <v>674664</v>
      </c>
      <c r="E1537">
        <v>208404</v>
      </c>
      <c r="F1537">
        <v>197</v>
      </c>
      <c r="G1537" t="s">
        <v>9</v>
      </c>
      <c r="H1537" t="str" cm="1">
        <f t="array" ref="H1537">_xlfn.IFS(Grammys[[#This Row],[date]] &gt;= DATE(2022,2,1),"Grammys",TRUE,"Grammys TRA")</f>
        <v>Grammys TRA</v>
      </c>
      <c r="I1537">
        <f>_xlfn.XLOOKUP(Grammys[[#This Row],[date]],mobile_visits[date],mobile_visits[mobile_visitors],0)</f>
        <v>0</v>
      </c>
    </row>
    <row r="1538" spans="1:9">
      <c r="A1538" s="1">
        <v>44272</v>
      </c>
      <c r="B1538">
        <v>441504</v>
      </c>
      <c r="C1538">
        <v>767342</v>
      </c>
      <c r="D1538">
        <v>480114</v>
      </c>
      <c r="E1538">
        <v>159302</v>
      </c>
      <c r="F1538">
        <v>177</v>
      </c>
      <c r="G1538" t="s">
        <v>9</v>
      </c>
      <c r="H1538" t="str" cm="1">
        <f t="array" ref="H1538">_xlfn.IFS(Grammys[[#This Row],[date]] &gt;= DATE(2022,2,1),"Grammys",TRUE,"Grammys TRA")</f>
        <v>Grammys TRA</v>
      </c>
      <c r="I1538">
        <f>_xlfn.XLOOKUP(Grammys[[#This Row],[date]],mobile_visits[date],mobile_visits[mobile_visitors],0)</f>
        <v>0</v>
      </c>
    </row>
    <row r="1539" spans="1:9">
      <c r="A1539" s="1">
        <v>44273</v>
      </c>
      <c r="B1539">
        <v>272107</v>
      </c>
      <c r="C1539">
        <v>497278</v>
      </c>
      <c r="D1539">
        <v>296177</v>
      </c>
      <c r="E1539">
        <v>113703</v>
      </c>
      <c r="F1539">
        <v>148</v>
      </c>
      <c r="G1539" t="s">
        <v>9</v>
      </c>
      <c r="H1539" t="str" cm="1">
        <f t="array" ref="H1539">_xlfn.IFS(Grammys[[#This Row],[date]] &gt;= DATE(2022,2,1),"Grammys",TRUE,"Grammys TRA")</f>
        <v>Grammys TRA</v>
      </c>
      <c r="I1539">
        <f>_xlfn.XLOOKUP(Grammys[[#This Row],[date]],mobile_visits[date],mobile_visits[mobile_visitors],0)</f>
        <v>0</v>
      </c>
    </row>
    <row r="1540" spans="1:9">
      <c r="A1540" s="1">
        <v>44274</v>
      </c>
      <c r="B1540">
        <v>226618</v>
      </c>
      <c r="C1540">
        <v>394333</v>
      </c>
      <c r="D1540">
        <v>240710</v>
      </c>
      <c r="E1540">
        <v>109933</v>
      </c>
      <c r="F1540">
        <v>125</v>
      </c>
      <c r="G1540" t="s">
        <v>9</v>
      </c>
      <c r="H1540" t="str" cm="1">
        <f t="array" ref="H1540">_xlfn.IFS(Grammys[[#This Row],[date]] &gt;= DATE(2022,2,1),"Grammys",TRUE,"Grammys TRA")</f>
        <v>Grammys TRA</v>
      </c>
      <c r="I1540">
        <f>_xlfn.XLOOKUP(Grammys[[#This Row],[date]],mobile_visits[date],mobile_visits[mobile_visitors],0)</f>
        <v>0</v>
      </c>
    </row>
    <row r="1541" spans="1:9">
      <c r="A1541" s="1">
        <v>44275</v>
      </c>
      <c r="B1541">
        <v>152729</v>
      </c>
      <c r="C1541">
        <v>273866</v>
      </c>
      <c r="D1541">
        <v>166331</v>
      </c>
      <c r="E1541">
        <v>73070</v>
      </c>
      <c r="F1541">
        <v>128</v>
      </c>
      <c r="G1541" t="s">
        <v>9</v>
      </c>
      <c r="H1541" t="str" cm="1">
        <f t="array" ref="H1541">_xlfn.IFS(Grammys[[#This Row],[date]] &gt;= DATE(2022,2,1),"Grammys",TRUE,"Grammys TRA")</f>
        <v>Grammys TRA</v>
      </c>
      <c r="I1541">
        <f>_xlfn.XLOOKUP(Grammys[[#This Row],[date]],mobile_visits[date],mobile_visits[mobile_visitors],0)</f>
        <v>0</v>
      </c>
    </row>
    <row r="1542" spans="1:9">
      <c r="A1542" s="1">
        <v>44276</v>
      </c>
      <c r="B1542">
        <v>104240</v>
      </c>
      <c r="C1542">
        <v>195150</v>
      </c>
      <c r="D1542">
        <v>113248</v>
      </c>
      <c r="E1542">
        <v>48788</v>
      </c>
      <c r="F1542">
        <v>128</v>
      </c>
      <c r="G1542" t="s">
        <v>9</v>
      </c>
      <c r="H1542" t="str" cm="1">
        <f t="array" ref="H1542">_xlfn.IFS(Grammys[[#This Row],[date]] &gt;= DATE(2022,2,1),"Grammys",TRUE,"Grammys TRA")</f>
        <v>Grammys TRA</v>
      </c>
      <c r="I1542">
        <f>_xlfn.XLOOKUP(Grammys[[#This Row],[date]],mobile_visits[date],mobile_visits[mobile_visitors],0)</f>
        <v>0</v>
      </c>
    </row>
    <row r="1543" spans="1:9">
      <c r="A1543" s="1">
        <v>44277</v>
      </c>
      <c r="B1543">
        <v>80498</v>
      </c>
      <c r="C1543">
        <v>155519</v>
      </c>
      <c r="D1543">
        <v>86778</v>
      </c>
      <c r="E1543">
        <v>37445</v>
      </c>
      <c r="F1543">
        <v>121</v>
      </c>
      <c r="G1543" t="s">
        <v>9</v>
      </c>
      <c r="H1543" t="str" cm="1">
        <f t="array" ref="H1543">_xlfn.IFS(Grammys[[#This Row],[date]] &gt;= DATE(2022,2,1),"Grammys",TRUE,"Grammys TRA")</f>
        <v>Grammys TRA</v>
      </c>
      <c r="I1543">
        <f>_xlfn.XLOOKUP(Grammys[[#This Row],[date]],mobile_visits[date],mobile_visits[mobile_visitors],0)</f>
        <v>0</v>
      </c>
    </row>
    <row r="1544" spans="1:9">
      <c r="A1544" s="1">
        <v>44278</v>
      </c>
      <c r="B1544">
        <v>64607</v>
      </c>
      <c r="C1544">
        <v>126309</v>
      </c>
      <c r="D1544">
        <v>70251</v>
      </c>
      <c r="E1544">
        <v>32211</v>
      </c>
      <c r="F1544">
        <v>113</v>
      </c>
      <c r="G1544" t="s">
        <v>9</v>
      </c>
      <c r="H1544" t="str" cm="1">
        <f t="array" ref="H1544">_xlfn.IFS(Grammys[[#This Row],[date]] &gt;= DATE(2022,2,1),"Grammys",TRUE,"Grammys TRA")</f>
        <v>Grammys TRA</v>
      </c>
      <c r="I1544">
        <f>_xlfn.XLOOKUP(Grammys[[#This Row],[date]],mobile_visits[date],mobile_visits[mobile_visitors],0)</f>
        <v>0</v>
      </c>
    </row>
    <row r="1545" spans="1:9">
      <c r="A1545" s="1">
        <v>44279</v>
      </c>
      <c r="B1545">
        <v>58285</v>
      </c>
      <c r="C1545">
        <v>112012</v>
      </c>
      <c r="D1545">
        <v>62957</v>
      </c>
      <c r="E1545">
        <v>29131</v>
      </c>
      <c r="F1545">
        <v>103</v>
      </c>
      <c r="G1545" t="s">
        <v>9</v>
      </c>
      <c r="H1545" t="str" cm="1">
        <f t="array" ref="H1545">_xlfn.IFS(Grammys[[#This Row],[date]] &gt;= DATE(2022,2,1),"Grammys",TRUE,"Grammys TRA")</f>
        <v>Grammys TRA</v>
      </c>
      <c r="I1545">
        <f>_xlfn.XLOOKUP(Grammys[[#This Row],[date]],mobile_visits[date],mobile_visits[mobile_visitors],0)</f>
        <v>0</v>
      </c>
    </row>
    <row r="1546" spans="1:9">
      <c r="A1546" s="1">
        <v>44280</v>
      </c>
      <c r="B1546">
        <v>62862</v>
      </c>
      <c r="C1546">
        <v>110626</v>
      </c>
      <c r="D1546">
        <v>67395</v>
      </c>
      <c r="E1546">
        <v>29951</v>
      </c>
      <c r="F1546">
        <v>111</v>
      </c>
      <c r="G1546" t="s">
        <v>9</v>
      </c>
      <c r="H1546" t="str" cm="1">
        <f t="array" ref="H1546">_xlfn.IFS(Grammys[[#This Row],[date]] &gt;= DATE(2022,2,1),"Grammys",TRUE,"Grammys TRA")</f>
        <v>Grammys TRA</v>
      </c>
      <c r="I1546">
        <f>_xlfn.XLOOKUP(Grammys[[#This Row],[date]],mobile_visits[date],mobile_visits[mobile_visitors],0)</f>
        <v>0</v>
      </c>
    </row>
    <row r="1547" spans="1:9">
      <c r="A1547" s="1">
        <v>44281</v>
      </c>
      <c r="B1547">
        <v>64985</v>
      </c>
      <c r="C1547">
        <v>103938</v>
      </c>
      <c r="D1547">
        <v>69565</v>
      </c>
      <c r="E1547">
        <v>30922</v>
      </c>
      <c r="F1547">
        <v>105</v>
      </c>
      <c r="G1547" t="s">
        <v>9</v>
      </c>
      <c r="H1547" t="str" cm="1">
        <f t="array" ref="H1547">_xlfn.IFS(Grammys[[#This Row],[date]] &gt;= DATE(2022,2,1),"Grammys",TRUE,"Grammys TRA")</f>
        <v>Grammys TRA</v>
      </c>
      <c r="I1547">
        <f>_xlfn.XLOOKUP(Grammys[[#This Row],[date]],mobile_visits[date],mobile_visits[mobile_visitors],0)</f>
        <v>0</v>
      </c>
    </row>
    <row r="1548" spans="1:9">
      <c r="A1548" s="1">
        <v>44282</v>
      </c>
      <c r="B1548">
        <v>47201</v>
      </c>
      <c r="C1548">
        <v>79078</v>
      </c>
      <c r="D1548">
        <v>50797</v>
      </c>
      <c r="E1548">
        <v>24429</v>
      </c>
      <c r="F1548">
        <v>101</v>
      </c>
      <c r="G1548" t="s">
        <v>9</v>
      </c>
      <c r="H1548" t="str" cm="1">
        <f t="array" ref="H1548">_xlfn.IFS(Grammys[[#This Row],[date]] &gt;= DATE(2022,2,1),"Grammys",TRUE,"Grammys TRA")</f>
        <v>Grammys TRA</v>
      </c>
      <c r="I1548">
        <f>_xlfn.XLOOKUP(Grammys[[#This Row],[date]],mobile_visits[date],mobile_visits[mobile_visitors],0)</f>
        <v>0</v>
      </c>
    </row>
    <row r="1549" spans="1:9">
      <c r="A1549" s="1">
        <v>44283</v>
      </c>
      <c r="B1549">
        <v>42852</v>
      </c>
      <c r="C1549">
        <v>76808</v>
      </c>
      <c r="D1549">
        <v>46500</v>
      </c>
      <c r="E1549">
        <v>22093</v>
      </c>
      <c r="F1549">
        <v>101</v>
      </c>
      <c r="G1549" t="s">
        <v>9</v>
      </c>
      <c r="H1549" t="str" cm="1">
        <f t="array" ref="H1549">_xlfn.IFS(Grammys[[#This Row],[date]] &gt;= DATE(2022,2,1),"Grammys",TRUE,"Grammys TRA")</f>
        <v>Grammys TRA</v>
      </c>
      <c r="I1549">
        <f>_xlfn.XLOOKUP(Grammys[[#This Row],[date]],mobile_visits[date],mobile_visits[mobile_visitors],0)</f>
        <v>0</v>
      </c>
    </row>
    <row r="1550" spans="1:9">
      <c r="A1550" s="1">
        <v>44284</v>
      </c>
      <c r="B1550">
        <v>40352</v>
      </c>
      <c r="C1550">
        <v>73935</v>
      </c>
      <c r="D1550">
        <v>43221</v>
      </c>
      <c r="E1550">
        <v>20193</v>
      </c>
      <c r="F1550">
        <v>106</v>
      </c>
      <c r="G1550" t="s">
        <v>9</v>
      </c>
      <c r="H1550" t="str" cm="1">
        <f t="array" ref="H1550">_xlfn.IFS(Grammys[[#This Row],[date]] &gt;= DATE(2022,2,1),"Grammys",TRUE,"Grammys TRA")</f>
        <v>Grammys TRA</v>
      </c>
      <c r="I1550">
        <f>_xlfn.XLOOKUP(Grammys[[#This Row],[date]],mobile_visits[date],mobile_visits[mobile_visitors],0)</f>
        <v>0</v>
      </c>
    </row>
    <row r="1551" spans="1:9">
      <c r="A1551" s="1">
        <v>44285</v>
      </c>
      <c r="B1551">
        <v>40188</v>
      </c>
      <c r="C1551">
        <v>72635</v>
      </c>
      <c r="D1551">
        <v>43001</v>
      </c>
      <c r="E1551">
        <v>19630</v>
      </c>
      <c r="F1551">
        <v>107</v>
      </c>
      <c r="G1551" t="s">
        <v>9</v>
      </c>
      <c r="H1551" t="str" cm="1">
        <f t="array" ref="H1551">_xlfn.IFS(Grammys[[#This Row],[date]] &gt;= DATE(2022,2,1),"Grammys",TRUE,"Grammys TRA")</f>
        <v>Grammys TRA</v>
      </c>
      <c r="I1551">
        <f>_xlfn.XLOOKUP(Grammys[[#This Row],[date]],mobile_visits[date],mobile_visits[mobile_visitors],0)</f>
        <v>0</v>
      </c>
    </row>
    <row r="1552" spans="1:9">
      <c r="A1552" s="1">
        <v>44286</v>
      </c>
      <c r="B1552">
        <v>45491</v>
      </c>
      <c r="C1552">
        <v>77430</v>
      </c>
      <c r="D1552">
        <v>48744</v>
      </c>
      <c r="E1552">
        <v>23383</v>
      </c>
      <c r="F1552">
        <v>96</v>
      </c>
      <c r="G1552" t="s">
        <v>9</v>
      </c>
      <c r="H1552" t="str" cm="1">
        <f t="array" ref="H1552">_xlfn.IFS(Grammys[[#This Row],[date]] &gt;= DATE(2022,2,1),"Grammys",TRUE,"Grammys TRA")</f>
        <v>Grammys TRA</v>
      </c>
      <c r="I1552">
        <f>_xlfn.XLOOKUP(Grammys[[#This Row],[date]],mobile_visits[date],mobile_visits[mobile_visitors],0)</f>
        <v>0</v>
      </c>
    </row>
    <row r="1553" spans="1:9">
      <c r="A1553" s="1">
        <v>44287</v>
      </c>
      <c r="B1553">
        <v>45032</v>
      </c>
      <c r="C1553">
        <v>75574</v>
      </c>
      <c r="D1553">
        <v>48641</v>
      </c>
      <c r="E1553">
        <v>23475</v>
      </c>
      <c r="F1553">
        <v>103</v>
      </c>
      <c r="G1553" t="s">
        <v>9</v>
      </c>
      <c r="H1553" t="str" cm="1">
        <f t="array" ref="H1553">_xlfn.IFS(Grammys[[#This Row],[date]] &gt;= DATE(2022,2,1),"Grammys",TRUE,"Grammys TRA")</f>
        <v>Grammys TRA</v>
      </c>
      <c r="I1553">
        <f>_xlfn.XLOOKUP(Grammys[[#This Row],[date]],mobile_visits[date],mobile_visits[mobile_visitors],0)</f>
        <v>0</v>
      </c>
    </row>
    <row r="1554" spans="1:9">
      <c r="A1554" s="1">
        <v>44288</v>
      </c>
      <c r="B1554">
        <v>39160</v>
      </c>
      <c r="C1554">
        <v>65835</v>
      </c>
      <c r="D1554">
        <v>42204</v>
      </c>
      <c r="E1554">
        <v>20377</v>
      </c>
      <c r="F1554">
        <v>96</v>
      </c>
      <c r="G1554" t="s">
        <v>9</v>
      </c>
      <c r="H1554" t="str" cm="1">
        <f t="array" ref="H1554">_xlfn.IFS(Grammys[[#This Row],[date]] &gt;= DATE(2022,2,1),"Grammys",TRUE,"Grammys TRA")</f>
        <v>Grammys TRA</v>
      </c>
      <c r="I1554">
        <f>_xlfn.XLOOKUP(Grammys[[#This Row],[date]],mobile_visits[date],mobile_visits[mobile_visitors],0)</f>
        <v>0</v>
      </c>
    </row>
    <row r="1555" spans="1:9">
      <c r="A1555" s="1">
        <v>44289</v>
      </c>
      <c r="B1555">
        <v>36510</v>
      </c>
      <c r="C1555">
        <v>60600</v>
      </c>
      <c r="D1555">
        <v>38740</v>
      </c>
      <c r="E1555">
        <v>18487</v>
      </c>
      <c r="F1555">
        <v>94</v>
      </c>
      <c r="G1555" t="s">
        <v>9</v>
      </c>
      <c r="H1555" t="str" cm="1">
        <f t="array" ref="H1555">_xlfn.IFS(Grammys[[#This Row],[date]] &gt;= DATE(2022,2,1),"Grammys",TRUE,"Grammys TRA")</f>
        <v>Grammys TRA</v>
      </c>
      <c r="I1555">
        <f>_xlfn.XLOOKUP(Grammys[[#This Row],[date]],mobile_visits[date],mobile_visits[mobile_visitors],0)</f>
        <v>0</v>
      </c>
    </row>
    <row r="1556" spans="1:9">
      <c r="A1556" s="1">
        <v>44290</v>
      </c>
      <c r="B1556">
        <v>32923</v>
      </c>
      <c r="C1556">
        <v>55530</v>
      </c>
      <c r="D1556">
        <v>35243</v>
      </c>
      <c r="E1556">
        <v>17270</v>
      </c>
      <c r="F1556">
        <v>91</v>
      </c>
      <c r="G1556" t="s">
        <v>9</v>
      </c>
      <c r="H1556" t="str" cm="1">
        <f t="array" ref="H1556">_xlfn.IFS(Grammys[[#This Row],[date]] &gt;= DATE(2022,2,1),"Grammys",TRUE,"Grammys TRA")</f>
        <v>Grammys TRA</v>
      </c>
      <c r="I1556">
        <f>_xlfn.XLOOKUP(Grammys[[#This Row],[date]],mobile_visits[date],mobile_visits[mobile_visitors],0)</f>
        <v>0</v>
      </c>
    </row>
    <row r="1557" spans="1:9">
      <c r="A1557" s="1">
        <v>44291</v>
      </c>
      <c r="B1557">
        <v>29312</v>
      </c>
      <c r="C1557">
        <v>53494</v>
      </c>
      <c r="D1557">
        <v>31728</v>
      </c>
      <c r="E1557">
        <v>15411</v>
      </c>
      <c r="F1557">
        <v>97</v>
      </c>
      <c r="G1557" t="s">
        <v>9</v>
      </c>
      <c r="H1557" t="str" cm="1">
        <f t="array" ref="H1557">_xlfn.IFS(Grammys[[#This Row],[date]] &gt;= DATE(2022,2,1),"Grammys",TRUE,"Grammys TRA")</f>
        <v>Grammys TRA</v>
      </c>
      <c r="I1557">
        <f>_xlfn.XLOOKUP(Grammys[[#This Row],[date]],mobile_visits[date],mobile_visits[mobile_visitors],0)</f>
        <v>0</v>
      </c>
    </row>
    <row r="1558" spans="1:9">
      <c r="A1558" s="1">
        <v>44292</v>
      </c>
      <c r="B1558">
        <v>29227</v>
      </c>
      <c r="C1558">
        <v>53140</v>
      </c>
      <c r="D1558">
        <v>31497</v>
      </c>
      <c r="E1558">
        <v>14949</v>
      </c>
      <c r="F1558">
        <v>104</v>
      </c>
      <c r="G1558" t="s">
        <v>9</v>
      </c>
      <c r="H1558" t="str" cm="1">
        <f t="array" ref="H1558">_xlfn.IFS(Grammys[[#This Row],[date]] &gt;= DATE(2022,2,1),"Grammys",TRUE,"Grammys TRA")</f>
        <v>Grammys TRA</v>
      </c>
      <c r="I1558">
        <f>_xlfn.XLOOKUP(Grammys[[#This Row],[date]],mobile_visits[date],mobile_visits[mobile_visitors],0)</f>
        <v>0</v>
      </c>
    </row>
    <row r="1559" spans="1:9">
      <c r="A1559" s="1">
        <v>44293</v>
      </c>
      <c r="B1559">
        <v>27971</v>
      </c>
      <c r="C1559">
        <v>50761</v>
      </c>
      <c r="D1559">
        <v>30287</v>
      </c>
      <c r="E1559">
        <v>14771</v>
      </c>
      <c r="F1559">
        <v>95</v>
      </c>
      <c r="G1559" t="s">
        <v>9</v>
      </c>
      <c r="H1559" t="str" cm="1">
        <f t="array" ref="H1559">_xlfn.IFS(Grammys[[#This Row],[date]] &gt;= DATE(2022,2,1),"Grammys",TRUE,"Grammys TRA")</f>
        <v>Grammys TRA</v>
      </c>
      <c r="I1559">
        <f>_xlfn.XLOOKUP(Grammys[[#This Row],[date]],mobile_visits[date],mobile_visits[mobile_visitors],0)</f>
        <v>0</v>
      </c>
    </row>
    <row r="1560" spans="1:9">
      <c r="A1560" s="1">
        <v>44294</v>
      </c>
      <c r="B1560">
        <v>29506</v>
      </c>
      <c r="C1560">
        <v>52622</v>
      </c>
      <c r="D1560">
        <v>31627</v>
      </c>
      <c r="E1560">
        <v>14941</v>
      </c>
      <c r="F1560">
        <v>88</v>
      </c>
      <c r="G1560" t="s">
        <v>9</v>
      </c>
      <c r="H1560" t="str" cm="1">
        <f t="array" ref="H1560">_xlfn.IFS(Grammys[[#This Row],[date]] &gt;= DATE(2022,2,1),"Grammys",TRUE,"Grammys TRA")</f>
        <v>Grammys TRA</v>
      </c>
      <c r="I1560">
        <f>_xlfn.XLOOKUP(Grammys[[#This Row],[date]],mobile_visits[date],mobile_visits[mobile_visitors],0)</f>
        <v>0</v>
      </c>
    </row>
    <row r="1561" spans="1:9">
      <c r="A1561" s="1">
        <v>44295</v>
      </c>
      <c r="B1561">
        <v>29088</v>
      </c>
      <c r="C1561">
        <v>50349</v>
      </c>
      <c r="D1561">
        <v>30865</v>
      </c>
      <c r="E1561">
        <v>14822</v>
      </c>
      <c r="F1561">
        <v>83</v>
      </c>
      <c r="G1561" t="s">
        <v>9</v>
      </c>
      <c r="H1561" t="str" cm="1">
        <f t="array" ref="H1561">_xlfn.IFS(Grammys[[#This Row],[date]] &gt;= DATE(2022,2,1),"Grammys",TRUE,"Grammys TRA")</f>
        <v>Grammys TRA</v>
      </c>
      <c r="I1561">
        <f>_xlfn.XLOOKUP(Grammys[[#This Row],[date]],mobile_visits[date],mobile_visits[mobile_visitors],0)</f>
        <v>0</v>
      </c>
    </row>
    <row r="1562" spans="1:9">
      <c r="A1562" s="1">
        <v>44296</v>
      </c>
      <c r="B1562">
        <v>23738</v>
      </c>
      <c r="C1562">
        <v>41628</v>
      </c>
      <c r="D1562">
        <v>25574</v>
      </c>
      <c r="E1562">
        <v>12629</v>
      </c>
      <c r="F1562">
        <v>85</v>
      </c>
      <c r="G1562" t="s">
        <v>9</v>
      </c>
      <c r="H1562" t="str" cm="1">
        <f t="array" ref="H1562">_xlfn.IFS(Grammys[[#This Row],[date]] &gt;= DATE(2022,2,1),"Grammys",TRUE,"Grammys TRA")</f>
        <v>Grammys TRA</v>
      </c>
      <c r="I1562">
        <f>_xlfn.XLOOKUP(Grammys[[#This Row],[date]],mobile_visits[date],mobile_visits[mobile_visitors],0)</f>
        <v>0</v>
      </c>
    </row>
    <row r="1563" spans="1:9">
      <c r="A1563" s="1">
        <v>44297</v>
      </c>
      <c r="B1563">
        <v>22651</v>
      </c>
      <c r="C1563">
        <v>40486</v>
      </c>
      <c r="D1563">
        <v>24187</v>
      </c>
      <c r="E1563">
        <v>12092</v>
      </c>
      <c r="F1563">
        <v>89</v>
      </c>
      <c r="G1563" t="s">
        <v>9</v>
      </c>
      <c r="H1563" t="str" cm="1">
        <f t="array" ref="H1563">_xlfn.IFS(Grammys[[#This Row],[date]] &gt;= DATE(2022,2,1),"Grammys",TRUE,"Grammys TRA")</f>
        <v>Grammys TRA</v>
      </c>
      <c r="I1563">
        <f>_xlfn.XLOOKUP(Grammys[[#This Row],[date]],mobile_visits[date],mobile_visits[mobile_visitors],0)</f>
        <v>0</v>
      </c>
    </row>
    <row r="1564" spans="1:9">
      <c r="A1564" s="1">
        <v>44298</v>
      </c>
      <c r="B1564">
        <v>25217</v>
      </c>
      <c r="C1564">
        <v>45187</v>
      </c>
      <c r="D1564">
        <v>26958</v>
      </c>
      <c r="E1564">
        <v>13684</v>
      </c>
      <c r="F1564">
        <v>86</v>
      </c>
      <c r="G1564" t="s">
        <v>9</v>
      </c>
      <c r="H1564" t="str" cm="1">
        <f t="array" ref="H1564">_xlfn.IFS(Grammys[[#This Row],[date]] &gt;= DATE(2022,2,1),"Grammys",TRUE,"Grammys TRA")</f>
        <v>Grammys TRA</v>
      </c>
      <c r="I1564">
        <f>_xlfn.XLOOKUP(Grammys[[#This Row],[date]],mobile_visits[date],mobile_visits[mobile_visitors],0)</f>
        <v>0</v>
      </c>
    </row>
    <row r="1565" spans="1:9">
      <c r="A1565" s="1">
        <v>44299</v>
      </c>
      <c r="B1565">
        <v>24729</v>
      </c>
      <c r="C1565">
        <v>44086</v>
      </c>
      <c r="D1565">
        <v>26468</v>
      </c>
      <c r="E1565">
        <v>13849</v>
      </c>
      <c r="F1565">
        <v>87</v>
      </c>
      <c r="G1565" t="s">
        <v>9</v>
      </c>
      <c r="H1565" t="str" cm="1">
        <f t="array" ref="H1565">_xlfn.IFS(Grammys[[#This Row],[date]] &gt;= DATE(2022,2,1),"Grammys",TRUE,"Grammys TRA")</f>
        <v>Grammys TRA</v>
      </c>
      <c r="I1565">
        <f>_xlfn.XLOOKUP(Grammys[[#This Row],[date]],mobile_visits[date],mobile_visits[mobile_visitors],0)</f>
        <v>0</v>
      </c>
    </row>
    <row r="1566" spans="1:9">
      <c r="A1566" s="1">
        <v>44300</v>
      </c>
      <c r="B1566">
        <v>22644</v>
      </c>
      <c r="C1566">
        <v>41598</v>
      </c>
      <c r="D1566">
        <v>24550</v>
      </c>
      <c r="E1566">
        <v>12671</v>
      </c>
      <c r="F1566">
        <v>95</v>
      </c>
      <c r="G1566" t="s">
        <v>9</v>
      </c>
      <c r="H1566" t="str" cm="1">
        <f t="array" ref="H1566">_xlfn.IFS(Grammys[[#This Row],[date]] &gt;= DATE(2022,2,1),"Grammys",TRUE,"Grammys TRA")</f>
        <v>Grammys TRA</v>
      </c>
      <c r="I1566">
        <f>_xlfn.XLOOKUP(Grammys[[#This Row],[date]],mobile_visits[date],mobile_visits[mobile_visitors],0)</f>
        <v>0</v>
      </c>
    </row>
    <row r="1567" spans="1:9">
      <c r="A1567" s="1">
        <v>44301</v>
      </c>
      <c r="B1567">
        <v>24493</v>
      </c>
      <c r="C1567">
        <v>43446</v>
      </c>
      <c r="D1567">
        <v>26273</v>
      </c>
      <c r="E1567">
        <v>13313</v>
      </c>
      <c r="F1567">
        <v>94</v>
      </c>
      <c r="G1567" t="s">
        <v>9</v>
      </c>
      <c r="H1567" t="str" cm="1">
        <f t="array" ref="H1567">_xlfn.IFS(Grammys[[#This Row],[date]] &gt;= DATE(2022,2,1),"Grammys",TRUE,"Grammys TRA")</f>
        <v>Grammys TRA</v>
      </c>
      <c r="I1567">
        <f>_xlfn.XLOOKUP(Grammys[[#This Row],[date]],mobile_visits[date],mobile_visits[mobile_visitors],0)</f>
        <v>0</v>
      </c>
    </row>
    <row r="1568" spans="1:9">
      <c r="A1568" s="1">
        <v>44302</v>
      </c>
      <c r="B1568">
        <v>23283</v>
      </c>
      <c r="C1568">
        <v>41595</v>
      </c>
      <c r="D1568">
        <v>24807</v>
      </c>
      <c r="E1568">
        <v>12379</v>
      </c>
      <c r="F1568">
        <v>92</v>
      </c>
      <c r="G1568" t="s">
        <v>9</v>
      </c>
      <c r="H1568" t="str" cm="1">
        <f t="array" ref="H1568">_xlfn.IFS(Grammys[[#This Row],[date]] &gt;= DATE(2022,2,1),"Grammys",TRUE,"Grammys TRA")</f>
        <v>Grammys TRA</v>
      </c>
      <c r="I1568">
        <f>_xlfn.XLOOKUP(Grammys[[#This Row],[date]],mobile_visits[date],mobile_visits[mobile_visitors],0)</f>
        <v>0</v>
      </c>
    </row>
    <row r="1569" spans="1:9">
      <c r="A1569" s="1">
        <v>44303</v>
      </c>
      <c r="B1569">
        <v>22982</v>
      </c>
      <c r="C1569">
        <v>38317</v>
      </c>
      <c r="D1569">
        <v>24274</v>
      </c>
      <c r="E1569">
        <v>11198</v>
      </c>
      <c r="F1569">
        <v>78</v>
      </c>
      <c r="G1569" t="s">
        <v>9</v>
      </c>
      <c r="H1569" t="str" cm="1">
        <f t="array" ref="H1569">_xlfn.IFS(Grammys[[#This Row],[date]] &gt;= DATE(2022,2,1),"Grammys",TRUE,"Grammys TRA")</f>
        <v>Grammys TRA</v>
      </c>
      <c r="I1569">
        <f>_xlfn.XLOOKUP(Grammys[[#This Row],[date]],mobile_visits[date],mobile_visits[mobile_visitors],0)</f>
        <v>0</v>
      </c>
    </row>
    <row r="1570" spans="1:9">
      <c r="A1570" s="1">
        <v>44304</v>
      </c>
      <c r="B1570">
        <v>20971</v>
      </c>
      <c r="C1570">
        <v>36750</v>
      </c>
      <c r="D1570">
        <v>22295</v>
      </c>
      <c r="E1570">
        <v>11181</v>
      </c>
      <c r="F1570">
        <v>85</v>
      </c>
      <c r="G1570" t="s">
        <v>9</v>
      </c>
      <c r="H1570" t="str" cm="1">
        <f t="array" ref="H1570">_xlfn.IFS(Grammys[[#This Row],[date]] &gt;= DATE(2022,2,1),"Grammys",TRUE,"Grammys TRA")</f>
        <v>Grammys TRA</v>
      </c>
      <c r="I1570">
        <f>_xlfn.XLOOKUP(Grammys[[#This Row],[date]],mobile_visits[date],mobile_visits[mobile_visitors],0)</f>
        <v>0</v>
      </c>
    </row>
    <row r="1571" spans="1:9">
      <c r="A1571" s="1">
        <v>44305</v>
      </c>
      <c r="B1571">
        <v>25846</v>
      </c>
      <c r="C1571">
        <v>44808</v>
      </c>
      <c r="D1571">
        <v>27556</v>
      </c>
      <c r="E1571">
        <v>15699</v>
      </c>
      <c r="F1571">
        <v>77</v>
      </c>
      <c r="G1571" t="s">
        <v>9</v>
      </c>
      <c r="H1571" t="str" cm="1">
        <f t="array" ref="H1571">_xlfn.IFS(Grammys[[#This Row],[date]] &gt;= DATE(2022,2,1),"Grammys",TRUE,"Grammys TRA")</f>
        <v>Grammys TRA</v>
      </c>
      <c r="I1571">
        <f>_xlfn.XLOOKUP(Grammys[[#This Row],[date]],mobile_visits[date],mobile_visits[mobile_visitors],0)</f>
        <v>0</v>
      </c>
    </row>
    <row r="1572" spans="1:9">
      <c r="A1572" s="1">
        <v>44306</v>
      </c>
      <c r="B1572">
        <v>26076</v>
      </c>
      <c r="C1572">
        <v>44591</v>
      </c>
      <c r="D1572">
        <v>27668</v>
      </c>
      <c r="E1572">
        <v>15802</v>
      </c>
      <c r="F1572">
        <v>77</v>
      </c>
      <c r="G1572" t="s">
        <v>9</v>
      </c>
      <c r="H1572" t="str" cm="1">
        <f t="array" ref="H1572">_xlfn.IFS(Grammys[[#This Row],[date]] &gt;= DATE(2022,2,1),"Grammys",TRUE,"Grammys TRA")</f>
        <v>Grammys TRA</v>
      </c>
      <c r="I1572">
        <f>_xlfn.XLOOKUP(Grammys[[#This Row],[date]],mobile_visits[date],mobile_visits[mobile_visitors],0)</f>
        <v>0</v>
      </c>
    </row>
    <row r="1573" spans="1:9">
      <c r="A1573" s="1">
        <v>44307</v>
      </c>
      <c r="B1573">
        <v>22104</v>
      </c>
      <c r="C1573">
        <v>40237</v>
      </c>
      <c r="D1573">
        <v>23719</v>
      </c>
      <c r="E1573">
        <v>11661</v>
      </c>
      <c r="F1573">
        <v>88</v>
      </c>
      <c r="G1573" t="s">
        <v>9</v>
      </c>
      <c r="H1573" t="str" cm="1">
        <f t="array" ref="H1573">_xlfn.IFS(Grammys[[#This Row],[date]] &gt;= DATE(2022,2,1),"Grammys",TRUE,"Grammys TRA")</f>
        <v>Grammys TRA</v>
      </c>
      <c r="I1573">
        <f>_xlfn.XLOOKUP(Grammys[[#This Row],[date]],mobile_visits[date],mobile_visits[mobile_visitors],0)</f>
        <v>0</v>
      </c>
    </row>
    <row r="1574" spans="1:9">
      <c r="A1574" s="1">
        <v>44308</v>
      </c>
      <c r="B1574">
        <v>21250</v>
      </c>
      <c r="C1574">
        <v>39483</v>
      </c>
      <c r="D1574">
        <v>23004</v>
      </c>
      <c r="E1574">
        <v>11169</v>
      </c>
      <c r="F1574">
        <v>96</v>
      </c>
      <c r="G1574" t="s">
        <v>9</v>
      </c>
      <c r="H1574" t="str" cm="1">
        <f t="array" ref="H1574">_xlfn.IFS(Grammys[[#This Row],[date]] &gt;= DATE(2022,2,1),"Grammys",TRUE,"Grammys TRA")</f>
        <v>Grammys TRA</v>
      </c>
      <c r="I1574">
        <f>_xlfn.XLOOKUP(Grammys[[#This Row],[date]],mobile_visits[date],mobile_visits[mobile_visitors],0)</f>
        <v>0</v>
      </c>
    </row>
    <row r="1575" spans="1:9">
      <c r="A1575" s="1">
        <v>44309</v>
      </c>
      <c r="B1575">
        <v>27086</v>
      </c>
      <c r="C1575">
        <v>48969</v>
      </c>
      <c r="D1575">
        <v>29119</v>
      </c>
      <c r="E1575">
        <v>15579</v>
      </c>
      <c r="F1575">
        <v>85</v>
      </c>
      <c r="G1575" t="s">
        <v>9</v>
      </c>
      <c r="H1575" t="str" cm="1">
        <f t="array" ref="H1575">_xlfn.IFS(Grammys[[#This Row],[date]] &gt;= DATE(2022,2,1),"Grammys",TRUE,"Grammys TRA")</f>
        <v>Grammys TRA</v>
      </c>
      <c r="I1575">
        <f>_xlfn.XLOOKUP(Grammys[[#This Row],[date]],mobile_visits[date],mobile_visits[mobile_visitors],0)</f>
        <v>0</v>
      </c>
    </row>
    <row r="1576" spans="1:9">
      <c r="A1576" s="1">
        <v>44310</v>
      </c>
      <c r="B1576">
        <v>29414</v>
      </c>
      <c r="C1576">
        <v>50866</v>
      </c>
      <c r="D1576">
        <v>31838</v>
      </c>
      <c r="E1576">
        <v>16333</v>
      </c>
      <c r="F1576">
        <v>91</v>
      </c>
      <c r="G1576" t="s">
        <v>9</v>
      </c>
      <c r="H1576" t="str" cm="1">
        <f t="array" ref="H1576">_xlfn.IFS(Grammys[[#This Row],[date]] &gt;= DATE(2022,2,1),"Grammys",TRUE,"Grammys TRA")</f>
        <v>Grammys TRA</v>
      </c>
      <c r="I1576">
        <f>_xlfn.XLOOKUP(Grammys[[#This Row],[date]],mobile_visits[date],mobile_visits[mobile_visitors],0)</f>
        <v>0</v>
      </c>
    </row>
    <row r="1577" spans="1:9">
      <c r="A1577" s="1">
        <v>44311</v>
      </c>
      <c r="B1577">
        <v>33957</v>
      </c>
      <c r="C1577">
        <v>59096</v>
      </c>
      <c r="D1577">
        <v>36257</v>
      </c>
      <c r="E1577">
        <v>18745</v>
      </c>
      <c r="F1577">
        <v>80</v>
      </c>
      <c r="G1577" t="s">
        <v>9</v>
      </c>
      <c r="H1577" t="str" cm="1">
        <f t="array" ref="H1577">_xlfn.IFS(Grammys[[#This Row],[date]] &gt;= DATE(2022,2,1),"Grammys",TRUE,"Grammys TRA")</f>
        <v>Grammys TRA</v>
      </c>
      <c r="I1577">
        <f>_xlfn.XLOOKUP(Grammys[[#This Row],[date]],mobile_visits[date],mobile_visits[mobile_visitors],0)</f>
        <v>0</v>
      </c>
    </row>
    <row r="1578" spans="1:9">
      <c r="A1578" s="1">
        <v>44312</v>
      </c>
      <c r="B1578">
        <v>36892</v>
      </c>
      <c r="C1578">
        <v>66310</v>
      </c>
      <c r="D1578">
        <v>38977</v>
      </c>
      <c r="E1578">
        <v>18807</v>
      </c>
      <c r="F1578">
        <v>83</v>
      </c>
      <c r="G1578" t="s">
        <v>9</v>
      </c>
      <c r="H1578" t="str" cm="1">
        <f t="array" ref="H1578">_xlfn.IFS(Grammys[[#This Row],[date]] &gt;= DATE(2022,2,1),"Grammys",TRUE,"Grammys TRA")</f>
        <v>Grammys TRA</v>
      </c>
      <c r="I1578">
        <f>_xlfn.XLOOKUP(Grammys[[#This Row],[date]],mobile_visits[date],mobile_visits[mobile_visitors],0)</f>
        <v>0</v>
      </c>
    </row>
    <row r="1579" spans="1:9">
      <c r="A1579" s="1">
        <v>44313</v>
      </c>
      <c r="B1579">
        <v>25989</v>
      </c>
      <c r="C1579">
        <v>47810</v>
      </c>
      <c r="D1579">
        <v>27922</v>
      </c>
      <c r="E1579">
        <v>13869</v>
      </c>
      <c r="F1579">
        <v>90</v>
      </c>
      <c r="G1579" t="s">
        <v>9</v>
      </c>
      <c r="H1579" t="str" cm="1">
        <f t="array" ref="H1579">_xlfn.IFS(Grammys[[#This Row],[date]] &gt;= DATE(2022,2,1),"Grammys",TRUE,"Grammys TRA")</f>
        <v>Grammys TRA</v>
      </c>
      <c r="I1579">
        <f>_xlfn.XLOOKUP(Grammys[[#This Row],[date]],mobile_visits[date],mobile_visits[mobile_visitors],0)</f>
        <v>0</v>
      </c>
    </row>
    <row r="1580" spans="1:9">
      <c r="A1580" s="1">
        <v>44314</v>
      </c>
      <c r="B1580">
        <v>25358</v>
      </c>
      <c r="C1580">
        <v>46269</v>
      </c>
      <c r="D1580">
        <v>27380</v>
      </c>
      <c r="E1580">
        <v>13474</v>
      </c>
      <c r="F1580">
        <v>95</v>
      </c>
      <c r="G1580" t="s">
        <v>9</v>
      </c>
      <c r="H1580" t="str" cm="1">
        <f t="array" ref="H1580">_xlfn.IFS(Grammys[[#This Row],[date]] &gt;= DATE(2022,2,1),"Grammys",TRUE,"Grammys TRA")</f>
        <v>Grammys TRA</v>
      </c>
      <c r="I1580">
        <f>_xlfn.XLOOKUP(Grammys[[#This Row],[date]],mobile_visits[date],mobile_visits[mobile_visitors],0)</f>
        <v>0</v>
      </c>
    </row>
    <row r="1581" spans="1:9">
      <c r="A1581" s="1">
        <v>44315</v>
      </c>
      <c r="B1581">
        <v>21759</v>
      </c>
      <c r="C1581">
        <v>40180</v>
      </c>
      <c r="D1581">
        <v>23695</v>
      </c>
      <c r="E1581">
        <v>11639</v>
      </c>
      <c r="F1581">
        <v>93</v>
      </c>
      <c r="G1581" t="s">
        <v>9</v>
      </c>
      <c r="H1581" t="str" cm="1">
        <f t="array" ref="H1581">_xlfn.IFS(Grammys[[#This Row],[date]] &gt;= DATE(2022,2,1),"Grammys",TRUE,"Grammys TRA")</f>
        <v>Grammys TRA</v>
      </c>
      <c r="I1581">
        <f>_xlfn.XLOOKUP(Grammys[[#This Row],[date]],mobile_visits[date],mobile_visits[mobile_visitors],0)</f>
        <v>0</v>
      </c>
    </row>
    <row r="1582" spans="1:9">
      <c r="A1582" s="1">
        <v>44316</v>
      </c>
      <c r="B1582">
        <v>25030</v>
      </c>
      <c r="C1582">
        <v>44062</v>
      </c>
      <c r="D1582">
        <v>26698</v>
      </c>
      <c r="E1582">
        <v>13010</v>
      </c>
      <c r="F1582">
        <v>93</v>
      </c>
      <c r="G1582" t="s">
        <v>9</v>
      </c>
      <c r="H1582" t="str" cm="1">
        <f t="array" ref="H1582">_xlfn.IFS(Grammys[[#This Row],[date]] &gt;= DATE(2022,2,1),"Grammys",TRUE,"Grammys TRA")</f>
        <v>Grammys TRA</v>
      </c>
      <c r="I1582">
        <f>_xlfn.XLOOKUP(Grammys[[#This Row],[date]],mobile_visits[date],mobile_visits[mobile_visitors],0)</f>
        <v>0</v>
      </c>
    </row>
    <row r="1583" spans="1:9">
      <c r="A1583" s="1">
        <v>44317</v>
      </c>
      <c r="B1583">
        <v>22972</v>
      </c>
      <c r="C1583">
        <v>39628</v>
      </c>
      <c r="D1583">
        <v>24539</v>
      </c>
      <c r="E1583">
        <v>11519</v>
      </c>
      <c r="F1583">
        <v>87</v>
      </c>
      <c r="G1583" t="s">
        <v>9</v>
      </c>
      <c r="H1583" t="str" cm="1">
        <f t="array" ref="H1583">_xlfn.IFS(Grammys[[#This Row],[date]] &gt;= DATE(2022,2,1),"Grammys",TRUE,"Grammys TRA")</f>
        <v>Grammys TRA</v>
      </c>
      <c r="I1583">
        <f>_xlfn.XLOOKUP(Grammys[[#This Row],[date]],mobile_visits[date],mobile_visits[mobile_visitors],0)</f>
        <v>0</v>
      </c>
    </row>
    <row r="1584" spans="1:9">
      <c r="A1584" s="1">
        <v>44318</v>
      </c>
      <c r="B1584">
        <v>21619</v>
      </c>
      <c r="C1584">
        <v>37451</v>
      </c>
      <c r="D1584">
        <v>22833</v>
      </c>
      <c r="E1584">
        <v>10801</v>
      </c>
      <c r="F1584">
        <v>89</v>
      </c>
      <c r="G1584" t="s">
        <v>9</v>
      </c>
      <c r="H1584" t="str" cm="1">
        <f t="array" ref="H1584">_xlfn.IFS(Grammys[[#This Row],[date]] &gt;= DATE(2022,2,1),"Grammys",TRUE,"Grammys TRA")</f>
        <v>Grammys TRA</v>
      </c>
      <c r="I1584">
        <f>_xlfn.XLOOKUP(Grammys[[#This Row],[date]],mobile_visits[date],mobile_visits[mobile_visitors],0)</f>
        <v>0</v>
      </c>
    </row>
    <row r="1585" spans="1:9">
      <c r="A1585" s="1">
        <v>44319</v>
      </c>
      <c r="B1585">
        <v>22124</v>
      </c>
      <c r="C1585">
        <v>40817</v>
      </c>
      <c r="D1585">
        <v>23727</v>
      </c>
      <c r="E1585">
        <v>11537</v>
      </c>
      <c r="F1585">
        <v>92</v>
      </c>
      <c r="G1585" t="s">
        <v>9</v>
      </c>
      <c r="H1585" t="str" cm="1">
        <f t="array" ref="H1585">_xlfn.IFS(Grammys[[#This Row],[date]] &gt;= DATE(2022,2,1),"Grammys",TRUE,"Grammys TRA")</f>
        <v>Grammys TRA</v>
      </c>
      <c r="I1585">
        <f>_xlfn.XLOOKUP(Grammys[[#This Row],[date]],mobile_visits[date],mobile_visits[mobile_visitors],0)</f>
        <v>0</v>
      </c>
    </row>
    <row r="1586" spans="1:9">
      <c r="A1586" s="1">
        <v>44320</v>
      </c>
      <c r="B1586">
        <v>21448</v>
      </c>
      <c r="C1586">
        <v>39030</v>
      </c>
      <c r="D1586">
        <v>23172</v>
      </c>
      <c r="E1586">
        <v>11452</v>
      </c>
      <c r="F1586">
        <v>86</v>
      </c>
      <c r="G1586" t="s">
        <v>9</v>
      </c>
      <c r="H1586" t="str" cm="1">
        <f t="array" ref="H1586">_xlfn.IFS(Grammys[[#This Row],[date]] &gt;= DATE(2022,2,1),"Grammys",TRUE,"Grammys TRA")</f>
        <v>Grammys TRA</v>
      </c>
      <c r="I1586">
        <f>_xlfn.XLOOKUP(Grammys[[#This Row],[date]],mobile_visits[date],mobile_visits[mobile_visitors],0)</f>
        <v>0</v>
      </c>
    </row>
    <row r="1587" spans="1:9">
      <c r="A1587" s="1">
        <v>44321</v>
      </c>
      <c r="B1587">
        <v>20466</v>
      </c>
      <c r="C1587">
        <v>36675</v>
      </c>
      <c r="D1587">
        <v>22102</v>
      </c>
      <c r="E1587">
        <v>10556</v>
      </c>
      <c r="F1587">
        <v>85</v>
      </c>
      <c r="G1587" t="s">
        <v>9</v>
      </c>
      <c r="H1587" t="str" cm="1">
        <f t="array" ref="H1587">_xlfn.IFS(Grammys[[#This Row],[date]] &gt;= DATE(2022,2,1),"Grammys",TRUE,"Grammys TRA")</f>
        <v>Grammys TRA</v>
      </c>
      <c r="I1587">
        <f>_xlfn.XLOOKUP(Grammys[[#This Row],[date]],mobile_visits[date],mobile_visits[mobile_visitors],0)</f>
        <v>0</v>
      </c>
    </row>
    <row r="1588" spans="1:9">
      <c r="A1588" s="1">
        <v>44322</v>
      </c>
      <c r="B1588">
        <v>20035</v>
      </c>
      <c r="C1588">
        <v>35707</v>
      </c>
      <c r="D1588">
        <v>21535</v>
      </c>
      <c r="E1588">
        <v>10066</v>
      </c>
      <c r="F1588">
        <v>89</v>
      </c>
      <c r="G1588" t="s">
        <v>9</v>
      </c>
      <c r="H1588" t="str" cm="1">
        <f t="array" ref="H1588">_xlfn.IFS(Grammys[[#This Row],[date]] &gt;= DATE(2022,2,1),"Grammys",TRUE,"Grammys TRA")</f>
        <v>Grammys TRA</v>
      </c>
      <c r="I1588">
        <f>_xlfn.XLOOKUP(Grammys[[#This Row],[date]],mobile_visits[date],mobile_visits[mobile_visitors],0)</f>
        <v>0</v>
      </c>
    </row>
    <row r="1589" spans="1:9">
      <c r="A1589" s="1">
        <v>44323</v>
      </c>
      <c r="B1589">
        <v>19315</v>
      </c>
      <c r="C1589">
        <v>34128</v>
      </c>
      <c r="D1589">
        <v>20661</v>
      </c>
      <c r="E1589">
        <v>9790</v>
      </c>
      <c r="F1589">
        <v>85</v>
      </c>
      <c r="G1589" t="s">
        <v>9</v>
      </c>
      <c r="H1589" t="str" cm="1">
        <f t="array" ref="H1589">_xlfn.IFS(Grammys[[#This Row],[date]] &gt;= DATE(2022,2,1),"Grammys",TRUE,"Grammys TRA")</f>
        <v>Grammys TRA</v>
      </c>
      <c r="I1589">
        <f>_xlfn.XLOOKUP(Grammys[[#This Row],[date]],mobile_visits[date],mobile_visits[mobile_visitors],0)</f>
        <v>0</v>
      </c>
    </row>
    <row r="1590" spans="1:9">
      <c r="A1590" s="1">
        <v>44324</v>
      </c>
      <c r="B1590">
        <v>18516</v>
      </c>
      <c r="C1590">
        <v>31694</v>
      </c>
      <c r="D1590">
        <v>19520</v>
      </c>
      <c r="E1590">
        <v>9138</v>
      </c>
      <c r="F1590">
        <v>84</v>
      </c>
      <c r="G1590" t="s">
        <v>9</v>
      </c>
      <c r="H1590" t="str" cm="1">
        <f t="array" ref="H1590">_xlfn.IFS(Grammys[[#This Row],[date]] &gt;= DATE(2022,2,1),"Grammys",TRUE,"Grammys TRA")</f>
        <v>Grammys TRA</v>
      </c>
      <c r="I1590">
        <f>_xlfn.XLOOKUP(Grammys[[#This Row],[date]],mobile_visits[date],mobile_visits[mobile_visitors],0)</f>
        <v>0</v>
      </c>
    </row>
    <row r="1591" spans="1:9">
      <c r="A1591" s="1">
        <v>44325</v>
      </c>
      <c r="B1591">
        <v>20668</v>
      </c>
      <c r="C1591">
        <v>35942</v>
      </c>
      <c r="D1591">
        <v>22195</v>
      </c>
      <c r="E1591">
        <v>10308</v>
      </c>
      <c r="F1591">
        <v>86</v>
      </c>
      <c r="G1591" t="s">
        <v>9</v>
      </c>
      <c r="H1591" t="str" cm="1">
        <f t="array" ref="H1591">_xlfn.IFS(Grammys[[#This Row],[date]] &gt;= DATE(2022,2,1),"Grammys",TRUE,"Grammys TRA")</f>
        <v>Grammys TRA</v>
      </c>
      <c r="I1591">
        <f>_xlfn.XLOOKUP(Grammys[[#This Row],[date]],mobile_visits[date],mobile_visits[mobile_visitors],0)</f>
        <v>0</v>
      </c>
    </row>
    <row r="1592" spans="1:9">
      <c r="A1592" s="1">
        <v>44326</v>
      </c>
      <c r="B1592">
        <v>22768</v>
      </c>
      <c r="C1592">
        <v>40232</v>
      </c>
      <c r="D1592">
        <v>24365</v>
      </c>
      <c r="E1592">
        <v>10909</v>
      </c>
      <c r="F1592">
        <v>91</v>
      </c>
      <c r="G1592" t="s">
        <v>9</v>
      </c>
      <c r="H1592" t="str" cm="1">
        <f t="array" ref="H1592">_xlfn.IFS(Grammys[[#This Row],[date]] &gt;= DATE(2022,2,1),"Grammys",TRUE,"Grammys TRA")</f>
        <v>Grammys TRA</v>
      </c>
      <c r="I1592">
        <f>_xlfn.XLOOKUP(Grammys[[#This Row],[date]],mobile_visits[date],mobile_visits[mobile_visitors],0)</f>
        <v>0</v>
      </c>
    </row>
    <row r="1593" spans="1:9">
      <c r="A1593" s="1">
        <v>44327</v>
      </c>
      <c r="B1593">
        <v>23819</v>
      </c>
      <c r="C1593">
        <v>41665</v>
      </c>
      <c r="D1593">
        <v>25206</v>
      </c>
      <c r="E1593">
        <v>11631</v>
      </c>
      <c r="F1593">
        <v>87</v>
      </c>
      <c r="G1593" t="s">
        <v>9</v>
      </c>
      <c r="H1593" t="str" cm="1">
        <f t="array" ref="H1593">_xlfn.IFS(Grammys[[#This Row],[date]] &gt;= DATE(2022,2,1),"Grammys",TRUE,"Grammys TRA")</f>
        <v>Grammys TRA</v>
      </c>
      <c r="I1593">
        <f>_xlfn.XLOOKUP(Grammys[[#This Row],[date]],mobile_visits[date],mobile_visits[mobile_visitors],0)</f>
        <v>0</v>
      </c>
    </row>
    <row r="1594" spans="1:9">
      <c r="A1594" s="1">
        <v>44328</v>
      </c>
      <c r="B1594">
        <v>20173</v>
      </c>
      <c r="C1594">
        <v>36872</v>
      </c>
      <c r="D1594">
        <v>21761</v>
      </c>
      <c r="E1594">
        <v>10524</v>
      </c>
      <c r="F1594">
        <v>87</v>
      </c>
      <c r="G1594" t="s">
        <v>9</v>
      </c>
      <c r="H1594" t="str" cm="1">
        <f t="array" ref="H1594">_xlfn.IFS(Grammys[[#This Row],[date]] &gt;= DATE(2022,2,1),"Grammys",TRUE,"Grammys TRA")</f>
        <v>Grammys TRA</v>
      </c>
      <c r="I1594">
        <f>_xlfn.XLOOKUP(Grammys[[#This Row],[date]],mobile_visits[date],mobile_visits[mobile_visitors],0)</f>
        <v>0</v>
      </c>
    </row>
    <row r="1595" spans="1:9">
      <c r="A1595" s="1">
        <v>44329</v>
      </c>
      <c r="B1595">
        <v>18788</v>
      </c>
      <c r="C1595">
        <v>33973</v>
      </c>
      <c r="D1595">
        <v>20233</v>
      </c>
      <c r="E1595">
        <v>9872</v>
      </c>
      <c r="F1595">
        <v>93</v>
      </c>
      <c r="G1595" t="s">
        <v>9</v>
      </c>
      <c r="H1595" t="str" cm="1">
        <f t="array" ref="H1595">_xlfn.IFS(Grammys[[#This Row],[date]] &gt;= DATE(2022,2,1),"Grammys",TRUE,"Grammys TRA")</f>
        <v>Grammys TRA</v>
      </c>
      <c r="I1595">
        <f>_xlfn.XLOOKUP(Grammys[[#This Row],[date]],mobile_visits[date],mobile_visits[mobile_visitors],0)</f>
        <v>0</v>
      </c>
    </row>
    <row r="1596" spans="1:9">
      <c r="A1596" s="1">
        <v>44330</v>
      </c>
      <c r="B1596">
        <v>18778</v>
      </c>
      <c r="C1596">
        <v>33005</v>
      </c>
      <c r="D1596">
        <v>20082</v>
      </c>
      <c r="E1596">
        <v>9849</v>
      </c>
      <c r="F1596">
        <v>87</v>
      </c>
      <c r="G1596" t="s">
        <v>9</v>
      </c>
      <c r="H1596" t="str" cm="1">
        <f t="array" ref="H1596">_xlfn.IFS(Grammys[[#This Row],[date]] &gt;= DATE(2022,2,1),"Grammys",TRUE,"Grammys TRA")</f>
        <v>Grammys TRA</v>
      </c>
      <c r="I1596">
        <f>_xlfn.XLOOKUP(Grammys[[#This Row],[date]],mobile_visits[date],mobile_visits[mobile_visitors],0)</f>
        <v>0</v>
      </c>
    </row>
    <row r="1597" spans="1:9">
      <c r="A1597" s="1">
        <v>44331</v>
      </c>
      <c r="B1597">
        <v>16338</v>
      </c>
      <c r="C1597">
        <v>27774</v>
      </c>
      <c r="D1597">
        <v>17358</v>
      </c>
      <c r="E1597">
        <v>8320</v>
      </c>
      <c r="F1597">
        <v>80</v>
      </c>
      <c r="G1597" t="s">
        <v>9</v>
      </c>
      <c r="H1597" t="str" cm="1">
        <f t="array" ref="H1597">_xlfn.IFS(Grammys[[#This Row],[date]] &gt;= DATE(2022,2,1),"Grammys",TRUE,"Grammys TRA")</f>
        <v>Grammys TRA</v>
      </c>
      <c r="I1597">
        <f>_xlfn.XLOOKUP(Grammys[[#This Row],[date]],mobile_visits[date],mobile_visits[mobile_visitors],0)</f>
        <v>0</v>
      </c>
    </row>
    <row r="1598" spans="1:9">
      <c r="A1598" s="1">
        <v>44332</v>
      </c>
      <c r="B1598">
        <v>16910</v>
      </c>
      <c r="C1598">
        <v>29617</v>
      </c>
      <c r="D1598">
        <v>17988</v>
      </c>
      <c r="E1598">
        <v>8699</v>
      </c>
      <c r="F1598">
        <v>85</v>
      </c>
      <c r="G1598" t="s">
        <v>9</v>
      </c>
      <c r="H1598" t="str" cm="1">
        <f t="array" ref="H1598">_xlfn.IFS(Grammys[[#This Row],[date]] &gt;= DATE(2022,2,1),"Grammys",TRUE,"Grammys TRA")</f>
        <v>Grammys TRA</v>
      </c>
      <c r="I1598">
        <f>_xlfn.XLOOKUP(Grammys[[#This Row],[date]],mobile_visits[date],mobile_visits[mobile_visitors],0)</f>
        <v>0</v>
      </c>
    </row>
    <row r="1599" spans="1:9">
      <c r="A1599" s="1">
        <v>44333</v>
      </c>
      <c r="B1599">
        <v>16762</v>
      </c>
      <c r="C1599">
        <v>31251</v>
      </c>
      <c r="D1599">
        <v>18179</v>
      </c>
      <c r="E1599">
        <v>9048</v>
      </c>
      <c r="F1599">
        <v>91</v>
      </c>
      <c r="G1599" t="s">
        <v>9</v>
      </c>
      <c r="H1599" t="str" cm="1">
        <f t="array" ref="H1599">_xlfn.IFS(Grammys[[#This Row],[date]] &gt;= DATE(2022,2,1),"Grammys",TRUE,"Grammys TRA")</f>
        <v>Grammys TRA</v>
      </c>
      <c r="I1599">
        <f>_xlfn.XLOOKUP(Grammys[[#This Row],[date]],mobile_visits[date],mobile_visits[mobile_visitors],0)</f>
        <v>0</v>
      </c>
    </row>
    <row r="1600" spans="1:9">
      <c r="A1600" s="1">
        <v>44334</v>
      </c>
      <c r="B1600">
        <v>18661</v>
      </c>
      <c r="C1600">
        <v>33123</v>
      </c>
      <c r="D1600">
        <v>19866</v>
      </c>
      <c r="E1600">
        <v>9508</v>
      </c>
      <c r="F1600">
        <v>95</v>
      </c>
      <c r="G1600" t="s">
        <v>9</v>
      </c>
      <c r="H1600" t="str" cm="1">
        <f t="array" ref="H1600">_xlfn.IFS(Grammys[[#This Row],[date]] &gt;= DATE(2022,2,1),"Grammys",TRUE,"Grammys TRA")</f>
        <v>Grammys TRA</v>
      </c>
      <c r="I1600">
        <f>_xlfn.XLOOKUP(Grammys[[#This Row],[date]],mobile_visits[date],mobile_visits[mobile_visitors],0)</f>
        <v>0</v>
      </c>
    </row>
    <row r="1601" spans="1:9">
      <c r="A1601" s="1">
        <v>44335</v>
      </c>
      <c r="B1601">
        <v>17979</v>
      </c>
      <c r="C1601">
        <v>31983</v>
      </c>
      <c r="D1601">
        <v>19099</v>
      </c>
      <c r="E1601">
        <v>9573</v>
      </c>
      <c r="F1601">
        <v>90</v>
      </c>
      <c r="G1601" t="s">
        <v>9</v>
      </c>
      <c r="H1601" t="str" cm="1">
        <f t="array" ref="H1601">_xlfn.IFS(Grammys[[#This Row],[date]] &gt;= DATE(2022,2,1),"Grammys",TRUE,"Grammys TRA")</f>
        <v>Grammys TRA</v>
      </c>
      <c r="I1601">
        <f>_xlfn.XLOOKUP(Grammys[[#This Row],[date]],mobile_visits[date],mobile_visits[mobile_visitors],0)</f>
        <v>0</v>
      </c>
    </row>
    <row r="1602" spans="1:9">
      <c r="A1602" s="1">
        <v>44336</v>
      </c>
      <c r="B1602">
        <v>18174</v>
      </c>
      <c r="C1602">
        <v>32219</v>
      </c>
      <c r="D1602">
        <v>19518</v>
      </c>
      <c r="E1602">
        <v>9902</v>
      </c>
      <c r="F1602">
        <v>84</v>
      </c>
      <c r="G1602" t="s">
        <v>9</v>
      </c>
      <c r="H1602" t="str" cm="1">
        <f t="array" ref="H1602">_xlfn.IFS(Grammys[[#This Row],[date]] &gt;= DATE(2022,2,1),"Grammys",TRUE,"Grammys TRA")</f>
        <v>Grammys TRA</v>
      </c>
      <c r="I1602">
        <f>_xlfn.XLOOKUP(Grammys[[#This Row],[date]],mobile_visits[date],mobile_visits[mobile_visitors],0)</f>
        <v>0</v>
      </c>
    </row>
    <row r="1603" spans="1:9">
      <c r="A1603" s="1">
        <v>44337</v>
      </c>
      <c r="B1603">
        <v>18530</v>
      </c>
      <c r="C1603">
        <v>32337</v>
      </c>
      <c r="D1603">
        <v>19690</v>
      </c>
      <c r="E1603">
        <v>9676</v>
      </c>
      <c r="F1603">
        <v>82</v>
      </c>
      <c r="G1603" t="s">
        <v>9</v>
      </c>
      <c r="H1603" t="str" cm="1">
        <f t="array" ref="H1603">_xlfn.IFS(Grammys[[#This Row],[date]] &gt;= DATE(2022,2,1),"Grammys",TRUE,"Grammys TRA")</f>
        <v>Grammys TRA</v>
      </c>
      <c r="I1603">
        <f>_xlfn.XLOOKUP(Grammys[[#This Row],[date]],mobile_visits[date],mobile_visits[mobile_visitors],0)</f>
        <v>0</v>
      </c>
    </row>
    <row r="1604" spans="1:9">
      <c r="A1604" s="1">
        <v>44338</v>
      </c>
      <c r="B1604">
        <v>16691</v>
      </c>
      <c r="C1604">
        <v>28378</v>
      </c>
      <c r="D1604">
        <v>17546</v>
      </c>
      <c r="E1604">
        <v>8573</v>
      </c>
      <c r="F1604">
        <v>82</v>
      </c>
      <c r="G1604" t="s">
        <v>9</v>
      </c>
      <c r="H1604" t="str" cm="1">
        <f t="array" ref="H1604">_xlfn.IFS(Grammys[[#This Row],[date]] &gt;= DATE(2022,2,1),"Grammys",TRUE,"Grammys TRA")</f>
        <v>Grammys TRA</v>
      </c>
      <c r="I1604">
        <f>_xlfn.XLOOKUP(Grammys[[#This Row],[date]],mobile_visits[date],mobile_visits[mobile_visitors],0)</f>
        <v>0</v>
      </c>
    </row>
    <row r="1605" spans="1:9">
      <c r="A1605" s="1">
        <v>44339</v>
      </c>
      <c r="B1605">
        <v>19341</v>
      </c>
      <c r="C1605">
        <v>33611</v>
      </c>
      <c r="D1605">
        <v>20525</v>
      </c>
      <c r="E1605">
        <v>10146</v>
      </c>
      <c r="F1605">
        <v>82</v>
      </c>
      <c r="G1605" t="s">
        <v>9</v>
      </c>
      <c r="H1605" t="str" cm="1">
        <f t="array" ref="H1605">_xlfn.IFS(Grammys[[#This Row],[date]] &gt;= DATE(2022,2,1),"Grammys",TRUE,"Grammys TRA")</f>
        <v>Grammys TRA</v>
      </c>
      <c r="I1605">
        <f>_xlfn.XLOOKUP(Grammys[[#This Row],[date]],mobile_visits[date],mobile_visits[mobile_visitors],0)</f>
        <v>0</v>
      </c>
    </row>
    <row r="1606" spans="1:9">
      <c r="A1606" s="1">
        <v>44340</v>
      </c>
      <c r="B1606">
        <v>19598</v>
      </c>
      <c r="C1606">
        <v>34816</v>
      </c>
      <c r="D1606">
        <v>20857</v>
      </c>
      <c r="E1606">
        <v>10702</v>
      </c>
      <c r="F1606">
        <v>79</v>
      </c>
      <c r="G1606" t="s">
        <v>9</v>
      </c>
      <c r="H1606" t="str" cm="1">
        <f t="array" ref="H1606">_xlfn.IFS(Grammys[[#This Row],[date]] &gt;= DATE(2022,2,1),"Grammys",TRUE,"Grammys TRA")</f>
        <v>Grammys TRA</v>
      </c>
      <c r="I1606">
        <f>_xlfn.XLOOKUP(Grammys[[#This Row],[date]],mobile_visits[date],mobile_visits[mobile_visitors],0)</f>
        <v>0</v>
      </c>
    </row>
    <row r="1607" spans="1:9">
      <c r="A1607" s="1">
        <v>44341</v>
      </c>
      <c r="B1607">
        <v>16854</v>
      </c>
      <c r="C1607">
        <v>30591</v>
      </c>
      <c r="D1607">
        <v>18145</v>
      </c>
      <c r="E1607">
        <v>9173</v>
      </c>
      <c r="F1607">
        <v>87</v>
      </c>
      <c r="G1607" t="s">
        <v>9</v>
      </c>
      <c r="H1607" t="str" cm="1">
        <f t="array" ref="H1607">_xlfn.IFS(Grammys[[#This Row],[date]] &gt;= DATE(2022,2,1),"Grammys",TRUE,"Grammys TRA")</f>
        <v>Grammys TRA</v>
      </c>
      <c r="I1607">
        <f>_xlfn.XLOOKUP(Grammys[[#This Row],[date]],mobile_visits[date],mobile_visits[mobile_visitors],0)</f>
        <v>0</v>
      </c>
    </row>
    <row r="1608" spans="1:9">
      <c r="A1608" s="1">
        <v>44342</v>
      </c>
      <c r="B1608">
        <v>38717</v>
      </c>
      <c r="C1608">
        <v>65080</v>
      </c>
      <c r="D1608">
        <v>41699</v>
      </c>
      <c r="E1608">
        <v>19178</v>
      </c>
      <c r="F1608">
        <v>72</v>
      </c>
      <c r="G1608" t="s">
        <v>9</v>
      </c>
      <c r="H1608" t="str" cm="1">
        <f t="array" ref="H1608">_xlfn.IFS(Grammys[[#This Row],[date]] &gt;= DATE(2022,2,1),"Grammys",TRUE,"Grammys TRA")</f>
        <v>Grammys TRA</v>
      </c>
      <c r="I1608">
        <f>_xlfn.XLOOKUP(Grammys[[#This Row],[date]],mobile_visits[date],mobile_visits[mobile_visitors],0)</f>
        <v>0</v>
      </c>
    </row>
    <row r="1609" spans="1:9">
      <c r="A1609" s="1">
        <v>44343</v>
      </c>
      <c r="B1609">
        <v>24019</v>
      </c>
      <c r="C1609">
        <v>42916</v>
      </c>
      <c r="D1609">
        <v>25833</v>
      </c>
      <c r="E1609">
        <v>12845</v>
      </c>
      <c r="F1609">
        <v>80</v>
      </c>
      <c r="G1609" t="s">
        <v>9</v>
      </c>
      <c r="H1609" t="str" cm="1">
        <f t="array" ref="H1609">_xlfn.IFS(Grammys[[#This Row],[date]] &gt;= DATE(2022,2,1),"Grammys",TRUE,"Grammys TRA")</f>
        <v>Grammys TRA</v>
      </c>
      <c r="I1609">
        <f>_xlfn.XLOOKUP(Grammys[[#This Row],[date]],mobile_visits[date],mobile_visits[mobile_visitors],0)</f>
        <v>0</v>
      </c>
    </row>
    <row r="1610" spans="1:9">
      <c r="A1610" s="1">
        <v>44344</v>
      </c>
      <c r="B1610">
        <v>20149</v>
      </c>
      <c r="C1610">
        <v>35235</v>
      </c>
      <c r="D1610">
        <v>21362</v>
      </c>
      <c r="E1610">
        <v>10718</v>
      </c>
      <c r="F1610">
        <v>84</v>
      </c>
      <c r="G1610" t="s">
        <v>9</v>
      </c>
      <c r="H1610" t="str" cm="1">
        <f t="array" ref="H1610">_xlfn.IFS(Grammys[[#This Row],[date]] &gt;= DATE(2022,2,1),"Grammys",TRUE,"Grammys TRA")</f>
        <v>Grammys TRA</v>
      </c>
      <c r="I1610">
        <f>_xlfn.XLOOKUP(Grammys[[#This Row],[date]],mobile_visits[date],mobile_visits[mobile_visitors],0)</f>
        <v>0</v>
      </c>
    </row>
    <row r="1611" spans="1:9">
      <c r="A1611" s="1">
        <v>44345</v>
      </c>
      <c r="B1611">
        <v>16924</v>
      </c>
      <c r="C1611">
        <v>29265</v>
      </c>
      <c r="D1611">
        <v>17905</v>
      </c>
      <c r="E1611">
        <v>9288</v>
      </c>
      <c r="F1611">
        <v>83</v>
      </c>
      <c r="G1611" t="s">
        <v>9</v>
      </c>
      <c r="H1611" t="str" cm="1">
        <f t="array" ref="H1611">_xlfn.IFS(Grammys[[#This Row],[date]] &gt;= DATE(2022,2,1),"Grammys",TRUE,"Grammys TRA")</f>
        <v>Grammys TRA</v>
      </c>
      <c r="I1611">
        <f>_xlfn.XLOOKUP(Grammys[[#This Row],[date]],mobile_visits[date],mobile_visits[mobile_visitors],0)</f>
        <v>0</v>
      </c>
    </row>
    <row r="1612" spans="1:9">
      <c r="A1612" s="1">
        <v>44346</v>
      </c>
      <c r="B1612">
        <v>34487</v>
      </c>
      <c r="C1612">
        <v>58234</v>
      </c>
      <c r="D1612">
        <v>36626</v>
      </c>
      <c r="E1612">
        <v>13849</v>
      </c>
      <c r="F1612">
        <v>90</v>
      </c>
      <c r="G1612" t="s">
        <v>9</v>
      </c>
      <c r="H1612" t="str" cm="1">
        <f t="array" ref="H1612">_xlfn.IFS(Grammys[[#This Row],[date]] &gt;= DATE(2022,2,1),"Grammys",TRUE,"Grammys TRA")</f>
        <v>Grammys TRA</v>
      </c>
      <c r="I1612">
        <f>_xlfn.XLOOKUP(Grammys[[#This Row],[date]],mobile_visits[date],mobile_visits[mobile_visitors],0)</f>
        <v>0</v>
      </c>
    </row>
    <row r="1613" spans="1:9">
      <c r="A1613" s="1">
        <v>44347</v>
      </c>
      <c r="B1613">
        <v>24687</v>
      </c>
      <c r="C1613">
        <v>42693</v>
      </c>
      <c r="D1613">
        <v>25674</v>
      </c>
      <c r="E1613">
        <v>10771</v>
      </c>
      <c r="F1613">
        <v>89</v>
      </c>
      <c r="G1613" t="s">
        <v>9</v>
      </c>
      <c r="H1613" t="str" cm="1">
        <f t="array" ref="H1613">_xlfn.IFS(Grammys[[#This Row],[date]] &gt;= DATE(2022,2,1),"Grammys",TRUE,"Grammys TRA")</f>
        <v>Grammys TRA</v>
      </c>
      <c r="I1613">
        <f>_xlfn.XLOOKUP(Grammys[[#This Row],[date]],mobile_visits[date],mobile_visits[mobile_visitors],0)</f>
        <v>0</v>
      </c>
    </row>
    <row r="1614" spans="1:9">
      <c r="A1614" s="1">
        <v>44348</v>
      </c>
      <c r="B1614">
        <v>25628</v>
      </c>
      <c r="C1614">
        <v>46403</v>
      </c>
      <c r="D1614">
        <v>27420</v>
      </c>
      <c r="E1614">
        <v>11160</v>
      </c>
      <c r="F1614">
        <v>84</v>
      </c>
      <c r="G1614" t="s">
        <v>9</v>
      </c>
      <c r="H1614" t="str" cm="1">
        <f t="array" ref="H1614">_xlfn.IFS(Grammys[[#This Row],[date]] &gt;= DATE(2022,2,1),"Grammys",TRUE,"Grammys TRA")</f>
        <v>Grammys TRA</v>
      </c>
      <c r="I1614">
        <f>_xlfn.XLOOKUP(Grammys[[#This Row],[date]],mobile_visits[date],mobile_visits[mobile_visitors],0)</f>
        <v>0</v>
      </c>
    </row>
    <row r="1615" spans="1:9">
      <c r="A1615" s="1">
        <v>44349</v>
      </c>
      <c r="B1615">
        <v>25640</v>
      </c>
      <c r="C1615">
        <v>49256</v>
      </c>
      <c r="D1615">
        <v>28061</v>
      </c>
      <c r="E1615">
        <v>11144</v>
      </c>
      <c r="F1615">
        <v>76</v>
      </c>
      <c r="G1615" t="s">
        <v>9</v>
      </c>
      <c r="H1615" t="str" cm="1">
        <f t="array" ref="H1615">_xlfn.IFS(Grammys[[#This Row],[date]] &gt;= DATE(2022,2,1),"Grammys",TRUE,"Grammys TRA")</f>
        <v>Grammys TRA</v>
      </c>
      <c r="I1615">
        <f>_xlfn.XLOOKUP(Grammys[[#This Row],[date]],mobile_visits[date],mobile_visits[mobile_visitors],0)</f>
        <v>0</v>
      </c>
    </row>
    <row r="1616" spans="1:9">
      <c r="A1616" s="1">
        <v>44350</v>
      </c>
      <c r="B1616">
        <v>20496</v>
      </c>
      <c r="C1616">
        <v>38476</v>
      </c>
      <c r="D1616">
        <v>21876</v>
      </c>
      <c r="E1616">
        <v>9326</v>
      </c>
      <c r="F1616">
        <v>79</v>
      </c>
      <c r="G1616" t="s">
        <v>9</v>
      </c>
      <c r="H1616" t="str" cm="1">
        <f t="array" ref="H1616">_xlfn.IFS(Grammys[[#This Row],[date]] &gt;= DATE(2022,2,1),"Grammys",TRUE,"Grammys TRA")</f>
        <v>Grammys TRA</v>
      </c>
      <c r="I1616">
        <f>_xlfn.XLOOKUP(Grammys[[#This Row],[date]],mobile_visits[date],mobile_visits[mobile_visitors],0)</f>
        <v>0</v>
      </c>
    </row>
    <row r="1617" spans="1:9">
      <c r="A1617" s="1">
        <v>44351</v>
      </c>
      <c r="B1617">
        <v>19591</v>
      </c>
      <c r="C1617">
        <v>35236</v>
      </c>
      <c r="D1617">
        <v>20845</v>
      </c>
      <c r="E1617">
        <v>9447</v>
      </c>
      <c r="F1617">
        <v>82</v>
      </c>
      <c r="G1617" t="s">
        <v>9</v>
      </c>
      <c r="H1617" t="str" cm="1">
        <f t="array" ref="H1617">_xlfn.IFS(Grammys[[#This Row],[date]] &gt;= DATE(2022,2,1),"Grammys",TRUE,"Grammys TRA")</f>
        <v>Grammys TRA</v>
      </c>
      <c r="I1617">
        <f>_xlfn.XLOOKUP(Grammys[[#This Row],[date]],mobile_visits[date],mobile_visits[mobile_visitors],0)</f>
        <v>0</v>
      </c>
    </row>
    <row r="1618" spans="1:9">
      <c r="A1618" s="1">
        <v>44352</v>
      </c>
      <c r="B1618">
        <v>19252</v>
      </c>
      <c r="C1618">
        <v>32828</v>
      </c>
      <c r="D1618">
        <v>20618</v>
      </c>
      <c r="E1618">
        <v>10489</v>
      </c>
      <c r="F1618">
        <v>77</v>
      </c>
      <c r="G1618" t="s">
        <v>9</v>
      </c>
      <c r="H1618" t="str" cm="1">
        <f t="array" ref="H1618">_xlfn.IFS(Grammys[[#This Row],[date]] &gt;= DATE(2022,2,1),"Grammys",TRUE,"Grammys TRA")</f>
        <v>Grammys TRA</v>
      </c>
      <c r="I1618">
        <f>_xlfn.XLOOKUP(Grammys[[#This Row],[date]],mobile_visits[date],mobile_visits[mobile_visitors],0)</f>
        <v>0</v>
      </c>
    </row>
    <row r="1619" spans="1:9">
      <c r="A1619" s="1">
        <v>44353</v>
      </c>
      <c r="B1619">
        <v>17668</v>
      </c>
      <c r="C1619">
        <v>30073</v>
      </c>
      <c r="D1619">
        <v>19000</v>
      </c>
      <c r="E1619">
        <v>9265</v>
      </c>
      <c r="F1619">
        <v>91</v>
      </c>
      <c r="G1619" t="s">
        <v>9</v>
      </c>
      <c r="H1619" t="str" cm="1">
        <f t="array" ref="H1619">_xlfn.IFS(Grammys[[#This Row],[date]] &gt;= DATE(2022,2,1),"Grammys",TRUE,"Grammys TRA")</f>
        <v>Grammys TRA</v>
      </c>
      <c r="I1619">
        <f>_xlfn.XLOOKUP(Grammys[[#This Row],[date]],mobile_visits[date],mobile_visits[mobile_visitors],0)</f>
        <v>0</v>
      </c>
    </row>
    <row r="1620" spans="1:9">
      <c r="A1620" s="1">
        <v>44354</v>
      </c>
      <c r="B1620">
        <v>18146</v>
      </c>
      <c r="C1620">
        <v>32246</v>
      </c>
      <c r="D1620">
        <v>19561</v>
      </c>
      <c r="E1620">
        <v>9785</v>
      </c>
      <c r="F1620">
        <v>89</v>
      </c>
      <c r="G1620" t="s">
        <v>9</v>
      </c>
      <c r="H1620" t="str" cm="1">
        <f t="array" ref="H1620">_xlfn.IFS(Grammys[[#This Row],[date]] &gt;= DATE(2022,2,1),"Grammys",TRUE,"Grammys TRA")</f>
        <v>Grammys TRA</v>
      </c>
      <c r="I1620">
        <f>_xlfn.XLOOKUP(Grammys[[#This Row],[date]],mobile_visits[date],mobile_visits[mobile_visitors],0)</f>
        <v>0</v>
      </c>
    </row>
    <row r="1621" spans="1:9">
      <c r="A1621" s="1">
        <v>44355</v>
      </c>
      <c r="B1621">
        <v>23362</v>
      </c>
      <c r="C1621">
        <v>41135</v>
      </c>
      <c r="D1621">
        <v>25255</v>
      </c>
      <c r="E1621">
        <v>10956</v>
      </c>
      <c r="F1621">
        <v>129</v>
      </c>
      <c r="G1621" t="s">
        <v>9</v>
      </c>
      <c r="H1621" t="str" cm="1">
        <f t="array" ref="H1621">_xlfn.IFS(Grammys[[#This Row],[date]] &gt;= DATE(2022,2,1),"Grammys",TRUE,"Grammys TRA")</f>
        <v>Grammys TRA</v>
      </c>
      <c r="I1621">
        <f>_xlfn.XLOOKUP(Grammys[[#This Row],[date]],mobile_visits[date],mobile_visits[mobile_visitors],0)</f>
        <v>0</v>
      </c>
    </row>
    <row r="1622" spans="1:9">
      <c r="A1622" s="1">
        <v>44356</v>
      </c>
      <c r="B1622">
        <v>19686</v>
      </c>
      <c r="C1622">
        <v>34375</v>
      </c>
      <c r="D1622">
        <v>21182</v>
      </c>
      <c r="E1622">
        <v>10045</v>
      </c>
      <c r="F1622">
        <v>102</v>
      </c>
      <c r="G1622" t="s">
        <v>9</v>
      </c>
      <c r="H1622" t="str" cm="1">
        <f t="array" ref="H1622">_xlfn.IFS(Grammys[[#This Row],[date]] &gt;= DATE(2022,2,1),"Grammys",TRUE,"Grammys TRA")</f>
        <v>Grammys TRA</v>
      </c>
      <c r="I1622">
        <f>_xlfn.XLOOKUP(Grammys[[#This Row],[date]],mobile_visits[date],mobile_visits[mobile_visitors],0)</f>
        <v>0</v>
      </c>
    </row>
    <row r="1623" spans="1:9">
      <c r="A1623" s="1">
        <v>44357</v>
      </c>
      <c r="B1623">
        <v>19228</v>
      </c>
      <c r="C1623">
        <v>33348</v>
      </c>
      <c r="D1623">
        <v>20648</v>
      </c>
      <c r="E1623">
        <v>10097</v>
      </c>
      <c r="F1623">
        <v>95</v>
      </c>
      <c r="G1623" t="s">
        <v>9</v>
      </c>
      <c r="H1623" t="str" cm="1">
        <f t="array" ref="H1623">_xlfn.IFS(Grammys[[#This Row],[date]] &gt;= DATE(2022,2,1),"Grammys",TRUE,"Grammys TRA")</f>
        <v>Grammys TRA</v>
      </c>
      <c r="I1623">
        <f>_xlfn.XLOOKUP(Grammys[[#This Row],[date]],mobile_visits[date],mobile_visits[mobile_visitors],0)</f>
        <v>0</v>
      </c>
    </row>
    <row r="1624" spans="1:9">
      <c r="A1624" s="1">
        <v>44358</v>
      </c>
      <c r="B1624">
        <v>16768</v>
      </c>
      <c r="C1624">
        <v>29449</v>
      </c>
      <c r="D1624">
        <v>17886</v>
      </c>
      <c r="E1624">
        <v>8815</v>
      </c>
      <c r="F1624">
        <v>89</v>
      </c>
      <c r="G1624" t="s">
        <v>9</v>
      </c>
      <c r="H1624" t="str" cm="1">
        <f t="array" ref="H1624">_xlfn.IFS(Grammys[[#This Row],[date]] &gt;= DATE(2022,2,1),"Grammys",TRUE,"Grammys TRA")</f>
        <v>Grammys TRA</v>
      </c>
      <c r="I1624">
        <f>_xlfn.XLOOKUP(Grammys[[#This Row],[date]],mobile_visits[date],mobile_visits[mobile_visitors],0)</f>
        <v>0</v>
      </c>
    </row>
    <row r="1625" spans="1:9">
      <c r="A1625" s="1">
        <v>44359</v>
      </c>
      <c r="B1625">
        <v>14471</v>
      </c>
      <c r="C1625">
        <v>25328</v>
      </c>
      <c r="D1625">
        <v>15560</v>
      </c>
      <c r="E1625">
        <v>7675</v>
      </c>
      <c r="F1625">
        <v>86</v>
      </c>
      <c r="G1625" t="s">
        <v>9</v>
      </c>
      <c r="H1625" t="str" cm="1">
        <f t="array" ref="H1625">_xlfn.IFS(Grammys[[#This Row],[date]] &gt;= DATE(2022,2,1),"Grammys",TRUE,"Grammys TRA")</f>
        <v>Grammys TRA</v>
      </c>
      <c r="I1625">
        <f>_xlfn.XLOOKUP(Grammys[[#This Row],[date]],mobile_visits[date],mobile_visits[mobile_visitors],0)</f>
        <v>0</v>
      </c>
    </row>
    <row r="1626" spans="1:9">
      <c r="A1626" s="1">
        <v>44360</v>
      </c>
      <c r="B1626">
        <v>14403</v>
      </c>
      <c r="C1626">
        <v>25142</v>
      </c>
      <c r="D1626">
        <v>15408</v>
      </c>
      <c r="E1626">
        <v>7732</v>
      </c>
      <c r="F1626">
        <v>83</v>
      </c>
      <c r="G1626" t="s">
        <v>9</v>
      </c>
      <c r="H1626" t="str" cm="1">
        <f t="array" ref="H1626">_xlfn.IFS(Grammys[[#This Row],[date]] &gt;= DATE(2022,2,1),"Grammys",TRUE,"Grammys TRA")</f>
        <v>Grammys TRA</v>
      </c>
      <c r="I1626">
        <f>_xlfn.XLOOKUP(Grammys[[#This Row],[date]],mobile_visits[date],mobile_visits[mobile_visitors],0)</f>
        <v>0</v>
      </c>
    </row>
    <row r="1627" spans="1:9">
      <c r="A1627" s="1">
        <v>44361</v>
      </c>
      <c r="B1627">
        <v>14362</v>
      </c>
      <c r="C1627">
        <v>26251</v>
      </c>
      <c r="D1627">
        <v>15566</v>
      </c>
      <c r="E1627">
        <v>7967</v>
      </c>
      <c r="F1627">
        <v>90</v>
      </c>
      <c r="G1627" t="s">
        <v>9</v>
      </c>
      <c r="H1627" t="str" cm="1">
        <f t="array" ref="H1627">_xlfn.IFS(Grammys[[#This Row],[date]] &gt;= DATE(2022,2,1),"Grammys",TRUE,"Grammys TRA")</f>
        <v>Grammys TRA</v>
      </c>
      <c r="I1627">
        <f>_xlfn.XLOOKUP(Grammys[[#This Row],[date]],mobile_visits[date],mobile_visits[mobile_visitors],0)</f>
        <v>0</v>
      </c>
    </row>
    <row r="1628" spans="1:9">
      <c r="A1628" s="1">
        <v>44362</v>
      </c>
      <c r="B1628">
        <v>14553</v>
      </c>
      <c r="C1628">
        <v>26364</v>
      </c>
      <c r="D1628">
        <v>15693</v>
      </c>
      <c r="E1628">
        <v>8084</v>
      </c>
      <c r="F1628">
        <v>89</v>
      </c>
      <c r="G1628" t="s">
        <v>9</v>
      </c>
      <c r="H1628" t="str" cm="1">
        <f t="array" ref="H1628">_xlfn.IFS(Grammys[[#This Row],[date]] &gt;= DATE(2022,2,1),"Grammys",TRUE,"Grammys TRA")</f>
        <v>Grammys TRA</v>
      </c>
      <c r="I1628">
        <f>_xlfn.XLOOKUP(Grammys[[#This Row],[date]],mobile_visits[date],mobile_visits[mobile_visitors],0)</f>
        <v>0</v>
      </c>
    </row>
    <row r="1629" spans="1:9">
      <c r="A1629" s="1">
        <v>44363</v>
      </c>
      <c r="B1629">
        <v>14255</v>
      </c>
      <c r="C1629">
        <v>25801</v>
      </c>
      <c r="D1629">
        <v>15423</v>
      </c>
      <c r="E1629">
        <v>7928</v>
      </c>
      <c r="F1629">
        <v>86</v>
      </c>
      <c r="G1629" t="s">
        <v>9</v>
      </c>
      <c r="H1629" t="str" cm="1">
        <f t="array" ref="H1629">_xlfn.IFS(Grammys[[#This Row],[date]] &gt;= DATE(2022,2,1),"Grammys",TRUE,"Grammys TRA")</f>
        <v>Grammys TRA</v>
      </c>
      <c r="I1629">
        <f>_xlfn.XLOOKUP(Grammys[[#This Row],[date]],mobile_visits[date],mobile_visits[mobile_visitors],0)</f>
        <v>0</v>
      </c>
    </row>
    <row r="1630" spans="1:9">
      <c r="A1630" s="1">
        <v>44364</v>
      </c>
      <c r="B1630">
        <v>14559</v>
      </c>
      <c r="C1630">
        <v>26380</v>
      </c>
      <c r="D1630">
        <v>15696</v>
      </c>
      <c r="E1630">
        <v>8178</v>
      </c>
      <c r="F1630">
        <v>88</v>
      </c>
      <c r="G1630" t="s">
        <v>9</v>
      </c>
      <c r="H1630" t="str" cm="1">
        <f t="array" ref="H1630">_xlfn.IFS(Grammys[[#This Row],[date]] &gt;= DATE(2022,2,1),"Grammys",TRUE,"Grammys TRA")</f>
        <v>Grammys TRA</v>
      </c>
      <c r="I1630">
        <f>_xlfn.XLOOKUP(Grammys[[#This Row],[date]],mobile_visits[date],mobile_visits[mobile_visitors],0)</f>
        <v>0</v>
      </c>
    </row>
    <row r="1631" spans="1:9">
      <c r="A1631" s="1">
        <v>44365</v>
      </c>
      <c r="B1631">
        <v>14286</v>
      </c>
      <c r="C1631">
        <v>25481</v>
      </c>
      <c r="D1631">
        <v>15272</v>
      </c>
      <c r="E1631">
        <v>7858</v>
      </c>
      <c r="F1631">
        <v>82</v>
      </c>
      <c r="G1631" t="s">
        <v>9</v>
      </c>
      <c r="H1631" t="str" cm="1">
        <f t="array" ref="H1631">_xlfn.IFS(Grammys[[#This Row],[date]] &gt;= DATE(2022,2,1),"Grammys",TRUE,"Grammys TRA")</f>
        <v>Grammys TRA</v>
      </c>
      <c r="I1631">
        <f>_xlfn.XLOOKUP(Grammys[[#This Row],[date]],mobile_visits[date],mobile_visits[mobile_visitors],0)</f>
        <v>0</v>
      </c>
    </row>
    <row r="1632" spans="1:9">
      <c r="A1632" s="1">
        <v>44366</v>
      </c>
      <c r="B1632">
        <v>14125</v>
      </c>
      <c r="C1632">
        <v>23833</v>
      </c>
      <c r="D1632">
        <v>14860</v>
      </c>
      <c r="E1632">
        <v>7344</v>
      </c>
      <c r="F1632">
        <v>85</v>
      </c>
      <c r="G1632" t="s">
        <v>9</v>
      </c>
      <c r="H1632" t="str" cm="1">
        <f t="array" ref="H1632">_xlfn.IFS(Grammys[[#This Row],[date]] &gt;= DATE(2022,2,1),"Grammys",TRUE,"Grammys TRA")</f>
        <v>Grammys TRA</v>
      </c>
      <c r="I1632">
        <f>_xlfn.XLOOKUP(Grammys[[#This Row],[date]],mobile_visits[date],mobile_visits[mobile_visitors],0)</f>
        <v>0</v>
      </c>
    </row>
    <row r="1633" spans="1:9">
      <c r="A1633" s="1">
        <v>44367</v>
      </c>
      <c r="B1633">
        <v>13136</v>
      </c>
      <c r="C1633">
        <v>23148</v>
      </c>
      <c r="D1633">
        <v>14049</v>
      </c>
      <c r="E1633">
        <v>7105</v>
      </c>
      <c r="F1633">
        <v>81</v>
      </c>
      <c r="G1633" t="s">
        <v>9</v>
      </c>
      <c r="H1633" t="str" cm="1">
        <f t="array" ref="H1633">_xlfn.IFS(Grammys[[#This Row],[date]] &gt;= DATE(2022,2,1),"Grammys",TRUE,"Grammys TRA")</f>
        <v>Grammys TRA</v>
      </c>
      <c r="I1633">
        <f>_xlfn.XLOOKUP(Grammys[[#This Row],[date]],mobile_visits[date],mobile_visits[mobile_visitors],0)</f>
        <v>0</v>
      </c>
    </row>
    <row r="1634" spans="1:9">
      <c r="A1634" s="1">
        <v>44368</v>
      </c>
      <c r="B1634">
        <v>14472</v>
      </c>
      <c r="C1634">
        <v>26057</v>
      </c>
      <c r="D1634">
        <v>15594</v>
      </c>
      <c r="E1634">
        <v>8109</v>
      </c>
      <c r="F1634">
        <v>82</v>
      </c>
      <c r="G1634" t="s">
        <v>9</v>
      </c>
      <c r="H1634" t="str" cm="1">
        <f t="array" ref="H1634">_xlfn.IFS(Grammys[[#This Row],[date]] &gt;= DATE(2022,2,1),"Grammys",TRUE,"Grammys TRA")</f>
        <v>Grammys TRA</v>
      </c>
      <c r="I1634">
        <f>_xlfn.XLOOKUP(Grammys[[#This Row],[date]],mobile_visits[date],mobile_visits[mobile_visitors],0)</f>
        <v>0</v>
      </c>
    </row>
    <row r="1635" spans="1:9">
      <c r="A1635" s="1">
        <v>44369</v>
      </c>
      <c r="B1635">
        <v>15193</v>
      </c>
      <c r="C1635">
        <v>26440</v>
      </c>
      <c r="D1635">
        <v>16282</v>
      </c>
      <c r="E1635">
        <v>8311</v>
      </c>
      <c r="F1635">
        <v>90</v>
      </c>
      <c r="G1635" t="s">
        <v>9</v>
      </c>
      <c r="H1635" t="str" cm="1">
        <f t="array" ref="H1635">_xlfn.IFS(Grammys[[#This Row],[date]] &gt;= DATE(2022,2,1),"Grammys",TRUE,"Grammys TRA")</f>
        <v>Grammys TRA</v>
      </c>
      <c r="I1635">
        <f>_xlfn.XLOOKUP(Grammys[[#This Row],[date]],mobile_visits[date],mobile_visits[mobile_visitors],0)</f>
        <v>0</v>
      </c>
    </row>
    <row r="1636" spans="1:9">
      <c r="A1636" s="1">
        <v>44370</v>
      </c>
      <c r="B1636">
        <v>18428</v>
      </c>
      <c r="C1636">
        <v>31614</v>
      </c>
      <c r="D1636">
        <v>19705</v>
      </c>
      <c r="E1636">
        <v>8988</v>
      </c>
      <c r="F1636">
        <v>94</v>
      </c>
      <c r="G1636" t="s">
        <v>9</v>
      </c>
      <c r="H1636" t="str" cm="1">
        <f t="array" ref="H1636">_xlfn.IFS(Grammys[[#This Row],[date]] &gt;= DATE(2022,2,1),"Grammys",TRUE,"Grammys TRA")</f>
        <v>Grammys TRA</v>
      </c>
      <c r="I1636">
        <f>_xlfn.XLOOKUP(Grammys[[#This Row],[date]],mobile_visits[date],mobile_visits[mobile_visitors],0)</f>
        <v>0</v>
      </c>
    </row>
    <row r="1637" spans="1:9">
      <c r="A1637" s="1">
        <v>44371</v>
      </c>
      <c r="B1637">
        <v>16562</v>
      </c>
      <c r="C1637">
        <v>28605</v>
      </c>
      <c r="D1637">
        <v>17871</v>
      </c>
      <c r="E1637">
        <v>8877</v>
      </c>
      <c r="F1637">
        <v>83</v>
      </c>
      <c r="G1637" t="s">
        <v>9</v>
      </c>
      <c r="H1637" t="str" cm="1">
        <f t="array" ref="H1637">_xlfn.IFS(Grammys[[#This Row],[date]] &gt;= DATE(2022,2,1),"Grammys",TRUE,"Grammys TRA")</f>
        <v>Grammys TRA</v>
      </c>
      <c r="I1637">
        <f>_xlfn.XLOOKUP(Grammys[[#This Row],[date]],mobile_visits[date],mobile_visits[mobile_visitors],0)</f>
        <v>0</v>
      </c>
    </row>
    <row r="1638" spans="1:9">
      <c r="A1638" s="1">
        <v>44372</v>
      </c>
      <c r="B1638">
        <v>14926</v>
      </c>
      <c r="C1638">
        <v>25275</v>
      </c>
      <c r="D1638">
        <v>15801</v>
      </c>
      <c r="E1638">
        <v>8184</v>
      </c>
      <c r="F1638">
        <v>84</v>
      </c>
      <c r="G1638" t="s">
        <v>9</v>
      </c>
      <c r="H1638" t="str" cm="1">
        <f t="array" ref="H1638">_xlfn.IFS(Grammys[[#This Row],[date]] &gt;= DATE(2022,2,1),"Grammys",TRUE,"Grammys TRA")</f>
        <v>Grammys TRA</v>
      </c>
      <c r="I1638">
        <f>_xlfn.XLOOKUP(Grammys[[#This Row],[date]],mobile_visits[date],mobile_visits[mobile_visitors],0)</f>
        <v>0</v>
      </c>
    </row>
    <row r="1639" spans="1:9">
      <c r="A1639" s="1">
        <v>44373</v>
      </c>
      <c r="B1639">
        <v>13754</v>
      </c>
      <c r="C1639">
        <v>23432</v>
      </c>
      <c r="D1639">
        <v>14689</v>
      </c>
      <c r="E1639">
        <v>7530</v>
      </c>
      <c r="F1639">
        <v>80</v>
      </c>
      <c r="G1639" t="s">
        <v>9</v>
      </c>
      <c r="H1639" t="str" cm="1">
        <f t="array" ref="H1639">_xlfn.IFS(Grammys[[#This Row],[date]] &gt;= DATE(2022,2,1),"Grammys",TRUE,"Grammys TRA")</f>
        <v>Grammys TRA</v>
      </c>
      <c r="I1639">
        <f>_xlfn.XLOOKUP(Grammys[[#This Row],[date]],mobile_visits[date],mobile_visits[mobile_visitors],0)</f>
        <v>0</v>
      </c>
    </row>
    <row r="1640" spans="1:9">
      <c r="A1640" s="1">
        <v>44374</v>
      </c>
      <c r="B1640">
        <v>15375</v>
      </c>
      <c r="C1640">
        <v>25513</v>
      </c>
      <c r="D1640">
        <v>16274</v>
      </c>
      <c r="E1640">
        <v>8396</v>
      </c>
      <c r="F1640">
        <v>83</v>
      </c>
      <c r="G1640" t="s">
        <v>9</v>
      </c>
      <c r="H1640" t="str" cm="1">
        <f t="array" ref="H1640">_xlfn.IFS(Grammys[[#This Row],[date]] &gt;= DATE(2022,2,1),"Grammys",TRUE,"Grammys TRA")</f>
        <v>Grammys TRA</v>
      </c>
      <c r="I1640">
        <f>_xlfn.XLOOKUP(Grammys[[#This Row],[date]],mobile_visits[date],mobile_visits[mobile_visitors],0)</f>
        <v>0</v>
      </c>
    </row>
    <row r="1641" spans="1:9">
      <c r="A1641" s="1">
        <v>44375</v>
      </c>
      <c r="B1641">
        <v>16073</v>
      </c>
      <c r="C1641">
        <v>27499</v>
      </c>
      <c r="D1641">
        <v>17202</v>
      </c>
      <c r="E1641">
        <v>8837</v>
      </c>
      <c r="F1641">
        <v>91</v>
      </c>
      <c r="G1641" t="s">
        <v>9</v>
      </c>
      <c r="H1641" t="str" cm="1">
        <f t="array" ref="H1641">_xlfn.IFS(Grammys[[#This Row],[date]] &gt;= DATE(2022,2,1),"Grammys",TRUE,"Grammys TRA")</f>
        <v>Grammys TRA</v>
      </c>
      <c r="I1641">
        <f>_xlfn.XLOOKUP(Grammys[[#This Row],[date]],mobile_visits[date],mobile_visits[mobile_visitors],0)</f>
        <v>0</v>
      </c>
    </row>
    <row r="1642" spans="1:9">
      <c r="A1642" s="1">
        <v>44376</v>
      </c>
      <c r="B1642">
        <v>14471</v>
      </c>
      <c r="C1642">
        <v>25271</v>
      </c>
      <c r="D1642">
        <v>15498</v>
      </c>
      <c r="E1642">
        <v>7949</v>
      </c>
      <c r="F1642">
        <v>85</v>
      </c>
      <c r="G1642" t="s">
        <v>9</v>
      </c>
      <c r="H1642" t="str" cm="1">
        <f t="array" ref="H1642">_xlfn.IFS(Grammys[[#This Row],[date]] &gt;= DATE(2022,2,1),"Grammys",TRUE,"Grammys TRA")</f>
        <v>Grammys TRA</v>
      </c>
      <c r="I1642">
        <f>_xlfn.XLOOKUP(Grammys[[#This Row],[date]],mobile_visits[date],mobile_visits[mobile_visitors],0)</f>
        <v>0</v>
      </c>
    </row>
    <row r="1643" spans="1:9">
      <c r="A1643" s="1">
        <v>44377</v>
      </c>
      <c r="B1643">
        <v>13610</v>
      </c>
      <c r="C1643">
        <v>24530</v>
      </c>
      <c r="D1643">
        <v>14674</v>
      </c>
      <c r="E1643">
        <v>7597</v>
      </c>
      <c r="F1643">
        <v>93</v>
      </c>
      <c r="G1643" t="s">
        <v>9</v>
      </c>
      <c r="H1643" t="str" cm="1">
        <f t="array" ref="H1643">_xlfn.IFS(Grammys[[#This Row],[date]] &gt;= DATE(2022,2,1),"Grammys",TRUE,"Grammys TRA")</f>
        <v>Grammys TRA</v>
      </c>
      <c r="I1643">
        <f>_xlfn.XLOOKUP(Grammys[[#This Row],[date]],mobile_visits[date],mobile_visits[mobile_visitors],0)</f>
        <v>0</v>
      </c>
    </row>
    <row r="1644" spans="1:9">
      <c r="A1644" s="1">
        <v>44378</v>
      </c>
      <c r="B1644">
        <v>17393</v>
      </c>
      <c r="C1644">
        <v>30956</v>
      </c>
      <c r="D1644">
        <v>18503</v>
      </c>
      <c r="E1644">
        <v>7920</v>
      </c>
      <c r="F1644">
        <v>99</v>
      </c>
      <c r="G1644" t="s">
        <v>9</v>
      </c>
      <c r="H1644" t="str" cm="1">
        <f t="array" ref="H1644">_xlfn.IFS(Grammys[[#This Row],[date]] &gt;= DATE(2022,2,1),"Grammys",TRUE,"Grammys TRA")</f>
        <v>Grammys TRA</v>
      </c>
      <c r="I1644">
        <f>_xlfn.XLOOKUP(Grammys[[#This Row],[date]],mobile_visits[date],mobile_visits[mobile_visitors],0)</f>
        <v>0</v>
      </c>
    </row>
    <row r="1645" spans="1:9">
      <c r="A1645" s="1">
        <v>44379</v>
      </c>
      <c r="B1645">
        <v>20503</v>
      </c>
      <c r="C1645">
        <v>36769</v>
      </c>
      <c r="D1645">
        <v>21642</v>
      </c>
      <c r="E1645">
        <v>8028</v>
      </c>
      <c r="F1645">
        <v>107</v>
      </c>
      <c r="G1645" t="s">
        <v>9</v>
      </c>
      <c r="H1645" t="str" cm="1">
        <f t="array" ref="H1645">_xlfn.IFS(Grammys[[#This Row],[date]] &gt;= DATE(2022,2,1),"Grammys",TRUE,"Grammys TRA")</f>
        <v>Grammys TRA</v>
      </c>
      <c r="I1645">
        <f>_xlfn.XLOOKUP(Grammys[[#This Row],[date]],mobile_visits[date],mobile_visits[mobile_visitors],0)</f>
        <v>0</v>
      </c>
    </row>
    <row r="1646" spans="1:9">
      <c r="A1646" s="1">
        <v>44380</v>
      </c>
      <c r="B1646">
        <v>15617</v>
      </c>
      <c r="C1646">
        <v>26980</v>
      </c>
      <c r="D1646">
        <v>16544</v>
      </c>
      <c r="E1646">
        <v>7359</v>
      </c>
      <c r="F1646">
        <v>88</v>
      </c>
      <c r="G1646" t="s">
        <v>9</v>
      </c>
      <c r="H1646" t="str" cm="1">
        <f t="array" ref="H1646">_xlfn.IFS(Grammys[[#This Row],[date]] &gt;= DATE(2022,2,1),"Grammys",TRUE,"Grammys TRA")</f>
        <v>Grammys TRA</v>
      </c>
      <c r="I1646">
        <f>_xlfn.XLOOKUP(Grammys[[#This Row],[date]],mobile_visits[date],mobile_visits[mobile_visitors],0)</f>
        <v>0</v>
      </c>
    </row>
    <row r="1647" spans="1:9">
      <c r="A1647" s="1">
        <v>44381</v>
      </c>
      <c r="B1647">
        <v>18600</v>
      </c>
      <c r="C1647">
        <v>31629</v>
      </c>
      <c r="D1647">
        <v>19481</v>
      </c>
      <c r="E1647">
        <v>9090</v>
      </c>
      <c r="F1647">
        <v>76</v>
      </c>
      <c r="G1647" t="s">
        <v>9</v>
      </c>
      <c r="H1647" t="str" cm="1">
        <f t="array" ref="H1647">_xlfn.IFS(Grammys[[#This Row],[date]] &gt;= DATE(2022,2,1),"Grammys",TRUE,"Grammys TRA")</f>
        <v>Grammys TRA</v>
      </c>
      <c r="I1647">
        <f>_xlfn.XLOOKUP(Grammys[[#This Row],[date]],mobile_visits[date],mobile_visits[mobile_visitors],0)</f>
        <v>0</v>
      </c>
    </row>
    <row r="1648" spans="1:9">
      <c r="A1648" s="1">
        <v>44382</v>
      </c>
      <c r="B1648">
        <v>14498</v>
      </c>
      <c r="C1648">
        <v>25966</v>
      </c>
      <c r="D1648">
        <v>15267</v>
      </c>
      <c r="E1648">
        <v>7506</v>
      </c>
      <c r="F1648">
        <v>79</v>
      </c>
      <c r="G1648" t="s">
        <v>9</v>
      </c>
      <c r="H1648" t="str" cm="1">
        <f t="array" ref="H1648">_xlfn.IFS(Grammys[[#This Row],[date]] &gt;= DATE(2022,2,1),"Grammys",TRUE,"Grammys TRA")</f>
        <v>Grammys TRA</v>
      </c>
      <c r="I1648">
        <f>_xlfn.XLOOKUP(Grammys[[#This Row],[date]],mobile_visits[date],mobile_visits[mobile_visitors],0)</f>
        <v>0</v>
      </c>
    </row>
    <row r="1649" spans="1:9">
      <c r="A1649" s="1">
        <v>44383</v>
      </c>
      <c r="B1649">
        <v>15966</v>
      </c>
      <c r="C1649">
        <v>28142</v>
      </c>
      <c r="D1649">
        <v>17313</v>
      </c>
      <c r="E1649">
        <v>7823</v>
      </c>
      <c r="F1649">
        <v>97</v>
      </c>
      <c r="G1649" t="s">
        <v>9</v>
      </c>
      <c r="H1649" t="str" cm="1">
        <f t="array" ref="H1649">_xlfn.IFS(Grammys[[#This Row],[date]] &gt;= DATE(2022,2,1),"Grammys",TRUE,"Grammys TRA")</f>
        <v>Grammys TRA</v>
      </c>
      <c r="I1649">
        <f>_xlfn.XLOOKUP(Grammys[[#This Row],[date]],mobile_visits[date],mobile_visits[mobile_visitors],0)</f>
        <v>0</v>
      </c>
    </row>
    <row r="1650" spans="1:9">
      <c r="A1650" s="1">
        <v>44384</v>
      </c>
      <c r="B1650">
        <v>14022</v>
      </c>
      <c r="C1650">
        <v>25828</v>
      </c>
      <c r="D1650">
        <v>15194</v>
      </c>
      <c r="E1650">
        <v>7291</v>
      </c>
      <c r="F1650">
        <v>97</v>
      </c>
      <c r="G1650" t="s">
        <v>9</v>
      </c>
      <c r="H1650" t="str" cm="1">
        <f t="array" ref="H1650">_xlfn.IFS(Grammys[[#This Row],[date]] &gt;= DATE(2022,2,1),"Grammys",TRUE,"Grammys TRA")</f>
        <v>Grammys TRA</v>
      </c>
      <c r="I1650">
        <f>_xlfn.XLOOKUP(Grammys[[#This Row],[date]],mobile_visits[date],mobile_visits[mobile_visitors],0)</f>
        <v>0</v>
      </c>
    </row>
    <row r="1651" spans="1:9">
      <c r="A1651" s="1">
        <v>44385</v>
      </c>
      <c r="B1651">
        <v>13689</v>
      </c>
      <c r="C1651">
        <v>24186</v>
      </c>
      <c r="D1651">
        <v>14554</v>
      </c>
      <c r="E1651">
        <v>7378</v>
      </c>
      <c r="F1651">
        <v>88</v>
      </c>
      <c r="G1651" t="s">
        <v>9</v>
      </c>
      <c r="H1651" t="str" cm="1">
        <f t="array" ref="H1651">_xlfn.IFS(Grammys[[#This Row],[date]] &gt;= DATE(2022,2,1),"Grammys",TRUE,"Grammys TRA")</f>
        <v>Grammys TRA</v>
      </c>
      <c r="I1651">
        <f>_xlfn.XLOOKUP(Grammys[[#This Row],[date]],mobile_visits[date],mobile_visits[mobile_visitors],0)</f>
        <v>0</v>
      </c>
    </row>
    <row r="1652" spans="1:9">
      <c r="A1652" s="1">
        <v>44386</v>
      </c>
      <c r="B1652">
        <v>13497</v>
      </c>
      <c r="C1652">
        <v>25739</v>
      </c>
      <c r="D1652">
        <v>14450</v>
      </c>
      <c r="E1652">
        <v>7353</v>
      </c>
      <c r="F1652">
        <v>90</v>
      </c>
      <c r="G1652" t="s">
        <v>9</v>
      </c>
      <c r="H1652" t="str" cm="1">
        <f t="array" ref="H1652">_xlfn.IFS(Grammys[[#This Row],[date]] &gt;= DATE(2022,2,1),"Grammys",TRUE,"Grammys TRA")</f>
        <v>Grammys TRA</v>
      </c>
      <c r="I1652">
        <f>_xlfn.XLOOKUP(Grammys[[#This Row],[date]],mobile_visits[date],mobile_visits[mobile_visitors],0)</f>
        <v>0</v>
      </c>
    </row>
    <row r="1653" spans="1:9">
      <c r="A1653" s="1">
        <v>44387</v>
      </c>
      <c r="B1653">
        <v>12577</v>
      </c>
      <c r="C1653">
        <v>22005</v>
      </c>
      <c r="D1653">
        <v>13577</v>
      </c>
      <c r="E1653">
        <v>6824</v>
      </c>
      <c r="F1653">
        <v>81</v>
      </c>
      <c r="G1653" t="s">
        <v>9</v>
      </c>
      <c r="H1653" t="str" cm="1">
        <f t="array" ref="H1653">_xlfn.IFS(Grammys[[#This Row],[date]] &gt;= DATE(2022,2,1),"Grammys",TRUE,"Grammys TRA")</f>
        <v>Grammys TRA</v>
      </c>
      <c r="I1653">
        <f>_xlfn.XLOOKUP(Grammys[[#This Row],[date]],mobile_visits[date],mobile_visits[mobile_visitors],0)</f>
        <v>0</v>
      </c>
    </row>
    <row r="1654" spans="1:9">
      <c r="A1654" s="1">
        <v>44388</v>
      </c>
      <c r="B1654">
        <v>12435</v>
      </c>
      <c r="C1654">
        <v>21877</v>
      </c>
      <c r="D1654">
        <v>13279</v>
      </c>
      <c r="E1654">
        <v>6709</v>
      </c>
      <c r="F1654">
        <v>92</v>
      </c>
      <c r="G1654" t="s">
        <v>9</v>
      </c>
      <c r="H1654" t="str" cm="1">
        <f t="array" ref="H1654">_xlfn.IFS(Grammys[[#This Row],[date]] &gt;= DATE(2022,2,1),"Grammys",TRUE,"Grammys TRA")</f>
        <v>Grammys TRA</v>
      </c>
      <c r="I1654">
        <f>_xlfn.XLOOKUP(Grammys[[#This Row],[date]],mobile_visits[date],mobile_visits[mobile_visitors],0)</f>
        <v>0</v>
      </c>
    </row>
    <row r="1655" spans="1:9">
      <c r="A1655" s="1">
        <v>44389</v>
      </c>
      <c r="B1655">
        <v>14487</v>
      </c>
      <c r="C1655">
        <v>25176</v>
      </c>
      <c r="D1655">
        <v>15416</v>
      </c>
      <c r="E1655">
        <v>7775</v>
      </c>
      <c r="F1655">
        <v>84</v>
      </c>
      <c r="G1655" t="s">
        <v>9</v>
      </c>
      <c r="H1655" t="str" cm="1">
        <f t="array" ref="H1655">_xlfn.IFS(Grammys[[#This Row],[date]] &gt;= DATE(2022,2,1),"Grammys",TRUE,"Grammys TRA")</f>
        <v>Grammys TRA</v>
      </c>
      <c r="I1655">
        <f>_xlfn.XLOOKUP(Grammys[[#This Row],[date]],mobile_visits[date],mobile_visits[mobile_visitors],0)</f>
        <v>0</v>
      </c>
    </row>
    <row r="1656" spans="1:9">
      <c r="A1656" s="1">
        <v>44390</v>
      </c>
      <c r="B1656">
        <v>18377</v>
      </c>
      <c r="C1656">
        <v>33679</v>
      </c>
      <c r="D1656">
        <v>19801</v>
      </c>
      <c r="E1656">
        <v>9281</v>
      </c>
      <c r="F1656">
        <v>87</v>
      </c>
      <c r="G1656" t="s">
        <v>9</v>
      </c>
      <c r="H1656" t="str" cm="1">
        <f t="array" ref="H1656">_xlfn.IFS(Grammys[[#This Row],[date]] &gt;= DATE(2022,2,1),"Grammys",TRUE,"Grammys TRA")</f>
        <v>Grammys TRA</v>
      </c>
      <c r="I1656">
        <f>_xlfn.XLOOKUP(Grammys[[#This Row],[date]],mobile_visits[date],mobile_visits[mobile_visitors],0)</f>
        <v>0</v>
      </c>
    </row>
    <row r="1657" spans="1:9">
      <c r="A1657" s="1">
        <v>44391</v>
      </c>
      <c r="B1657">
        <v>18062</v>
      </c>
      <c r="C1657">
        <v>32961</v>
      </c>
      <c r="D1657">
        <v>19721</v>
      </c>
      <c r="E1657">
        <v>9672</v>
      </c>
      <c r="F1657">
        <v>88</v>
      </c>
      <c r="G1657" t="s">
        <v>9</v>
      </c>
      <c r="H1657" t="str" cm="1">
        <f t="array" ref="H1657">_xlfn.IFS(Grammys[[#This Row],[date]] &gt;= DATE(2022,2,1),"Grammys",TRUE,"Grammys TRA")</f>
        <v>Grammys TRA</v>
      </c>
      <c r="I1657">
        <f>_xlfn.XLOOKUP(Grammys[[#This Row],[date]],mobile_visits[date],mobile_visits[mobile_visitors],0)</f>
        <v>0</v>
      </c>
    </row>
    <row r="1658" spans="1:9">
      <c r="A1658" s="1">
        <v>44392</v>
      </c>
      <c r="B1658">
        <v>17168</v>
      </c>
      <c r="C1658">
        <v>30250</v>
      </c>
      <c r="D1658">
        <v>18431</v>
      </c>
      <c r="E1658">
        <v>9146</v>
      </c>
      <c r="F1658">
        <v>84</v>
      </c>
      <c r="G1658" t="s">
        <v>9</v>
      </c>
      <c r="H1658" t="str" cm="1">
        <f t="array" ref="H1658">_xlfn.IFS(Grammys[[#This Row],[date]] &gt;= DATE(2022,2,1),"Grammys",TRUE,"Grammys TRA")</f>
        <v>Grammys TRA</v>
      </c>
      <c r="I1658">
        <f>_xlfn.XLOOKUP(Grammys[[#This Row],[date]],mobile_visits[date],mobile_visits[mobile_visitors],0)</f>
        <v>0</v>
      </c>
    </row>
    <row r="1659" spans="1:9">
      <c r="A1659" s="1">
        <v>44393</v>
      </c>
      <c r="B1659">
        <v>18518</v>
      </c>
      <c r="C1659">
        <v>32725</v>
      </c>
      <c r="D1659">
        <v>19691</v>
      </c>
      <c r="E1659">
        <v>10069</v>
      </c>
      <c r="F1659">
        <v>89</v>
      </c>
      <c r="G1659" t="s">
        <v>9</v>
      </c>
      <c r="H1659" t="str" cm="1">
        <f t="array" ref="H1659">_xlfn.IFS(Grammys[[#This Row],[date]] &gt;= DATE(2022,2,1),"Grammys",TRUE,"Grammys TRA")</f>
        <v>Grammys TRA</v>
      </c>
      <c r="I1659">
        <f>_xlfn.XLOOKUP(Grammys[[#This Row],[date]],mobile_visits[date],mobile_visits[mobile_visitors],0)</f>
        <v>0</v>
      </c>
    </row>
    <row r="1660" spans="1:9">
      <c r="A1660" s="1">
        <v>44394</v>
      </c>
      <c r="B1660">
        <v>17243</v>
      </c>
      <c r="C1660">
        <v>30213</v>
      </c>
      <c r="D1660">
        <v>18260</v>
      </c>
      <c r="E1660">
        <v>9244</v>
      </c>
      <c r="F1660">
        <v>85</v>
      </c>
      <c r="G1660" t="s">
        <v>9</v>
      </c>
      <c r="H1660" t="str" cm="1">
        <f t="array" ref="H1660">_xlfn.IFS(Grammys[[#This Row],[date]] &gt;= DATE(2022,2,1),"Grammys",TRUE,"Grammys TRA")</f>
        <v>Grammys TRA</v>
      </c>
      <c r="I1660">
        <f>_xlfn.XLOOKUP(Grammys[[#This Row],[date]],mobile_visits[date],mobile_visits[mobile_visitors],0)</f>
        <v>0</v>
      </c>
    </row>
    <row r="1661" spans="1:9">
      <c r="A1661" s="1">
        <v>44395</v>
      </c>
      <c r="B1661">
        <v>15484</v>
      </c>
      <c r="C1661">
        <v>27277</v>
      </c>
      <c r="D1661">
        <v>16367</v>
      </c>
      <c r="E1661">
        <v>8385</v>
      </c>
      <c r="F1661">
        <v>84</v>
      </c>
      <c r="G1661" t="s">
        <v>9</v>
      </c>
      <c r="H1661" t="str" cm="1">
        <f t="array" ref="H1661">_xlfn.IFS(Grammys[[#This Row],[date]] &gt;= DATE(2022,2,1),"Grammys",TRUE,"Grammys TRA")</f>
        <v>Grammys TRA</v>
      </c>
      <c r="I1661">
        <f>_xlfn.XLOOKUP(Grammys[[#This Row],[date]],mobile_visits[date],mobile_visits[mobile_visitors],0)</f>
        <v>0</v>
      </c>
    </row>
    <row r="1662" spans="1:9">
      <c r="A1662" s="1">
        <v>44396</v>
      </c>
      <c r="B1662">
        <v>19044</v>
      </c>
      <c r="C1662">
        <v>35532</v>
      </c>
      <c r="D1662">
        <v>20570</v>
      </c>
      <c r="E1662">
        <v>9582</v>
      </c>
      <c r="F1662">
        <v>107</v>
      </c>
      <c r="G1662" t="s">
        <v>9</v>
      </c>
      <c r="H1662" t="str" cm="1">
        <f t="array" ref="H1662">_xlfn.IFS(Grammys[[#This Row],[date]] &gt;= DATE(2022,2,1),"Grammys",TRUE,"Grammys TRA")</f>
        <v>Grammys TRA</v>
      </c>
      <c r="I1662">
        <f>_xlfn.XLOOKUP(Grammys[[#This Row],[date]],mobile_visits[date],mobile_visits[mobile_visitors],0)</f>
        <v>0</v>
      </c>
    </row>
    <row r="1663" spans="1:9">
      <c r="A1663" s="1">
        <v>44397</v>
      </c>
      <c r="B1663">
        <v>18707</v>
      </c>
      <c r="C1663">
        <v>33719</v>
      </c>
      <c r="D1663">
        <v>20190</v>
      </c>
      <c r="E1663">
        <v>9318</v>
      </c>
      <c r="F1663">
        <v>105</v>
      </c>
      <c r="G1663" t="s">
        <v>9</v>
      </c>
      <c r="H1663" t="str" cm="1">
        <f t="array" ref="H1663">_xlfn.IFS(Grammys[[#This Row],[date]] &gt;= DATE(2022,2,1),"Grammys",TRUE,"Grammys TRA")</f>
        <v>Grammys TRA</v>
      </c>
      <c r="I1663">
        <f>_xlfn.XLOOKUP(Grammys[[#This Row],[date]],mobile_visits[date],mobile_visits[mobile_visitors],0)</f>
        <v>0</v>
      </c>
    </row>
    <row r="1664" spans="1:9">
      <c r="A1664" s="1">
        <v>44398</v>
      </c>
      <c r="B1664">
        <v>10969</v>
      </c>
      <c r="C1664">
        <v>18603</v>
      </c>
      <c r="D1664">
        <v>11851</v>
      </c>
      <c r="E1664">
        <v>5906</v>
      </c>
      <c r="F1664">
        <v>90</v>
      </c>
      <c r="G1664" t="s">
        <v>9</v>
      </c>
      <c r="H1664" t="str" cm="1">
        <f t="array" ref="H1664">_xlfn.IFS(Grammys[[#This Row],[date]] &gt;= DATE(2022,2,1),"Grammys",TRUE,"Grammys TRA")</f>
        <v>Grammys TRA</v>
      </c>
      <c r="I1664">
        <f>_xlfn.XLOOKUP(Grammys[[#This Row],[date]],mobile_visits[date],mobile_visits[mobile_visitors],0)</f>
        <v>0</v>
      </c>
    </row>
    <row r="1665" spans="1:9">
      <c r="A1665" s="1">
        <v>44399</v>
      </c>
      <c r="B1665">
        <v>16948</v>
      </c>
      <c r="C1665">
        <v>30600</v>
      </c>
      <c r="D1665">
        <v>18244</v>
      </c>
      <c r="E1665">
        <v>9340</v>
      </c>
      <c r="F1665">
        <v>97</v>
      </c>
      <c r="G1665" t="s">
        <v>9</v>
      </c>
      <c r="H1665" t="str" cm="1">
        <f t="array" ref="H1665">_xlfn.IFS(Grammys[[#This Row],[date]] &gt;= DATE(2022,2,1),"Grammys",TRUE,"Grammys TRA")</f>
        <v>Grammys TRA</v>
      </c>
      <c r="I1665">
        <f>_xlfn.XLOOKUP(Grammys[[#This Row],[date]],mobile_visits[date],mobile_visits[mobile_visitors],0)</f>
        <v>0</v>
      </c>
    </row>
    <row r="1666" spans="1:9">
      <c r="A1666" s="1">
        <v>44400</v>
      </c>
      <c r="B1666">
        <v>16681</v>
      </c>
      <c r="C1666">
        <v>28253</v>
      </c>
      <c r="D1666">
        <v>17745</v>
      </c>
      <c r="E1666">
        <v>9013</v>
      </c>
      <c r="F1666">
        <v>93</v>
      </c>
      <c r="G1666" t="s">
        <v>9</v>
      </c>
      <c r="H1666" t="str" cm="1">
        <f t="array" ref="H1666">_xlfn.IFS(Grammys[[#This Row],[date]] &gt;= DATE(2022,2,1),"Grammys",TRUE,"Grammys TRA")</f>
        <v>Grammys TRA</v>
      </c>
      <c r="I1666">
        <f>_xlfn.XLOOKUP(Grammys[[#This Row],[date]],mobile_visits[date],mobile_visits[mobile_visitors],0)</f>
        <v>0</v>
      </c>
    </row>
    <row r="1667" spans="1:9">
      <c r="A1667" s="1">
        <v>44401</v>
      </c>
      <c r="B1667">
        <v>14609</v>
      </c>
      <c r="C1667">
        <v>24739</v>
      </c>
      <c r="D1667">
        <v>15704</v>
      </c>
      <c r="E1667">
        <v>8016</v>
      </c>
      <c r="F1667">
        <v>87</v>
      </c>
      <c r="G1667" t="s">
        <v>9</v>
      </c>
      <c r="H1667" t="str" cm="1">
        <f t="array" ref="H1667">_xlfn.IFS(Grammys[[#This Row],[date]] &gt;= DATE(2022,2,1),"Grammys",TRUE,"Grammys TRA")</f>
        <v>Grammys TRA</v>
      </c>
      <c r="I1667">
        <f>_xlfn.XLOOKUP(Grammys[[#This Row],[date]],mobile_visits[date],mobile_visits[mobile_visitors],0)</f>
        <v>0</v>
      </c>
    </row>
    <row r="1668" spans="1:9">
      <c r="A1668" s="1">
        <v>44402</v>
      </c>
      <c r="B1668">
        <v>14828</v>
      </c>
      <c r="C1668">
        <v>25969</v>
      </c>
      <c r="D1668">
        <v>15880</v>
      </c>
      <c r="E1668">
        <v>7615</v>
      </c>
      <c r="F1668">
        <v>88</v>
      </c>
      <c r="G1668" t="s">
        <v>9</v>
      </c>
      <c r="H1668" t="str" cm="1">
        <f t="array" ref="H1668">_xlfn.IFS(Grammys[[#This Row],[date]] &gt;= DATE(2022,2,1),"Grammys",TRUE,"Grammys TRA")</f>
        <v>Grammys TRA</v>
      </c>
      <c r="I1668">
        <f>_xlfn.XLOOKUP(Grammys[[#This Row],[date]],mobile_visits[date],mobile_visits[mobile_visitors],0)</f>
        <v>0</v>
      </c>
    </row>
    <row r="1669" spans="1:9">
      <c r="A1669" s="1">
        <v>44403</v>
      </c>
      <c r="B1669">
        <v>16757</v>
      </c>
      <c r="C1669">
        <v>31585</v>
      </c>
      <c r="D1669">
        <v>19604</v>
      </c>
      <c r="E1669">
        <v>9430</v>
      </c>
      <c r="F1669">
        <v>91</v>
      </c>
      <c r="G1669" t="s">
        <v>9</v>
      </c>
      <c r="H1669" t="str" cm="1">
        <f t="array" ref="H1669">_xlfn.IFS(Grammys[[#This Row],[date]] &gt;= DATE(2022,2,1),"Grammys",TRUE,"Grammys TRA")</f>
        <v>Grammys TRA</v>
      </c>
      <c r="I1669">
        <f>_xlfn.XLOOKUP(Grammys[[#This Row],[date]],mobile_visits[date],mobile_visits[mobile_visitors],0)</f>
        <v>0</v>
      </c>
    </row>
    <row r="1670" spans="1:9">
      <c r="A1670" s="1">
        <v>44404</v>
      </c>
      <c r="B1670">
        <v>19312</v>
      </c>
      <c r="C1670">
        <v>36888</v>
      </c>
      <c r="D1670">
        <v>23161</v>
      </c>
      <c r="E1670">
        <v>10882</v>
      </c>
      <c r="F1670">
        <v>88</v>
      </c>
      <c r="G1670" t="s">
        <v>9</v>
      </c>
      <c r="H1670" t="str" cm="1">
        <f t="array" ref="H1670">_xlfn.IFS(Grammys[[#This Row],[date]] &gt;= DATE(2022,2,1),"Grammys",TRUE,"Grammys TRA")</f>
        <v>Grammys TRA</v>
      </c>
      <c r="I1670">
        <f>_xlfn.XLOOKUP(Grammys[[#This Row],[date]],mobile_visits[date],mobile_visits[mobile_visitors],0)</f>
        <v>0</v>
      </c>
    </row>
    <row r="1671" spans="1:9">
      <c r="A1671" s="1">
        <v>44405</v>
      </c>
      <c r="B1671">
        <v>23775</v>
      </c>
      <c r="C1671">
        <v>42911</v>
      </c>
      <c r="D1671">
        <v>27884</v>
      </c>
      <c r="E1671">
        <v>12955</v>
      </c>
      <c r="F1671">
        <v>91</v>
      </c>
      <c r="G1671" t="s">
        <v>9</v>
      </c>
      <c r="H1671" t="str" cm="1">
        <f t="array" ref="H1671">_xlfn.IFS(Grammys[[#This Row],[date]] &gt;= DATE(2022,2,1),"Grammys",TRUE,"Grammys TRA")</f>
        <v>Grammys TRA</v>
      </c>
      <c r="I1671">
        <f>_xlfn.XLOOKUP(Grammys[[#This Row],[date]],mobile_visits[date],mobile_visits[mobile_visitors],0)</f>
        <v>0</v>
      </c>
    </row>
    <row r="1672" spans="1:9">
      <c r="A1672" s="1">
        <v>44406</v>
      </c>
      <c r="B1672">
        <v>21540</v>
      </c>
      <c r="C1672">
        <v>39597</v>
      </c>
      <c r="D1672">
        <v>25496</v>
      </c>
      <c r="E1672">
        <v>12007</v>
      </c>
      <c r="F1672">
        <v>89</v>
      </c>
      <c r="G1672" t="s">
        <v>9</v>
      </c>
      <c r="H1672" t="str" cm="1">
        <f t="array" ref="H1672">_xlfn.IFS(Grammys[[#This Row],[date]] &gt;= DATE(2022,2,1),"Grammys",TRUE,"Grammys TRA")</f>
        <v>Grammys TRA</v>
      </c>
      <c r="I1672">
        <f>_xlfn.XLOOKUP(Grammys[[#This Row],[date]],mobile_visits[date],mobile_visits[mobile_visitors],0)</f>
        <v>0</v>
      </c>
    </row>
    <row r="1673" spans="1:9">
      <c r="A1673" s="1">
        <v>44407</v>
      </c>
      <c r="B1673">
        <v>18069</v>
      </c>
      <c r="C1673">
        <v>34359</v>
      </c>
      <c r="D1673">
        <v>21997</v>
      </c>
      <c r="E1673">
        <v>10627</v>
      </c>
      <c r="F1673">
        <v>79</v>
      </c>
      <c r="G1673" t="s">
        <v>9</v>
      </c>
      <c r="H1673" t="str" cm="1">
        <f t="array" ref="H1673">_xlfn.IFS(Grammys[[#This Row],[date]] &gt;= DATE(2022,2,1),"Grammys",TRUE,"Grammys TRA")</f>
        <v>Grammys TRA</v>
      </c>
      <c r="I1673">
        <f>_xlfn.XLOOKUP(Grammys[[#This Row],[date]],mobile_visits[date],mobile_visits[mobile_visitors],0)</f>
        <v>0</v>
      </c>
    </row>
    <row r="1674" spans="1:9">
      <c r="A1674" s="1">
        <v>44408</v>
      </c>
      <c r="B1674">
        <v>16834</v>
      </c>
      <c r="C1674">
        <v>31618</v>
      </c>
      <c r="D1674">
        <v>20501</v>
      </c>
      <c r="E1674">
        <v>9925</v>
      </c>
      <c r="F1674">
        <v>73</v>
      </c>
      <c r="G1674" t="s">
        <v>9</v>
      </c>
      <c r="H1674" t="str" cm="1">
        <f t="array" ref="H1674">_xlfn.IFS(Grammys[[#This Row],[date]] &gt;= DATE(2022,2,1),"Grammys",TRUE,"Grammys TRA")</f>
        <v>Grammys TRA</v>
      </c>
      <c r="I1674">
        <f>_xlfn.XLOOKUP(Grammys[[#This Row],[date]],mobile_visits[date],mobile_visits[mobile_visitors],0)</f>
        <v>0</v>
      </c>
    </row>
    <row r="1675" spans="1:9">
      <c r="A1675" s="1">
        <v>44409</v>
      </c>
      <c r="B1675">
        <v>16418</v>
      </c>
      <c r="C1675">
        <v>30929</v>
      </c>
      <c r="D1675">
        <v>19925</v>
      </c>
      <c r="E1675">
        <v>9465</v>
      </c>
      <c r="F1675">
        <v>73</v>
      </c>
      <c r="G1675" t="s">
        <v>9</v>
      </c>
      <c r="H1675" t="str" cm="1">
        <f t="array" ref="H1675">_xlfn.IFS(Grammys[[#This Row],[date]] &gt;= DATE(2022,2,1),"Grammys",TRUE,"Grammys TRA")</f>
        <v>Grammys TRA</v>
      </c>
      <c r="I1675">
        <f>_xlfn.XLOOKUP(Grammys[[#This Row],[date]],mobile_visits[date],mobile_visits[mobile_visitors],0)</f>
        <v>0</v>
      </c>
    </row>
    <row r="1676" spans="1:9">
      <c r="A1676" s="1">
        <v>44410</v>
      </c>
      <c r="B1676">
        <v>16442</v>
      </c>
      <c r="C1676">
        <v>31250</v>
      </c>
      <c r="D1676">
        <v>20004</v>
      </c>
      <c r="E1676">
        <v>9826</v>
      </c>
      <c r="F1676">
        <v>72</v>
      </c>
      <c r="G1676" t="s">
        <v>9</v>
      </c>
      <c r="H1676" t="str" cm="1">
        <f t="array" ref="H1676">_xlfn.IFS(Grammys[[#This Row],[date]] &gt;= DATE(2022,2,1),"Grammys",TRUE,"Grammys TRA")</f>
        <v>Grammys TRA</v>
      </c>
      <c r="I1676">
        <f>_xlfn.XLOOKUP(Grammys[[#This Row],[date]],mobile_visits[date],mobile_visits[mobile_visitors],0)</f>
        <v>0</v>
      </c>
    </row>
    <row r="1677" spans="1:9">
      <c r="A1677" s="1">
        <v>44411</v>
      </c>
      <c r="B1677">
        <v>20982</v>
      </c>
      <c r="C1677">
        <v>39430</v>
      </c>
      <c r="D1677">
        <v>25036</v>
      </c>
      <c r="E1677">
        <v>12311</v>
      </c>
      <c r="F1677">
        <v>87</v>
      </c>
      <c r="G1677" t="s">
        <v>9</v>
      </c>
      <c r="H1677" t="str" cm="1">
        <f t="array" ref="H1677">_xlfn.IFS(Grammys[[#This Row],[date]] &gt;= DATE(2022,2,1),"Grammys",TRUE,"Grammys TRA")</f>
        <v>Grammys TRA</v>
      </c>
      <c r="I1677">
        <f>_xlfn.XLOOKUP(Grammys[[#This Row],[date]],mobile_visits[date],mobile_visits[mobile_visitors],0)</f>
        <v>0</v>
      </c>
    </row>
    <row r="1678" spans="1:9">
      <c r="A1678" s="1">
        <v>44412</v>
      </c>
      <c r="B1678">
        <v>19295</v>
      </c>
      <c r="C1678">
        <v>34044</v>
      </c>
      <c r="D1678">
        <v>21045</v>
      </c>
      <c r="E1678">
        <v>11220</v>
      </c>
      <c r="F1678">
        <v>83</v>
      </c>
      <c r="G1678" t="s">
        <v>9</v>
      </c>
      <c r="H1678" t="str" cm="1">
        <f t="array" ref="H1678">_xlfn.IFS(Grammys[[#This Row],[date]] &gt;= DATE(2022,2,1),"Grammys",TRUE,"Grammys TRA")</f>
        <v>Grammys TRA</v>
      </c>
      <c r="I1678">
        <f>_xlfn.XLOOKUP(Grammys[[#This Row],[date]],mobile_visits[date],mobile_visits[mobile_visitors],0)</f>
        <v>0</v>
      </c>
    </row>
    <row r="1679" spans="1:9">
      <c r="A1679" s="1">
        <v>44413</v>
      </c>
      <c r="B1679">
        <v>15833</v>
      </c>
      <c r="C1679">
        <v>27054</v>
      </c>
      <c r="D1679">
        <v>16913</v>
      </c>
      <c r="E1679">
        <v>8892</v>
      </c>
      <c r="F1679">
        <v>91</v>
      </c>
      <c r="G1679" t="s">
        <v>9</v>
      </c>
      <c r="H1679" t="str" cm="1">
        <f t="array" ref="H1679">_xlfn.IFS(Grammys[[#This Row],[date]] &gt;= DATE(2022,2,1),"Grammys",TRUE,"Grammys TRA")</f>
        <v>Grammys TRA</v>
      </c>
      <c r="I1679">
        <f>_xlfn.XLOOKUP(Grammys[[#This Row],[date]],mobile_visits[date],mobile_visits[mobile_visitors],0)</f>
        <v>0</v>
      </c>
    </row>
    <row r="1680" spans="1:9">
      <c r="A1680" s="1">
        <v>44414</v>
      </c>
      <c r="B1680">
        <v>14298</v>
      </c>
      <c r="C1680">
        <v>24571</v>
      </c>
      <c r="D1680">
        <v>15201</v>
      </c>
      <c r="E1680">
        <v>8238</v>
      </c>
      <c r="F1680">
        <v>88</v>
      </c>
      <c r="G1680" t="s">
        <v>9</v>
      </c>
      <c r="H1680" t="str" cm="1">
        <f t="array" ref="H1680">_xlfn.IFS(Grammys[[#This Row],[date]] &gt;= DATE(2022,2,1),"Grammys",TRUE,"Grammys TRA")</f>
        <v>Grammys TRA</v>
      </c>
      <c r="I1680">
        <f>_xlfn.XLOOKUP(Grammys[[#This Row],[date]],mobile_visits[date],mobile_visits[mobile_visitors],0)</f>
        <v>0</v>
      </c>
    </row>
    <row r="1681" spans="1:9">
      <c r="A1681" s="1">
        <v>44415</v>
      </c>
      <c r="B1681">
        <v>13068</v>
      </c>
      <c r="C1681">
        <v>22430</v>
      </c>
      <c r="D1681">
        <v>13944</v>
      </c>
      <c r="E1681">
        <v>7474</v>
      </c>
      <c r="F1681">
        <v>80</v>
      </c>
      <c r="G1681" t="s">
        <v>9</v>
      </c>
      <c r="H1681" t="str" cm="1">
        <f t="array" ref="H1681">_xlfn.IFS(Grammys[[#This Row],[date]] &gt;= DATE(2022,2,1),"Grammys",TRUE,"Grammys TRA")</f>
        <v>Grammys TRA</v>
      </c>
      <c r="I1681">
        <f>_xlfn.XLOOKUP(Grammys[[#This Row],[date]],mobile_visits[date],mobile_visits[mobile_visitors],0)</f>
        <v>0</v>
      </c>
    </row>
    <row r="1682" spans="1:9">
      <c r="A1682" s="1">
        <v>44416</v>
      </c>
      <c r="B1682">
        <v>12973</v>
      </c>
      <c r="C1682">
        <v>22720</v>
      </c>
      <c r="D1682">
        <v>13846</v>
      </c>
      <c r="E1682">
        <v>7241</v>
      </c>
      <c r="F1682">
        <v>84</v>
      </c>
      <c r="G1682" t="s">
        <v>9</v>
      </c>
      <c r="H1682" t="str" cm="1">
        <f t="array" ref="H1682">_xlfn.IFS(Grammys[[#This Row],[date]] &gt;= DATE(2022,2,1),"Grammys",TRUE,"Grammys TRA")</f>
        <v>Grammys TRA</v>
      </c>
      <c r="I1682">
        <f>_xlfn.XLOOKUP(Grammys[[#This Row],[date]],mobile_visits[date],mobile_visits[mobile_visitors],0)</f>
        <v>0</v>
      </c>
    </row>
    <row r="1683" spans="1:9">
      <c r="A1683" s="1">
        <v>44417</v>
      </c>
      <c r="B1683">
        <v>14215</v>
      </c>
      <c r="C1683">
        <v>24965</v>
      </c>
      <c r="D1683">
        <v>15281</v>
      </c>
      <c r="E1683">
        <v>7840</v>
      </c>
      <c r="F1683">
        <v>85</v>
      </c>
      <c r="G1683" t="s">
        <v>9</v>
      </c>
      <c r="H1683" t="str" cm="1">
        <f t="array" ref="H1683">_xlfn.IFS(Grammys[[#This Row],[date]] &gt;= DATE(2022,2,1),"Grammys",TRUE,"Grammys TRA")</f>
        <v>Grammys TRA</v>
      </c>
      <c r="I1683">
        <f>_xlfn.XLOOKUP(Grammys[[#This Row],[date]],mobile_visits[date],mobile_visits[mobile_visitors],0)</f>
        <v>0</v>
      </c>
    </row>
    <row r="1684" spans="1:9">
      <c r="A1684" s="1">
        <v>44418</v>
      </c>
      <c r="B1684">
        <v>13726</v>
      </c>
      <c r="C1684">
        <v>24367</v>
      </c>
      <c r="D1684">
        <v>14781</v>
      </c>
      <c r="E1684">
        <v>7929</v>
      </c>
      <c r="F1684">
        <v>87</v>
      </c>
      <c r="G1684" t="s">
        <v>9</v>
      </c>
      <c r="H1684" t="str" cm="1">
        <f t="array" ref="H1684">_xlfn.IFS(Grammys[[#This Row],[date]] &gt;= DATE(2022,2,1),"Grammys",TRUE,"Grammys TRA")</f>
        <v>Grammys TRA</v>
      </c>
      <c r="I1684">
        <f>_xlfn.XLOOKUP(Grammys[[#This Row],[date]],mobile_visits[date],mobile_visits[mobile_visitors],0)</f>
        <v>0</v>
      </c>
    </row>
    <row r="1685" spans="1:9">
      <c r="A1685" s="1">
        <v>44419</v>
      </c>
      <c r="B1685">
        <v>14738</v>
      </c>
      <c r="C1685">
        <v>26681</v>
      </c>
      <c r="D1685">
        <v>15873</v>
      </c>
      <c r="E1685">
        <v>8254</v>
      </c>
      <c r="F1685">
        <v>81</v>
      </c>
      <c r="G1685" t="s">
        <v>9</v>
      </c>
      <c r="H1685" t="str" cm="1">
        <f t="array" ref="H1685">_xlfn.IFS(Grammys[[#This Row],[date]] &gt;= DATE(2022,2,1),"Grammys",TRUE,"Grammys TRA")</f>
        <v>Grammys TRA</v>
      </c>
      <c r="I1685">
        <f>_xlfn.XLOOKUP(Grammys[[#This Row],[date]],mobile_visits[date],mobile_visits[mobile_visitors],0)</f>
        <v>0</v>
      </c>
    </row>
    <row r="1686" spans="1:9">
      <c r="A1686" s="1">
        <v>44420</v>
      </c>
      <c r="B1686">
        <v>15813</v>
      </c>
      <c r="C1686">
        <v>28001</v>
      </c>
      <c r="D1686">
        <v>17140</v>
      </c>
      <c r="E1686">
        <v>8795</v>
      </c>
      <c r="F1686">
        <v>85</v>
      </c>
      <c r="G1686" t="s">
        <v>9</v>
      </c>
      <c r="H1686" t="str" cm="1">
        <f t="array" ref="H1686">_xlfn.IFS(Grammys[[#This Row],[date]] &gt;= DATE(2022,2,1),"Grammys",TRUE,"Grammys TRA")</f>
        <v>Grammys TRA</v>
      </c>
      <c r="I1686">
        <f>_xlfn.XLOOKUP(Grammys[[#This Row],[date]],mobile_visits[date],mobile_visits[mobile_visitors],0)</f>
        <v>0</v>
      </c>
    </row>
    <row r="1687" spans="1:9">
      <c r="A1687" s="1">
        <v>44421</v>
      </c>
      <c r="B1687">
        <v>14781</v>
      </c>
      <c r="C1687">
        <v>25148</v>
      </c>
      <c r="D1687">
        <v>15699</v>
      </c>
      <c r="E1687">
        <v>8020</v>
      </c>
      <c r="F1687">
        <v>86</v>
      </c>
      <c r="G1687" t="s">
        <v>9</v>
      </c>
      <c r="H1687" t="str" cm="1">
        <f t="array" ref="H1687">_xlfn.IFS(Grammys[[#This Row],[date]] &gt;= DATE(2022,2,1),"Grammys",TRUE,"Grammys TRA")</f>
        <v>Grammys TRA</v>
      </c>
      <c r="I1687">
        <f>_xlfn.XLOOKUP(Grammys[[#This Row],[date]],mobile_visits[date],mobile_visits[mobile_visitors],0)</f>
        <v>0</v>
      </c>
    </row>
    <row r="1688" spans="1:9">
      <c r="A1688" s="1">
        <v>44422</v>
      </c>
      <c r="B1688">
        <v>14380</v>
      </c>
      <c r="C1688">
        <v>24175</v>
      </c>
      <c r="D1688">
        <v>15274</v>
      </c>
      <c r="E1688">
        <v>8198</v>
      </c>
      <c r="F1688">
        <v>74</v>
      </c>
      <c r="G1688" t="s">
        <v>9</v>
      </c>
      <c r="H1688" t="str" cm="1">
        <f t="array" ref="H1688">_xlfn.IFS(Grammys[[#This Row],[date]] &gt;= DATE(2022,2,1),"Grammys",TRUE,"Grammys TRA")</f>
        <v>Grammys TRA</v>
      </c>
      <c r="I1688">
        <f>_xlfn.XLOOKUP(Grammys[[#This Row],[date]],mobile_visits[date],mobile_visits[mobile_visitors],0)</f>
        <v>0</v>
      </c>
    </row>
    <row r="1689" spans="1:9">
      <c r="A1689" s="1">
        <v>44423</v>
      </c>
      <c r="B1689">
        <v>12557</v>
      </c>
      <c r="C1689">
        <v>21825</v>
      </c>
      <c r="D1689">
        <v>13352</v>
      </c>
      <c r="E1689">
        <v>6948</v>
      </c>
      <c r="F1689">
        <v>83</v>
      </c>
      <c r="G1689" t="s">
        <v>9</v>
      </c>
      <c r="H1689" t="str" cm="1">
        <f t="array" ref="H1689">_xlfn.IFS(Grammys[[#This Row],[date]] &gt;= DATE(2022,2,1),"Grammys",TRUE,"Grammys TRA")</f>
        <v>Grammys TRA</v>
      </c>
      <c r="I1689">
        <f>_xlfn.XLOOKUP(Grammys[[#This Row],[date]],mobile_visits[date],mobile_visits[mobile_visitors],0)</f>
        <v>0</v>
      </c>
    </row>
    <row r="1690" spans="1:9">
      <c r="A1690" s="1">
        <v>44424</v>
      </c>
      <c r="B1690">
        <v>12654</v>
      </c>
      <c r="C1690">
        <v>23446</v>
      </c>
      <c r="D1690">
        <v>13831</v>
      </c>
      <c r="E1690">
        <v>7255</v>
      </c>
      <c r="F1690">
        <v>88</v>
      </c>
      <c r="G1690" t="s">
        <v>9</v>
      </c>
      <c r="H1690" t="str" cm="1">
        <f t="array" ref="H1690">_xlfn.IFS(Grammys[[#This Row],[date]] &gt;= DATE(2022,2,1),"Grammys",TRUE,"Grammys TRA")</f>
        <v>Grammys TRA</v>
      </c>
      <c r="I1690">
        <f>_xlfn.XLOOKUP(Grammys[[#This Row],[date]],mobile_visits[date],mobile_visits[mobile_visitors],0)</f>
        <v>0</v>
      </c>
    </row>
    <row r="1691" spans="1:9">
      <c r="A1691" s="1">
        <v>44425</v>
      </c>
      <c r="B1691">
        <v>12971</v>
      </c>
      <c r="C1691">
        <v>23157</v>
      </c>
      <c r="D1691">
        <v>13831</v>
      </c>
      <c r="E1691">
        <v>7150</v>
      </c>
      <c r="F1691">
        <v>86</v>
      </c>
      <c r="G1691" t="s">
        <v>9</v>
      </c>
      <c r="H1691" t="str" cm="1">
        <f t="array" ref="H1691">_xlfn.IFS(Grammys[[#This Row],[date]] &gt;= DATE(2022,2,1),"Grammys",TRUE,"Grammys TRA")</f>
        <v>Grammys TRA</v>
      </c>
      <c r="I1691">
        <f>_xlfn.XLOOKUP(Grammys[[#This Row],[date]],mobile_visits[date],mobile_visits[mobile_visitors],0)</f>
        <v>0</v>
      </c>
    </row>
    <row r="1692" spans="1:9">
      <c r="A1692" s="1">
        <v>44426</v>
      </c>
      <c r="B1692">
        <v>14774</v>
      </c>
      <c r="C1692">
        <v>25920</v>
      </c>
      <c r="D1692">
        <v>15799</v>
      </c>
      <c r="E1692">
        <v>7720</v>
      </c>
      <c r="F1692">
        <v>94</v>
      </c>
      <c r="G1692" t="s">
        <v>9</v>
      </c>
      <c r="H1692" t="str" cm="1">
        <f t="array" ref="H1692">_xlfn.IFS(Grammys[[#This Row],[date]] &gt;= DATE(2022,2,1),"Grammys",TRUE,"Grammys TRA")</f>
        <v>Grammys TRA</v>
      </c>
      <c r="I1692">
        <f>_xlfn.XLOOKUP(Grammys[[#This Row],[date]],mobile_visits[date],mobile_visits[mobile_visitors],0)</f>
        <v>0</v>
      </c>
    </row>
    <row r="1693" spans="1:9">
      <c r="A1693" s="1">
        <v>44427</v>
      </c>
      <c r="B1693">
        <v>14641</v>
      </c>
      <c r="C1693">
        <v>25385</v>
      </c>
      <c r="D1693">
        <v>15603</v>
      </c>
      <c r="E1693">
        <v>7991</v>
      </c>
      <c r="F1693">
        <v>87</v>
      </c>
      <c r="G1693" t="s">
        <v>9</v>
      </c>
      <c r="H1693" t="str" cm="1">
        <f t="array" ref="H1693">_xlfn.IFS(Grammys[[#This Row],[date]] &gt;= DATE(2022,2,1),"Grammys",TRUE,"Grammys TRA")</f>
        <v>Grammys TRA</v>
      </c>
      <c r="I1693">
        <f>_xlfn.XLOOKUP(Grammys[[#This Row],[date]],mobile_visits[date],mobile_visits[mobile_visitors],0)</f>
        <v>0</v>
      </c>
    </row>
    <row r="1694" spans="1:9">
      <c r="A1694" s="1">
        <v>44428</v>
      </c>
      <c r="B1694">
        <v>13906</v>
      </c>
      <c r="C1694">
        <v>24409</v>
      </c>
      <c r="D1694">
        <v>14913</v>
      </c>
      <c r="E1694">
        <v>7854</v>
      </c>
      <c r="F1694">
        <v>82</v>
      </c>
      <c r="G1694" t="s">
        <v>9</v>
      </c>
      <c r="H1694" t="str" cm="1">
        <f t="array" ref="H1694">_xlfn.IFS(Grammys[[#This Row],[date]] &gt;= DATE(2022,2,1),"Grammys",TRUE,"Grammys TRA")</f>
        <v>Grammys TRA</v>
      </c>
      <c r="I1694">
        <f>_xlfn.XLOOKUP(Grammys[[#This Row],[date]],mobile_visits[date],mobile_visits[mobile_visitors],0)</f>
        <v>0</v>
      </c>
    </row>
    <row r="1695" spans="1:9">
      <c r="A1695" s="1">
        <v>44429</v>
      </c>
      <c r="B1695">
        <v>13653</v>
      </c>
      <c r="C1695">
        <v>23262</v>
      </c>
      <c r="D1695">
        <v>14648</v>
      </c>
      <c r="E1695">
        <v>7748</v>
      </c>
      <c r="F1695">
        <v>79</v>
      </c>
      <c r="G1695" t="s">
        <v>9</v>
      </c>
      <c r="H1695" t="str" cm="1">
        <f t="array" ref="H1695">_xlfn.IFS(Grammys[[#This Row],[date]] &gt;= DATE(2022,2,1),"Grammys",TRUE,"Grammys TRA")</f>
        <v>Grammys TRA</v>
      </c>
      <c r="I1695">
        <f>_xlfn.XLOOKUP(Grammys[[#This Row],[date]],mobile_visits[date],mobile_visits[mobile_visitors],0)</f>
        <v>0</v>
      </c>
    </row>
    <row r="1696" spans="1:9">
      <c r="A1696" s="1">
        <v>44430</v>
      </c>
      <c r="B1696">
        <v>16712</v>
      </c>
      <c r="C1696">
        <v>30807</v>
      </c>
      <c r="D1696">
        <v>19583</v>
      </c>
      <c r="E1696">
        <v>10137</v>
      </c>
      <c r="F1696">
        <v>76</v>
      </c>
      <c r="G1696" t="s">
        <v>9</v>
      </c>
      <c r="H1696" t="str" cm="1">
        <f t="array" ref="H1696">_xlfn.IFS(Grammys[[#This Row],[date]] &gt;= DATE(2022,2,1),"Grammys",TRUE,"Grammys TRA")</f>
        <v>Grammys TRA</v>
      </c>
      <c r="I1696">
        <f>_xlfn.XLOOKUP(Grammys[[#This Row],[date]],mobile_visits[date],mobile_visits[mobile_visitors],0)</f>
        <v>0</v>
      </c>
    </row>
    <row r="1697" spans="1:9">
      <c r="A1697" s="1">
        <v>44431</v>
      </c>
      <c r="B1697">
        <v>16409</v>
      </c>
      <c r="C1697">
        <v>31126</v>
      </c>
      <c r="D1697">
        <v>19217</v>
      </c>
      <c r="E1697">
        <v>9649</v>
      </c>
      <c r="F1697">
        <v>77</v>
      </c>
      <c r="G1697" t="s">
        <v>9</v>
      </c>
      <c r="H1697" t="str" cm="1">
        <f t="array" ref="H1697">_xlfn.IFS(Grammys[[#This Row],[date]] &gt;= DATE(2022,2,1),"Grammys",TRUE,"Grammys TRA")</f>
        <v>Grammys TRA</v>
      </c>
      <c r="I1697">
        <f>_xlfn.XLOOKUP(Grammys[[#This Row],[date]],mobile_visits[date],mobile_visits[mobile_visitors],0)</f>
        <v>0</v>
      </c>
    </row>
    <row r="1698" spans="1:9">
      <c r="A1698" s="1">
        <v>44432</v>
      </c>
      <c r="B1698">
        <v>16858</v>
      </c>
      <c r="C1698">
        <v>31394</v>
      </c>
      <c r="D1698">
        <v>19705</v>
      </c>
      <c r="E1698">
        <v>9969</v>
      </c>
      <c r="F1698">
        <v>78</v>
      </c>
      <c r="G1698" t="s">
        <v>9</v>
      </c>
      <c r="H1698" t="str" cm="1">
        <f t="array" ref="H1698">_xlfn.IFS(Grammys[[#This Row],[date]] &gt;= DATE(2022,2,1),"Grammys",TRUE,"Grammys TRA")</f>
        <v>Grammys TRA</v>
      </c>
      <c r="I1698">
        <f>_xlfn.XLOOKUP(Grammys[[#This Row],[date]],mobile_visits[date],mobile_visits[mobile_visitors],0)</f>
        <v>0</v>
      </c>
    </row>
    <row r="1699" spans="1:9">
      <c r="A1699" s="1">
        <v>44433</v>
      </c>
      <c r="B1699">
        <v>17136</v>
      </c>
      <c r="C1699">
        <v>32042</v>
      </c>
      <c r="D1699">
        <v>19821</v>
      </c>
      <c r="E1699">
        <v>9697</v>
      </c>
      <c r="F1699">
        <v>83</v>
      </c>
      <c r="G1699" t="s">
        <v>9</v>
      </c>
      <c r="H1699" t="str" cm="1">
        <f t="array" ref="H1699">_xlfn.IFS(Grammys[[#This Row],[date]] &gt;= DATE(2022,2,1),"Grammys",TRUE,"Grammys TRA")</f>
        <v>Grammys TRA</v>
      </c>
      <c r="I1699">
        <f>_xlfn.XLOOKUP(Grammys[[#This Row],[date]],mobile_visits[date],mobile_visits[mobile_visitors],0)</f>
        <v>0</v>
      </c>
    </row>
    <row r="1700" spans="1:9">
      <c r="A1700" s="1">
        <v>44434</v>
      </c>
      <c r="B1700">
        <v>16069</v>
      </c>
      <c r="C1700">
        <v>30681</v>
      </c>
      <c r="D1700">
        <v>19094</v>
      </c>
      <c r="E1700">
        <v>9582</v>
      </c>
      <c r="F1700">
        <v>77</v>
      </c>
      <c r="G1700" t="s">
        <v>9</v>
      </c>
      <c r="H1700" t="str" cm="1">
        <f t="array" ref="H1700">_xlfn.IFS(Grammys[[#This Row],[date]] &gt;= DATE(2022,2,1),"Grammys",TRUE,"Grammys TRA")</f>
        <v>Grammys TRA</v>
      </c>
      <c r="I1700">
        <f>_xlfn.XLOOKUP(Grammys[[#This Row],[date]],mobile_visits[date],mobile_visits[mobile_visitors],0)</f>
        <v>0</v>
      </c>
    </row>
    <row r="1701" spans="1:9">
      <c r="A1701" s="1">
        <v>44435</v>
      </c>
      <c r="B1701">
        <v>17614</v>
      </c>
      <c r="C1701">
        <v>35499</v>
      </c>
      <c r="D1701">
        <v>22900</v>
      </c>
      <c r="E1701">
        <v>11189</v>
      </c>
      <c r="F1701">
        <v>73</v>
      </c>
      <c r="G1701" t="s">
        <v>9</v>
      </c>
      <c r="H1701" t="str" cm="1">
        <f t="array" ref="H1701">_xlfn.IFS(Grammys[[#This Row],[date]] &gt;= DATE(2022,2,1),"Grammys",TRUE,"Grammys TRA")</f>
        <v>Grammys TRA</v>
      </c>
      <c r="I1701">
        <f>_xlfn.XLOOKUP(Grammys[[#This Row],[date]],mobile_visits[date],mobile_visits[mobile_visitors],0)</f>
        <v>0</v>
      </c>
    </row>
    <row r="1702" spans="1:9">
      <c r="A1702" s="1">
        <v>44436</v>
      </c>
      <c r="B1702">
        <v>17483</v>
      </c>
      <c r="C1702">
        <v>35329</v>
      </c>
      <c r="D1702">
        <v>22569</v>
      </c>
      <c r="E1702">
        <v>10700</v>
      </c>
      <c r="F1702">
        <v>73</v>
      </c>
      <c r="G1702" t="s">
        <v>9</v>
      </c>
      <c r="H1702" t="str" cm="1">
        <f t="array" ref="H1702">_xlfn.IFS(Grammys[[#This Row],[date]] &gt;= DATE(2022,2,1),"Grammys",TRUE,"Grammys TRA")</f>
        <v>Grammys TRA</v>
      </c>
      <c r="I1702">
        <f>_xlfn.XLOOKUP(Grammys[[#This Row],[date]],mobile_visits[date],mobile_visits[mobile_visitors],0)</f>
        <v>0</v>
      </c>
    </row>
    <row r="1703" spans="1:9">
      <c r="A1703" s="1">
        <v>44437</v>
      </c>
      <c r="B1703">
        <v>18613</v>
      </c>
      <c r="C1703">
        <v>36847</v>
      </c>
      <c r="D1703">
        <v>23791</v>
      </c>
      <c r="E1703">
        <v>11660</v>
      </c>
      <c r="F1703">
        <v>70</v>
      </c>
      <c r="G1703" t="s">
        <v>9</v>
      </c>
      <c r="H1703" t="str" cm="1">
        <f t="array" ref="H1703">_xlfn.IFS(Grammys[[#This Row],[date]] &gt;= DATE(2022,2,1),"Grammys",TRUE,"Grammys TRA")</f>
        <v>Grammys TRA</v>
      </c>
      <c r="I1703">
        <f>_xlfn.XLOOKUP(Grammys[[#This Row],[date]],mobile_visits[date],mobile_visits[mobile_visitors],0)</f>
        <v>0</v>
      </c>
    </row>
    <row r="1704" spans="1:9">
      <c r="A1704" s="1">
        <v>44438</v>
      </c>
      <c r="B1704">
        <v>18752</v>
      </c>
      <c r="C1704">
        <v>38287</v>
      </c>
      <c r="D1704">
        <v>23932</v>
      </c>
      <c r="E1704">
        <v>11196</v>
      </c>
      <c r="F1704">
        <v>75</v>
      </c>
      <c r="G1704" t="s">
        <v>9</v>
      </c>
      <c r="H1704" t="str" cm="1">
        <f t="array" ref="H1704">_xlfn.IFS(Grammys[[#This Row],[date]] &gt;= DATE(2022,2,1),"Grammys",TRUE,"Grammys TRA")</f>
        <v>Grammys TRA</v>
      </c>
      <c r="I1704">
        <f>_xlfn.XLOOKUP(Grammys[[#This Row],[date]],mobile_visits[date],mobile_visits[mobile_visitors],0)</f>
        <v>0</v>
      </c>
    </row>
    <row r="1705" spans="1:9">
      <c r="A1705" s="1">
        <v>44439</v>
      </c>
      <c r="B1705">
        <v>18262</v>
      </c>
      <c r="C1705">
        <v>37492</v>
      </c>
      <c r="D1705">
        <v>23600</v>
      </c>
      <c r="E1705">
        <v>11338</v>
      </c>
      <c r="F1705">
        <v>74</v>
      </c>
      <c r="G1705" t="s">
        <v>9</v>
      </c>
      <c r="H1705" t="str" cm="1">
        <f t="array" ref="H1705">_xlfn.IFS(Grammys[[#This Row],[date]] &gt;= DATE(2022,2,1),"Grammys",TRUE,"Grammys TRA")</f>
        <v>Grammys TRA</v>
      </c>
      <c r="I1705">
        <f>_xlfn.XLOOKUP(Grammys[[#This Row],[date]],mobile_visits[date],mobile_visits[mobile_visitors],0)</f>
        <v>0</v>
      </c>
    </row>
    <row r="1706" spans="1:9">
      <c r="A1706" s="1">
        <v>44440</v>
      </c>
      <c r="B1706">
        <v>17929</v>
      </c>
      <c r="C1706">
        <v>35892</v>
      </c>
      <c r="D1706">
        <v>22688</v>
      </c>
      <c r="E1706">
        <v>11009</v>
      </c>
      <c r="F1706">
        <v>71</v>
      </c>
      <c r="G1706" t="s">
        <v>9</v>
      </c>
      <c r="H1706" t="str" cm="1">
        <f t="array" ref="H1706">_xlfn.IFS(Grammys[[#This Row],[date]] &gt;= DATE(2022,2,1),"Grammys",TRUE,"Grammys TRA")</f>
        <v>Grammys TRA</v>
      </c>
      <c r="I1706">
        <f>_xlfn.XLOOKUP(Grammys[[#This Row],[date]],mobile_visits[date],mobile_visits[mobile_visitors],0)</f>
        <v>0</v>
      </c>
    </row>
    <row r="1707" spans="1:9">
      <c r="A1707" s="1">
        <v>44441</v>
      </c>
      <c r="B1707">
        <v>18081</v>
      </c>
      <c r="C1707">
        <v>35607</v>
      </c>
      <c r="D1707">
        <v>22773</v>
      </c>
      <c r="E1707">
        <v>11105</v>
      </c>
      <c r="F1707">
        <v>70</v>
      </c>
      <c r="G1707" t="s">
        <v>9</v>
      </c>
      <c r="H1707" t="str" cm="1">
        <f t="array" ref="H1707">_xlfn.IFS(Grammys[[#This Row],[date]] &gt;= DATE(2022,2,1),"Grammys",TRUE,"Grammys TRA")</f>
        <v>Grammys TRA</v>
      </c>
      <c r="I1707">
        <f>_xlfn.XLOOKUP(Grammys[[#This Row],[date]],mobile_visits[date],mobile_visits[mobile_visitors],0)</f>
        <v>0</v>
      </c>
    </row>
    <row r="1708" spans="1:9">
      <c r="A1708" s="1">
        <v>44442</v>
      </c>
      <c r="B1708">
        <v>18879</v>
      </c>
      <c r="C1708">
        <v>36624</v>
      </c>
      <c r="D1708">
        <v>23725</v>
      </c>
      <c r="E1708">
        <v>11649</v>
      </c>
      <c r="F1708">
        <v>68</v>
      </c>
      <c r="G1708" t="s">
        <v>9</v>
      </c>
      <c r="H1708" t="str" cm="1">
        <f t="array" ref="H1708">_xlfn.IFS(Grammys[[#This Row],[date]] &gt;= DATE(2022,2,1),"Grammys",TRUE,"Grammys TRA")</f>
        <v>Grammys TRA</v>
      </c>
      <c r="I1708">
        <f>_xlfn.XLOOKUP(Grammys[[#This Row],[date]],mobile_visits[date],mobile_visits[mobile_visitors],0)</f>
        <v>0</v>
      </c>
    </row>
    <row r="1709" spans="1:9">
      <c r="A1709" s="1">
        <v>44443</v>
      </c>
      <c r="B1709">
        <v>16036</v>
      </c>
      <c r="C1709">
        <v>27666</v>
      </c>
      <c r="D1709">
        <v>17742</v>
      </c>
      <c r="E1709">
        <v>9022</v>
      </c>
      <c r="F1709">
        <v>72</v>
      </c>
      <c r="G1709" t="s">
        <v>9</v>
      </c>
      <c r="H1709" t="str" cm="1">
        <f t="array" ref="H1709">_xlfn.IFS(Grammys[[#This Row],[date]] &gt;= DATE(2022,2,1),"Grammys",TRUE,"Grammys TRA")</f>
        <v>Grammys TRA</v>
      </c>
      <c r="I1709">
        <f>_xlfn.XLOOKUP(Grammys[[#This Row],[date]],mobile_visits[date],mobile_visits[mobile_visitors],0)</f>
        <v>0</v>
      </c>
    </row>
    <row r="1710" spans="1:9">
      <c r="A1710" s="1">
        <v>44444</v>
      </c>
      <c r="B1710">
        <v>16062</v>
      </c>
      <c r="C1710">
        <v>28619</v>
      </c>
      <c r="D1710">
        <v>17913</v>
      </c>
      <c r="E1710">
        <v>9090</v>
      </c>
      <c r="F1710">
        <v>75</v>
      </c>
      <c r="G1710" t="s">
        <v>9</v>
      </c>
      <c r="H1710" t="str" cm="1">
        <f t="array" ref="H1710">_xlfn.IFS(Grammys[[#This Row],[date]] &gt;= DATE(2022,2,1),"Grammys",TRUE,"Grammys TRA")</f>
        <v>Grammys TRA</v>
      </c>
      <c r="I1710">
        <f>_xlfn.XLOOKUP(Grammys[[#This Row],[date]],mobile_visits[date],mobile_visits[mobile_visitors],0)</f>
        <v>0</v>
      </c>
    </row>
    <row r="1711" spans="1:9">
      <c r="A1711" s="1">
        <v>44445</v>
      </c>
      <c r="B1711">
        <v>15145</v>
      </c>
      <c r="C1711">
        <v>27159</v>
      </c>
      <c r="D1711">
        <v>16909</v>
      </c>
      <c r="E1711">
        <v>8482</v>
      </c>
      <c r="F1711">
        <v>74</v>
      </c>
      <c r="G1711" t="s">
        <v>9</v>
      </c>
      <c r="H1711" t="str" cm="1">
        <f t="array" ref="H1711">_xlfn.IFS(Grammys[[#This Row],[date]] &gt;= DATE(2022,2,1),"Grammys",TRUE,"Grammys TRA")</f>
        <v>Grammys TRA</v>
      </c>
      <c r="I1711">
        <f>_xlfn.XLOOKUP(Grammys[[#This Row],[date]],mobile_visits[date],mobile_visits[mobile_visitors],0)</f>
        <v>0</v>
      </c>
    </row>
    <row r="1712" spans="1:9">
      <c r="A1712" s="1">
        <v>44446</v>
      </c>
      <c r="B1712">
        <v>15037</v>
      </c>
      <c r="C1712">
        <v>27603</v>
      </c>
      <c r="D1712">
        <v>16876</v>
      </c>
      <c r="E1712">
        <v>8609</v>
      </c>
      <c r="F1712">
        <v>77</v>
      </c>
      <c r="G1712" t="s">
        <v>9</v>
      </c>
      <c r="H1712" t="str" cm="1">
        <f t="array" ref="H1712">_xlfn.IFS(Grammys[[#This Row],[date]] &gt;= DATE(2022,2,1),"Grammys",TRUE,"Grammys TRA")</f>
        <v>Grammys TRA</v>
      </c>
      <c r="I1712">
        <f>_xlfn.XLOOKUP(Grammys[[#This Row],[date]],mobile_visits[date],mobile_visits[mobile_visitors],0)</f>
        <v>0</v>
      </c>
    </row>
    <row r="1713" spans="1:9">
      <c r="A1713" s="1">
        <v>44447</v>
      </c>
      <c r="B1713">
        <v>15166</v>
      </c>
      <c r="C1713">
        <v>28142</v>
      </c>
      <c r="D1713">
        <v>17117</v>
      </c>
      <c r="E1713">
        <v>8638</v>
      </c>
      <c r="F1713">
        <v>81</v>
      </c>
      <c r="G1713" t="s">
        <v>9</v>
      </c>
      <c r="H1713" t="str" cm="1">
        <f t="array" ref="H1713">_xlfn.IFS(Grammys[[#This Row],[date]] &gt;= DATE(2022,2,1),"Grammys",TRUE,"Grammys TRA")</f>
        <v>Grammys TRA</v>
      </c>
      <c r="I1713">
        <f>_xlfn.XLOOKUP(Grammys[[#This Row],[date]],mobile_visits[date],mobile_visits[mobile_visitors],0)</f>
        <v>0</v>
      </c>
    </row>
    <row r="1714" spans="1:9">
      <c r="A1714" s="1">
        <v>44448</v>
      </c>
      <c r="B1714">
        <v>18827</v>
      </c>
      <c r="C1714">
        <v>32688</v>
      </c>
      <c r="D1714">
        <v>20870</v>
      </c>
      <c r="E1714">
        <v>9826</v>
      </c>
      <c r="F1714">
        <v>103</v>
      </c>
      <c r="G1714" t="s">
        <v>9</v>
      </c>
      <c r="H1714" t="str" cm="1">
        <f t="array" ref="H1714">_xlfn.IFS(Grammys[[#This Row],[date]] &gt;= DATE(2022,2,1),"Grammys",TRUE,"Grammys TRA")</f>
        <v>Grammys TRA</v>
      </c>
      <c r="I1714">
        <f>_xlfn.XLOOKUP(Grammys[[#This Row],[date]],mobile_visits[date],mobile_visits[mobile_visitors],0)</f>
        <v>0</v>
      </c>
    </row>
    <row r="1715" spans="1:9">
      <c r="A1715" s="1">
        <v>44449</v>
      </c>
      <c r="B1715">
        <v>19193</v>
      </c>
      <c r="C1715">
        <v>32630</v>
      </c>
      <c r="D1715">
        <v>21030</v>
      </c>
      <c r="E1715">
        <v>10217</v>
      </c>
      <c r="F1715">
        <v>86</v>
      </c>
      <c r="G1715" t="s">
        <v>9</v>
      </c>
      <c r="H1715" t="str" cm="1">
        <f t="array" ref="H1715">_xlfn.IFS(Grammys[[#This Row],[date]] &gt;= DATE(2022,2,1),"Grammys",TRUE,"Grammys TRA")</f>
        <v>Grammys TRA</v>
      </c>
      <c r="I1715">
        <f>_xlfn.XLOOKUP(Grammys[[#This Row],[date]],mobile_visits[date],mobile_visits[mobile_visitors],0)</f>
        <v>0</v>
      </c>
    </row>
    <row r="1716" spans="1:9">
      <c r="A1716" s="1">
        <v>44450</v>
      </c>
      <c r="B1716">
        <v>22657</v>
      </c>
      <c r="C1716">
        <v>36628</v>
      </c>
      <c r="D1716">
        <v>24550</v>
      </c>
      <c r="E1716">
        <v>9931</v>
      </c>
      <c r="F1716">
        <v>79</v>
      </c>
      <c r="G1716" t="s">
        <v>9</v>
      </c>
      <c r="H1716" t="str" cm="1">
        <f t="array" ref="H1716">_xlfn.IFS(Grammys[[#This Row],[date]] &gt;= DATE(2022,2,1),"Grammys",TRUE,"Grammys TRA")</f>
        <v>Grammys TRA</v>
      </c>
      <c r="I1716">
        <f>_xlfn.XLOOKUP(Grammys[[#This Row],[date]],mobile_visits[date],mobile_visits[mobile_visitors],0)</f>
        <v>0</v>
      </c>
    </row>
    <row r="1717" spans="1:9">
      <c r="A1717" s="1">
        <v>44451</v>
      </c>
      <c r="B1717">
        <v>20248</v>
      </c>
      <c r="C1717">
        <v>33080</v>
      </c>
      <c r="D1717">
        <v>21195</v>
      </c>
      <c r="E1717">
        <v>9835</v>
      </c>
      <c r="F1717">
        <v>83</v>
      </c>
      <c r="G1717" t="s">
        <v>9</v>
      </c>
      <c r="H1717" t="str" cm="1">
        <f t="array" ref="H1717">_xlfn.IFS(Grammys[[#This Row],[date]] &gt;= DATE(2022,2,1),"Grammys",TRUE,"Grammys TRA")</f>
        <v>Grammys TRA</v>
      </c>
      <c r="I1717">
        <f>_xlfn.XLOOKUP(Grammys[[#This Row],[date]],mobile_visits[date],mobile_visits[mobile_visitors],0)</f>
        <v>0</v>
      </c>
    </row>
    <row r="1718" spans="1:9">
      <c r="A1718" s="1">
        <v>44452</v>
      </c>
      <c r="B1718">
        <v>19666</v>
      </c>
      <c r="C1718">
        <v>34798</v>
      </c>
      <c r="D1718">
        <v>21017</v>
      </c>
      <c r="E1718">
        <v>11030</v>
      </c>
      <c r="F1718">
        <v>80</v>
      </c>
      <c r="G1718" t="s">
        <v>9</v>
      </c>
      <c r="H1718" t="str" cm="1">
        <f t="array" ref="H1718">_xlfn.IFS(Grammys[[#This Row],[date]] &gt;= DATE(2022,2,1),"Grammys",TRUE,"Grammys TRA")</f>
        <v>Grammys TRA</v>
      </c>
      <c r="I1718">
        <f>_xlfn.XLOOKUP(Grammys[[#This Row],[date]],mobile_visits[date],mobile_visits[mobile_visitors],0)</f>
        <v>0</v>
      </c>
    </row>
    <row r="1719" spans="1:9">
      <c r="A1719" s="1">
        <v>44453</v>
      </c>
      <c r="B1719">
        <v>16815</v>
      </c>
      <c r="C1719">
        <v>29580</v>
      </c>
      <c r="D1719">
        <v>17797</v>
      </c>
      <c r="E1719">
        <v>9264</v>
      </c>
      <c r="F1719">
        <v>84</v>
      </c>
      <c r="G1719" t="s">
        <v>9</v>
      </c>
      <c r="H1719" t="str" cm="1">
        <f t="array" ref="H1719">_xlfn.IFS(Grammys[[#This Row],[date]] &gt;= DATE(2022,2,1),"Grammys",TRUE,"Grammys TRA")</f>
        <v>Grammys TRA</v>
      </c>
      <c r="I1719">
        <f>_xlfn.XLOOKUP(Grammys[[#This Row],[date]],mobile_visits[date],mobile_visits[mobile_visitors],0)</f>
        <v>0</v>
      </c>
    </row>
    <row r="1720" spans="1:9">
      <c r="A1720" s="1">
        <v>44454</v>
      </c>
      <c r="B1720">
        <v>16867</v>
      </c>
      <c r="C1720">
        <v>29587</v>
      </c>
      <c r="D1720">
        <v>17999</v>
      </c>
      <c r="E1720">
        <v>8923</v>
      </c>
      <c r="F1720">
        <v>93</v>
      </c>
      <c r="G1720" t="s">
        <v>9</v>
      </c>
      <c r="H1720" t="str" cm="1">
        <f t="array" ref="H1720">_xlfn.IFS(Grammys[[#This Row],[date]] &gt;= DATE(2022,2,1),"Grammys",TRUE,"Grammys TRA")</f>
        <v>Grammys TRA</v>
      </c>
      <c r="I1720">
        <f>_xlfn.XLOOKUP(Grammys[[#This Row],[date]],mobile_visits[date],mobile_visits[mobile_visitors],0)</f>
        <v>0</v>
      </c>
    </row>
    <row r="1721" spans="1:9">
      <c r="A1721" s="1">
        <v>44455</v>
      </c>
      <c r="B1721">
        <v>19693</v>
      </c>
      <c r="C1721">
        <v>33949</v>
      </c>
      <c r="D1721">
        <v>20832</v>
      </c>
      <c r="E1721">
        <v>9596</v>
      </c>
      <c r="F1721">
        <v>98</v>
      </c>
      <c r="G1721" t="s">
        <v>9</v>
      </c>
      <c r="H1721" t="str" cm="1">
        <f t="array" ref="H1721">_xlfn.IFS(Grammys[[#This Row],[date]] &gt;= DATE(2022,2,1),"Grammys",TRUE,"Grammys TRA")</f>
        <v>Grammys TRA</v>
      </c>
      <c r="I1721">
        <f>_xlfn.XLOOKUP(Grammys[[#This Row],[date]],mobile_visits[date],mobile_visits[mobile_visitors],0)</f>
        <v>0</v>
      </c>
    </row>
    <row r="1722" spans="1:9">
      <c r="A1722" s="1">
        <v>44456</v>
      </c>
      <c r="B1722">
        <v>16678</v>
      </c>
      <c r="C1722">
        <v>28797</v>
      </c>
      <c r="D1722">
        <v>17755</v>
      </c>
      <c r="E1722">
        <v>8672</v>
      </c>
      <c r="F1722">
        <v>95</v>
      </c>
      <c r="G1722" t="s">
        <v>9</v>
      </c>
      <c r="H1722" t="str" cm="1">
        <f t="array" ref="H1722">_xlfn.IFS(Grammys[[#This Row],[date]] &gt;= DATE(2022,2,1),"Grammys",TRUE,"Grammys TRA")</f>
        <v>Grammys TRA</v>
      </c>
      <c r="I1722">
        <f>_xlfn.XLOOKUP(Grammys[[#This Row],[date]],mobile_visits[date],mobile_visits[mobile_visitors],0)</f>
        <v>0</v>
      </c>
    </row>
    <row r="1723" spans="1:9">
      <c r="A1723" s="1">
        <v>44457</v>
      </c>
      <c r="B1723">
        <v>14161</v>
      </c>
      <c r="C1723">
        <v>24550</v>
      </c>
      <c r="D1723">
        <v>15187</v>
      </c>
      <c r="E1723">
        <v>7702</v>
      </c>
      <c r="F1723">
        <v>90</v>
      </c>
      <c r="G1723" t="s">
        <v>9</v>
      </c>
      <c r="H1723" t="str" cm="1">
        <f t="array" ref="H1723">_xlfn.IFS(Grammys[[#This Row],[date]] &gt;= DATE(2022,2,1),"Grammys",TRUE,"Grammys TRA")</f>
        <v>Grammys TRA</v>
      </c>
      <c r="I1723">
        <f>_xlfn.XLOOKUP(Grammys[[#This Row],[date]],mobile_visits[date],mobile_visits[mobile_visitors],0)</f>
        <v>0</v>
      </c>
    </row>
    <row r="1724" spans="1:9">
      <c r="A1724" s="1">
        <v>44458</v>
      </c>
      <c r="B1724">
        <v>17310</v>
      </c>
      <c r="C1724">
        <v>29350</v>
      </c>
      <c r="D1724">
        <v>18447</v>
      </c>
      <c r="E1724">
        <v>9766</v>
      </c>
      <c r="F1724">
        <v>76</v>
      </c>
      <c r="G1724" t="s">
        <v>9</v>
      </c>
      <c r="H1724" t="str" cm="1">
        <f t="array" ref="H1724">_xlfn.IFS(Grammys[[#This Row],[date]] &gt;= DATE(2022,2,1),"Grammys",TRUE,"Grammys TRA")</f>
        <v>Grammys TRA</v>
      </c>
      <c r="I1724">
        <f>_xlfn.XLOOKUP(Grammys[[#This Row],[date]],mobile_visits[date],mobile_visits[mobile_visitors],0)</f>
        <v>0</v>
      </c>
    </row>
    <row r="1725" spans="1:9">
      <c r="A1725" s="1">
        <v>44459</v>
      </c>
      <c r="B1725">
        <v>18045</v>
      </c>
      <c r="C1725">
        <v>32283</v>
      </c>
      <c r="D1725">
        <v>19162</v>
      </c>
      <c r="E1725">
        <v>10087</v>
      </c>
      <c r="F1725">
        <v>77</v>
      </c>
      <c r="G1725" t="s">
        <v>9</v>
      </c>
      <c r="H1725" t="str" cm="1">
        <f t="array" ref="H1725">_xlfn.IFS(Grammys[[#This Row],[date]] &gt;= DATE(2022,2,1),"Grammys",TRUE,"Grammys TRA")</f>
        <v>Grammys TRA</v>
      </c>
      <c r="I1725">
        <f>_xlfn.XLOOKUP(Grammys[[#This Row],[date]],mobile_visits[date],mobile_visits[mobile_visitors],0)</f>
        <v>0</v>
      </c>
    </row>
    <row r="1726" spans="1:9">
      <c r="A1726" s="1">
        <v>44460</v>
      </c>
      <c r="B1726">
        <v>21301</v>
      </c>
      <c r="C1726">
        <v>38478</v>
      </c>
      <c r="D1726">
        <v>22986</v>
      </c>
      <c r="E1726">
        <v>10287</v>
      </c>
      <c r="F1726">
        <v>103</v>
      </c>
      <c r="G1726" t="s">
        <v>9</v>
      </c>
      <c r="H1726" t="str" cm="1">
        <f t="array" ref="H1726">_xlfn.IFS(Grammys[[#This Row],[date]] &gt;= DATE(2022,2,1),"Grammys",TRUE,"Grammys TRA")</f>
        <v>Grammys TRA</v>
      </c>
      <c r="I1726">
        <f>_xlfn.XLOOKUP(Grammys[[#This Row],[date]],mobile_visits[date],mobile_visits[mobile_visitors],0)</f>
        <v>0</v>
      </c>
    </row>
    <row r="1727" spans="1:9">
      <c r="A1727" s="1">
        <v>44461</v>
      </c>
      <c r="B1727">
        <v>19614</v>
      </c>
      <c r="C1727">
        <v>33573</v>
      </c>
      <c r="D1727">
        <v>20770</v>
      </c>
      <c r="E1727">
        <v>9119</v>
      </c>
      <c r="F1727">
        <v>90</v>
      </c>
      <c r="G1727" t="s">
        <v>9</v>
      </c>
      <c r="H1727" t="str" cm="1">
        <f t="array" ref="H1727">_xlfn.IFS(Grammys[[#This Row],[date]] &gt;= DATE(2022,2,1),"Grammys",TRUE,"Grammys TRA")</f>
        <v>Grammys TRA</v>
      </c>
      <c r="I1727">
        <f>_xlfn.XLOOKUP(Grammys[[#This Row],[date]],mobile_visits[date],mobile_visits[mobile_visitors],0)</f>
        <v>0</v>
      </c>
    </row>
    <row r="1728" spans="1:9">
      <c r="A1728" s="1">
        <v>44462</v>
      </c>
      <c r="B1728">
        <v>19326</v>
      </c>
      <c r="C1728">
        <v>33634</v>
      </c>
      <c r="D1728">
        <v>20648</v>
      </c>
      <c r="E1728">
        <v>9670</v>
      </c>
      <c r="F1728">
        <v>82</v>
      </c>
      <c r="G1728" t="s">
        <v>9</v>
      </c>
      <c r="H1728" t="str" cm="1">
        <f t="array" ref="H1728">_xlfn.IFS(Grammys[[#This Row],[date]] &gt;= DATE(2022,2,1),"Grammys",TRUE,"Grammys TRA")</f>
        <v>Grammys TRA</v>
      </c>
      <c r="I1728">
        <f>_xlfn.XLOOKUP(Grammys[[#This Row],[date]],mobile_visits[date],mobile_visits[mobile_visitors],0)</f>
        <v>0</v>
      </c>
    </row>
    <row r="1729" spans="1:9">
      <c r="A1729" s="1">
        <v>44463</v>
      </c>
      <c r="B1729">
        <v>15827</v>
      </c>
      <c r="C1729">
        <v>28007</v>
      </c>
      <c r="D1729">
        <v>16827</v>
      </c>
      <c r="E1729">
        <v>8611</v>
      </c>
      <c r="F1729">
        <v>84</v>
      </c>
      <c r="G1729" t="s">
        <v>9</v>
      </c>
      <c r="H1729" t="str" cm="1">
        <f t="array" ref="H1729">_xlfn.IFS(Grammys[[#This Row],[date]] &gt;= DATE(2022,2,1),"Grammys",TRUE,"Grammys TRA")</f>
        <v>Grammys TRA</v>
      </c>
      <c r="I1729">
        <f>_xlfn.XLOOKUP(Grammys[[#This Row],[date]],mobile_visits[date],mobile_visits[mobile_visitors],0)</f>
        <v>0</v>
      </c>
    </row>
    <row r="1730" spans="1:9">
      <c r="A1730" s="1">
        <v>44464</v>
      </c>
      <c r="B1730">
        <v>13583</v>
      </c>
      <c r="C1730">
        <v>23427</v>
      </c>
      <c r="D1730">
        <v>14559</v>
      </c>
      <c r="E1730">
        <v>7718</v>
      </c>
      <c r="F1730">
        <v>78</v>
      </c>
      <c r="G1730" t="s">
        <v>9</v>
      </c>
      <c r="H1730" t="str" cm="1">
        <f t="array" ref="H1730">_xlfn.IFS(Grammys[[#This Row],[date]] &gt;= DATE(2022,2,1),"Grammys",TRUE,"Grammys TRA")</f>
        <v>Grammys TRA</v>
      </c>
      <c r="I1730">
        <f>_xlfn.XLOOKUP(Grammys[[#This Row],[date]],mobile_visits[date],mobile_visits[mobile_visitors],0)</f>
        <v>0</v>
      </c>
    </row>
    <row r="1731" spans="1:9">
      <c r="A1731" s="1">
        <v>44465</v>
      </c>
      <c r="B1731">
        <v>13471</v>
      </c>
      <c r="C1731">
        <v>22886</v>
      </c>
      <c r="D1731">
        <v>14372</v>
      </c>
      <c r="E1731">
        <v>7836</v>
      </c>
      <c r="F1731">
        <v>79</v>
      </c>
      <c r="G1731" t="s">
        <v>9</v>
      </c>
      <c r="H1731" t="str" cm="1">
        <f t="array" ref="H1731">_xlfn.IFS(Grammys[[#This Row],[date]] &gt;= DATE(2022,2,1),"Grammys",TRUE,"Grammys TRA")</f>
        <v>Grammys TRA</v>
      </c>
      <c r="I1731">
        <f>_xlfn.XLOOKUP(Grammys[[#This Row],[date]],mobile_visits[date],mobile_visits[mobile_visitors],0)</f>
        <v>0</v>
      </c>
    </row>
    <row r="1732" spans="1:9">
      <c r="A1732" s="1">
        <v>44466</v>
      </c>
      <c r="B1732">
        <v>14412</v>
      </c>
      <c r="C1732">
        <v>26086</v>
      </c>
      <c r="D1732">
        <v>15421</v>
      </c>
      <c r="E1732">
        <v>8046</v>
      </c>
      <c r="F1732">
        <v>87</v>
      </c>
      <c r="G1732" t="s">
        <v>9</v>
      </c>
      <c r="H1732" t="str" cm="1">
        <f t="array" ref="H1732">_xlfn.IFS(Grammys[[#This Row],[date]] &gt;= DATE(2022,2,1),"Grammys",TRUE,"Grammys TRA")</f>
        <v>Grammys TRA</v>
      </c>
      <c r="I1732">
        <f>_xlfn.XLOOKUP(Grammys[[#This Row],[date]],mobile_visits[date],mobile_visits[mobile_visitors],0)</f>
        <v>0</v>
      </c>
    </row>
    <row r="1733" spans="1:9">
      <c r="A1733" s="1">
        <v>44467</v>
      </c>
      <c r="B1733">
        <v>22086</v>
      </c>
      <c r="C1733">
        <v>38685</v>
      </c>
      <c r="D1733">
        <v>23551</v>
      </c>
      <c r="E1733">
        <v>11025</v>
      </c>
      <c r="F1733">
        <v>79</v>
      </c>
      <c r="G1733" t="s">
        <v>9</v>
      </c>
      <c r="H1733" t="str" cm="1">
        <f t="array" ref="H1733">_xlfn.IFS(Grammys[[#This Row],[date]] &gt;= DATE(2022,2,1),"Grammys",TRUE,"Grammys TRA")</f>
        <v>Grammys TRA</v>
      </c>
      <c r="I1733">
        <f>_xlfn.XLOOKUP(Grammys[[#This Row],[date]],mobile_visits[date],mobile_visits[mobile_visitors],0)</f>
        <v>0</v>
      </c>
    </row>
    <row r="1734" spans="1:9">
      <c r="A1734" s="1">
        <v>44468</v>
      </c>
      <c r="B1734">
        <v>26596</v>
      </c>
      <c r="C1734">
        <v>49236</v>
      </c>
      <c r="D1734">
        <v>28143</v>
      </c>
      <c r="E1734">
        <v>13914</v>
      </c>
      <c r="F1734">
        <v>80</v>
      </c>
      <c r="G1734" t="s">
        <v>9</v>
      </c>
      <c r="H1734" t="str" cm="1">
        <f t="array" ref="H1734">_xlfn.IFS(Grammys[[#This Row],[date]] &gt;= DATE(2022,2,1),"Grammys",TRUE,"Grammys TRA")</f>
        <v>Grammys TRA</v>
      </c>
      <c r="I1734">
        <f>_xlfn.XLOOKUP(Grammys[[#This Row],[date]],mobile_visits[date],mobile_visits[mobile_visitors],0)</f>
        <v>0</v>
      </c>
    </row>
    <row r="1735" spans="1:9">
      <c r="A1735" s="1">
        <v>44469</v>
      </c>
      <c r="B1735">
        <v>23019</v>
      </c>
      <c r="C1735">
        <v>40690</v>
      </c>
      <c r="D1735">
        <v>24589</v>
      </c>
      <c r="E1735">
        <v>13210</v>
      </c>
      <c r="F1735">
        <v>82</v>
      </c>
      <c r="G1735" t="s">
        <v>9</v>
      </c>
      <c r="H1735" t="str" cm="1">
        <f t="array" ref="H1735">_xlfn.IFS(Grammys[[#This Row],[date]] &gt;= DATE(2022,2,1),"Grammys",TRUE,"Grammys TRA")</f>
        <v>Grammys TRA</v>
      </c>
      <c r="I1735">
        <f>_xlfn.XLOOKUP(Grammys[[#This Row],[date]],mobile_visits[date],mobile_visits[mobile_visitors],0)</f>
        <v>0</v>
      </c>
    </row>
    <row r="1736" spans="1:9">
      <c r="A1736" s="1">
        <v>44470</v>
      </c>
      <c r="B1736">
        <v>16866</v>
      </c>
      <c r="C1736">
        <v>29437</v>
      </c>
      <c r="D1736">
        <v>18062</v>
      </c>
      <c r="E1736">
        <v>9660</v>
      </c>
      <c r="F1736">
        <v>81</v>
      </c>
      <c r="G1736" t="s">
        <v>9</v>
      </c>
      <c r="H1736" t="str" cm="1">
        <f t="array" ref="H1736">_xlfn.IFS(Grammys[[#This Row],[date]] &gt;= DATE(2022,2,1),"Grammys",TRUE,"Grammys TRA")</f>
        <v>Grammys TRA</v>
      </c>
      <c r="I1736">
        <f>_xlfn.XLOOKUP(Grammys[[#This Row],[date]],mobile_visits[date],mobile_visits[mobile_visitors],0)</f>
        <v>0</v>
      </c>
    </row>
    <row r="1737" spans="1:9">
      <c r="A1737" s="1">
        <v>44471</v>
      </c>
      <c r="B1737">
        <v>14354</v>
      </c>
      <c r="C1737">
        <v>25539</v>
      </c>
      <c r="D1737">
        <v>15426</v>
      </c>
      <c r="E1737">
        <v>8298</v>
      </c>
      <c r="F1737">
        <v>86</v>
      </c>
      <c r="G1737" t="s">
        <v>9</v>
      </c>
      <c r="H1737" t="str" cm="1">
        <f t="array" ref="H1737">_xlfn.IFS(Grammys[[#This Row],[date]] &gt;= DATE(2022,2,1),"Grammys",TRUE,"Grammys TRA")</f>
        <v>Grammys TRA</v>
      </c>
      <c r="I1737">
        <f>_xlfn.XLOOKUP(Grammys[[#This Row],[date]],mobile_visits[date],mobile_visits[mobile_visitors],0)</f>
        <v>0</v>
      </c>
    </row>
    <row r="1738" spans="1:9">
      <c r="A1738" s="1">
        <v>44472</v>
      </c>
      <c r="B1738">
        <v>13973</v>
      </c>
      <c r="C1738">
        <v>25036</v>
      </c>
      <c r="D1738">
        <v>14979</v>
      </c>
      <c r="E1738">
        <v>8213</v>
      </c>
      <c r="F1738">
        <v>90</v>
      </c>
      <c r="G1738" t="s">
        <v>9</v>
      </c>
      <c r="H1738" t="str" cm="1">
        <f t="array" ref="H1738">_xlfn.IFS(Grammys[[#This Row],[date]] &gt;= DATE(2022,2,1),"Grammys",TRUE,"Grammys TRA")</f>
        <v>Grammys TRA</v>
      </c>
      <c r="I1738">
        <f>_xlfn.XLOOKUP(Grammys[[#This Row],[date]],mobile_visits[date],mobile_visits[mobile_visitors],0)</f>
        <v>0</v>
      </c>
    </row>
    <row r="1739" spans="1:9">
      <c r="A1739" s="1">
        <v>44473</v>
      </c>
      <c r="B1739">
        <v>14434</v>
      </c>
      <c r="C1739">
        <v>26259</v>
      </c>
      <c r="D1739">
        <v>15405</v>
      </c>
      <c r="E1739">
        <v>8273</v>
      </c>
      <c r="F1739">
        <v>86</v>
      </c>
      <c r="G1739" t="s">
        <v>9</v>
      </c>
      <c r="H1739" t="str" cm="1">
        <f t="array" ref="H1739">_xlfn.IFS(Grammys[[#This Row],[date]] &gt;= DATE(2022,2,1),"Grammys",TRUE,"Grammys TRA")</f>
        <v>Grammys TRA</v>
      </c>
      <c r="I1739">
        <f>_xlfn.XLOOKUP(Grammys[[#This Row],[date]],mobile_visits[date],mobile_visits[mobile_visitors],0)</f>
        <v>0</v>
      </c>
    </row>
    <row r="1740" spans="1:9">
      <c r="A1740" s="1">
        <v>44474</v>
      </c>
      <c r="B1740">
        <v>17627</v>
      </c>
      <c r="C1740">
        <v>33093</v>
      </c>
      <c r="D1740">
        <v>18963</v>
      </c>
      <c r="E1740">
        <v>10155</v>
      </c>
      <c r="F1740">
        <v>86</v>
      </c>
      <c r="G1740" t="s">
        <v>9</v>
      </c>
      <c r="H1740" t="str" cm="1">
        <f t="array" ref="H1740">_xlfn.IFS(Grammys[[#This Row],[date]] &gt;= DATE(2022,2,1),"Grammys",TRUE,"Grammys TRA")</f>
        <v>Grammys TRA</v>
      </c>
      <c r="I1740">
        <f>_xlfn.XLOOKUP(Grammys[[#This Row],[date]],mobile_visits[date],mobile_visits[mobile_visitors],0)</f>
        <v>0</v>
      </c>
    </row>
    <row r="1741" spans="1:9">
      <c r="A1741" s="1">
        <v>44475</v>
      </c>
      <c r="B1741">
        <v>16252</v>
      </c>
      <c r="C1741">
        <v>30017</v>
      </c>
      <c r="D1741">
        <v>17451</v>
      </c>
      <c r="E1741">
        <v>9112</v>
      </c>
      <c r="F1741">
        <v>87</v>
      </c>
      <c r="G1741" t="s">
        <v>9</v>
      </c>
      <c r="H1741" t="str" cm="1">
        <f t="array" ref="H1741">_xlfn.IFS(Grammys[[#This Row],[date]] &gt;= DATE(2022,2,1),"Grammys",TRUE,"Grammys TRA")</f>
        <v>Grammys TRA</v>
      </c>
      <c r="I1741">
        <f>_xlfn.XLOOKUP(Grammys[[#This Row],[date]],mobile_visits[date],mobile_visits[mobile_visitors],0)</f>
        <v>0</v>
      </c>
    </row>
    <row r="1742" spans="1:9">
      <c r="A1742" s="1">
        <v>44476</v>
      </c>
      <c r="B1742">
        <v>15260</v>
      </c>
      <c r="C1742">
        <v>27328</v>
      </c>
      <c r="D1742">
        <v>16395</v>
      </c>
      <c r="E1742">
        <v>8516</v>
      </c>
      <c r="F1742">
        <v>90</v>
      </c>
      <c r="G1742" t="s">
        <v>9</v>
      </c>
      <c r="H1742" t="str" cm="1">
        <f t="array" ref="H1742">_xlfn.IFS(Grammys[[#This Row],[date]] &gt;= DATE(2022,2,1),"Grammys",TRUE,"Grammys TRA")</f>
        <v>Grammys TRA</v>
      </c>
      <c r="I1742">
        <f>_xlfn.XLOOKUP(Grammys[[#This Row],[date]],mobile_visits[date],mobile_visits[mobile_visitors],0)</f>
        <v>0</v>
      </c>
    </row>
    <row r="1743" spans="1:9">
      <c r="A1743" s="1">
        <v>44477</v>
      </c>
      <c r="B1743">
        <v>14434</v>
      </c>
      <c r="C1743">
        <v>25515</v>
      </c>
      <c r="D1743">
        <v>15469</v>
      </c>
      <c r="E1743">
        <v>8120</v>
      </c>
      <c r="F1743">
        <v>87</v>
      </c>
      <c r="G1743" t="s">
        <v>9</v>
      </c>
      <c r="H1743" t="str" cm="1">
        <f t="array" ref="H1743">_xlfn.IFS(Grammys[[#This Row],[date]] &gt;= DATE(2022,2,1),"Grammys",TRUE,"Grammys TRA")</f>
        <v>Grammys TRA</v>
      </c>
      <c r="I1743">
        <f>_xlfn.XLOOKUP(Grammys[[#This Row],[date]],mobile_visits[date],mobile_visits[mobile_visitors],0)</f>
        <v>0</v>
      </c>
    </row>
    <row r="1744" spans="1:9">
      <c r="A1744" s="1">
        <v>44478</v>
      </c>
      <c r="B1744">
        <v>12803</v>
      </c>
      <c r="C1744">
        <v>22116</v>
      </c>
      <c r="D1744">
        <v>13559</v>
      </c>
      <c r="E1744">
        <v>7236</v>
      </c>
      <c r="F1744">
        <v>84</v>
      </c>
      <c r="G1744" t="s">
        <v>9</v>
      </c>
      <c r="H1744" t="str" cm="1">
        <f t="array" ref="H1744">_xlfn.IFS(Grammys[[#This Row],[date]] &gt;= DATE(2022,2,1),"Grammys",TRUE,"Grammys TRA")</f>
        <v>Grammys TRA</v>
      </c>
      <c r="I1744">
        <f>_xlfn.XLOOKUP(Grammys[[#This Row],[date]],mobile_visits[date],mobile_visits[mobile_visitors],0)</f>
        <v>0</v>
      </c>
    </row>
    <row r="1745" spans="1:9">
      <c r="A1745" s="1">
        <v>44479</v>
      </c>
      <c r="B1745">
        <v>13880</v>
      </c>
      <c r="C1745">
        <v>23723</v>
      </c>
      <c r="D1745">
        <v>14773</v>
      </c>
      <c r="E1745">
        <v>7446</v>
      </c>
      <c r="F1745">
        <v>88</v>
      </c>
      <c r="G1745" t="s">
        <v>9</v>
      </c>
      <c r="H1745" t="str" cm="1">
        <f t="array" ref="H1745">_xlfn.IFS(Grammys[[#This Row],[date]] &gt;= DATE(2022,2,1),"Grammys",TRUE,"Grammys TRA")</f>
        <v>Grammys TRA</v>
      </c>
      <c r="I1745">
        <f>_xlfn.XLOOKUP(Grammys[[#This Row],[date]],mobile_visits[date],mobile_visits[mobile_visitors],0)</f>
        <v>0</v>
      </c>
    </row>
    <row r="1746" spans="1:9">
      <c r="A1746" s="1">
        <v>44480</v>
      </c>
      <c r="B1746">
        <v>12727</v>
      </c>
      <c r="C1746">
        <v>23469</v>
      </c>
      <c r="D1746">
        <v>13862</v>
      </c>
      <c r="E1746">
        <v>7292</v>
      </c>
      <c r="F1746">
        <v>96</v>
      </c>
      <c r="G1746" t="s">
        <v>9</v>
      </c>
      <c r="H1746" t="str" cm="1">
        <f t="array" ref="H1746">_xlfn.IFS(Grammys[[#This Row],[date]] &gt;= DATE(2022,2,1),"Grammys",TRUE,"Grammys TRA")</f>
        <v>Grammys TRA</v>
      </c>
      <c r="I1746">
        <f>_xlfn.XLOOKUP(Grammys[[#This Row],[date]],mobile_visits[date],mobile_visits[mobile_visitors],0)</f>
        <v>0</v>
      </c>
    </row>
    <row r="1747" spans="1:9">
      <c r="A1747" s="1">
        <v>44481</v>
      </c>
      <c r="B1747">
        <v>13186</v>
      </c>
      <c r="C1747">
        <v>23689</v>
      </c>
      <c r="D1747">
        <v>14214</v>
      </c>
      <c r="E1747">
        <v>7467</v>
      </c>
      <c r="F1747">
        <v>90</v>
      </c>
      <c r="G1747" t="s">
        <v>9</v>
      </c>
      <c r="H1747" t="str" cm="1">
        <f t="array" ref="H1747">_xlfn.IFS(Grammys[[#This Row],[date]] &gt;= DATE(2022,2,1),"Grammys",TRUE,"Grammys TRA")</f>
        <v>Grammys TRA</v>
      </c>
      <c r="I1747">
        <f>_xlfn.XLOOKUP(Grammys[[#This Row],[date]],mobile_visits[date],mobile_visits[mobile_visitors],0)</f>
        <v>0</v>
      </c>
    </row>
    <row r="1748" spans="1:9">
      <c r="A1748" s="1">
        <v>44482</v>
      </c>
      <c r="B1748">
        <v>14952</v>
      </c>
      <c r="C1748">
        <v>27160</v>
      </c>
      <c r="D1748">
        <v>16145</v>
      </c>
      <c r="E1748">
        <v>8083</v>
      </c>
      <c r="F1748">
        <v>95</v>
      </c>
      <c r="G1748" t="s">
        <v>9</v>
      </c>
      <c r="H1748" t="str" cm="1">
        <f t="array" ref="H1748">_xlfn.IFS(Grammys[[#This Row],[date]] &gt;= DATE(2022,2,1),"Grammys",TRUE,"Grammys TRA")</f>
        <v>Grammys TRA</v>
      </c>
      <c r="I1748">
        <f>_xlfn.XLOOKUP(Grammys[[#This Row],[date]],mobile_visits[date],mobile_visits[mobile_visitors],0)</f>
        <v>0</v>
      </c>
    </row>
    <row r="1749" spans="1:9">
      <c r="A1749" s="1">
        <v>44483</v>
      </c>
      <c r="B1749">
        <v>16416</v>
      </c>
      <c r="C1749">
        <v>28787</v>
      </c>
      <c r="D1749">
        <v>17677</v>
      </c>
      <c r="E1749">
        <v>8793</v>
      </c>
      <c r="F1749">
        <v>89</v>
      </c>
      <c r="G1749" t="s">
        <v>9</v>
      </c>
      <c r="H1749" t="str" cm="1">
        <f t="array" ref="H1749">_xlfn.IFS(Grammys[[#This Row],[date]] &gt;= DATE(2022,2,1),"Grammys",TRUE,"Grammys TRA")</f>
        <v>Grammys TRA</v>
      </c>
      <c r="I1749">
        <f>_xlfn.XLOOKUP(Grammys[[#This Row],[date]],mobile_visits[date],mobile_visits[mobile_visitors],0)</f>
        <v>0</v>
      </c>
    </row>
    <row r="1750" spans="1:9">
      <c r="A1750" s="1">
        <v>44484</v>
      </c>
      <c r="B1750">
        <v>16848</v>
      </c>
      <c r="C1750">
        <v>29659</v>
      </c>
      <c r="D1750">
        <v>18037</v>
      </c>
      <c r="E1750">
        <v>8806</v>
      </c>
      <c r="F1750">
        <v>84</v>
      </c>
      <c r="G1750" t="s">
        <v>9</v>
      </c>
      <c r="H1750" t="str" cm="1">
        <f t="array" ref="H1750">_xlfn.IFS(Grammys[[#This Row],[date]] &gt;= DATE(2022,2,1),"Grammys",TRUE,"Grammys TRA")</f>
        <v>Grammys TRA</v>
      </c>
      <c r="I1750">
        <f>_xlfn.XLOOKUP(Grammys[[#This Row],[date]],mobile_visits[date],mobile_visits[mobile_visitors],0)</f>
        <v>0</v>
      </c>
    </row>
    <row r="1751" spans="1:9">
      <c r="A1751" s="1">
        <v>44485</v>
      </c>
      <c r="B1751">
        <v>14601</v>
      </c>
      <c r="C1751">
        <v>25070</v>
      </c>
      <c r="D1751">
        <v>15522</v>
      </c>
      <c r="E1751">
        <v>7765</v>
      </c>
      <c r="F1751">
        <v>84</v>
      </c>
      <c r="G1751" t="s">
        <v>9</v>
      </c>
      <c r="H1751" t="str" cm="1">
        <f t="array" ref="H1751">_xlfn.IFS(Grammys[[#This Row],[date]] &gt;= DATE(2022,2,1),"Grammys",TRUE,"Grammys TRA")</f>
        <v>Grammys TRA</v>
      </c>
      <c r="I1751">
        <f>_xlfn.XLOOKUP(Grammys[[#This Row],[date]],mobile_visits[date],mobile_visits[mobile_visitors],0)</f>
        <v>0</v>
      </c>
    </row>
    <row r="1752" spans="1:9">
      <c r="A1752" s="1">
        <v>44486</v>
      </c>
      <c r="B1752">
        <v>14385</v>
      </c>
      <c r="C1752">
        <v>28575</v>
      </c>
      <c r="D1752">
        <v>15324</v>
      </c>
      <c r="E1752">
        <v>7662</v>
      </c>
      <c r="F1752">
        <v>83</v>
      </c>
      <c r="G1752" t="s">
        <v>9</v>
      </c>
      <c r="H1752" t="str" cm="1">
        <f t="array" ref="H1752">_xlfn.IFS(Grammys[[#This Row],[date]] &gt;= DATE(2022,2,1),"Grammys",TRUE,"Grammys TRA")</f>
        <v>Grammys TRA</v>
      </c>
      <c r="I1752">
        <f>_xlfn.XLOOKUP(Grammys[[#This Row],[date]],mobile_visits[date],mobile_visits[mobile_visitors],0)</f>
        <v>0</v>
      </c>
    </row>
    <row r="1753" spans="1:9">
      <c r="A1753" s="1">
        <v>44487</v>
      </c>
      <c r="B1753">
        <v>13828</v>
      </c>
      <c r="C1753">
        <v>25133</v>
      </c>
      <c r="D1753">
        <v>14918</v>
      </c>
      <c r="E1753">
        <v>7543</v>
      </c>
      <c r="F1753">
        <v>89</v>
      </c>
      <c r="G1753" t="s">
        <v>9</v>
      </c>
      <c r="H1753" t="str" cm="1">
        <f t="array" ref="H1753">_xlfn.IFS(Grammys[[#This Row],[date]] &gt;= DATE(2022,2,1),"Grammys",TRUE,"Grammys TRA")</f>
        <v>Grammys TRA</v>
      </c>
      <c r="I1753">
        <f>_xlfn.XLOOKUP(Grammys[[#This Row],[date]],mobile_visits[date],mobile_visits[mobile_visitors],0)</f>
        <v>0</v>
      </c>
    </row>
    <row r="1754" spans="1:9">
      <c r="A1754" s="1">
        <v>44488</v>
      </c>
      <c r="B1754">
        <v>13821</v>
      </c>
      <c r="C1754">
        <v>25811</v>
      </c>
      <c r="D1754">
        <v>14917</v>
      </c>
      <c r="E1754">
        <v>7645</v>
      </c>
      <c r="F1754">
        <v>91</v>
      </c>
      <c r="G1754" t="s">
        <v>9</v>
      </c>
      <c r="H1754" t="str" cm="1">
        <f t="array" ref="H1754">_xlfn.IFS(Grammys[[#This Row],[date]] &gt;= DATE(2022,2,1),"Grammys",TRUE,"Grammys TRA")</f>
        <v>Grammys TRA</v>
      </c>
      <c r="I1754">
        <f>_xlfn.XLOOKUP(Grammys[[#This Row],[date]],mobile_visits[date],mobile_visits[mobile_visitors],0)</f>
        <v>0</v>
      </c>
    </row>
    <row r="1755" spans="1:9">
      <c r="A1755" s="1">
        <v>44489</v>
      </c>
      <c r="B1755">
        <v>19218</v>
      </c>
      <c r="C1755">
        <v>34142</v>
      </c>
      <c r="D1755">
        <v>20523</v>
      </c>
      <c r="E1755">
        <v>9406</v>
      </c>
      <c r="F1755">
        <v>101</v>
      </c>
      <c r="G1755" t="s">
        <v>9</v>
      </c>
      <c r="H1755" t="str" cm="1">
        <f t="array" ref="H1755">_xlfn.IFS(Grammys[[#This Row],[date]] &gt;= DATE(2022,2,1),"Grammys",TRUE,"Grammys TRA")</f>
        <v>Grammys TRA</v>
      </c>
      <c r="I1755">
        <f>_xlfn.XLOOKUP(Grammys[[#This Row],[date]],mobile_visits[date],mobile_visits[mobile_visitors],0)</f>
        <v>0</v>
      </c>
    </row>
    <row r="1756" spans="1:9">
      <c r="A1756" s="1">
        <v>44490</v>
      </c>
      <c r="B1756">
        <v>17476</v>
      </c>
      <c r="C1756">
        <v>31283</v>
      </c>
      <c r="D1756">
        <v>18675</v>
      </c>
      <c r="E1756">
        <v>9075</v>
      </c>
      <c r="F1756">
        <v>99</v>
      </c>
      <c r="G1756" t="s">
        <v>9</v>
      </c>
      <c r="H1756" t="str" cm="1">
        <f t="array" ref="H1756">_xlfn.IFS(Grammys[[#This Row],[date]] &gt;= DATE(2022,2,1),"Grammys",TRUE,"Grammys TRA")</f>
        <v>Grammys TRA</v>
      </c>
      <c r="I1756">
        <f>_xlfn.XLOOKUP(Grammys[[#This Row],[date]],mobile_visits[date],mobile_visits[mobile_visitors],0)</f>
        <v>0</v>
      </c>
    </row>
    <row r="1757" spans="1:9">
      <c r="A1757" s="1">
        <v>44491</v>
      </c>
      <c r="B1757">
        <v>24507</v>
      </c>
      <c r="C1757">
        <v>43595</v>
      </c>
      <c r="D1757">
        <v>26555</v>
      </c>
      <c r="E1757">
        <v>11948</v>
      </c>
      <c r="F1757">
        <v>102</v>
      </c>
      <c r="G1757" t="s">
        <v>9</v>
      </c>
      <c r="H1757" t="str" cm="1">
        <f t="array" ref="H1757">_xlfn.IFS(Grammys[[#This Row],[date]] &gt;= DATE(2022,2,1),"Grammys",TRUE,"Grammys TRA")</f>
        <v>Grammys TRA</v>
      </c>
      <c r="I1757">
        <f>_xlfn.XLOOKUP(Grammys[[#This Row],[date]],mobile_visits[date],mobile_visits[mobile_visitors],0)</f>
        <v>0</v>
      </c>
    </row>
    <row r="1758" spans="1:9">
      <c r="A1758" s="1">
        <v>44492</v>
      </c>
      <c r="B1758">
        <v>24503</v>
      </c>
      <c r="C1758">
        <v>46855</v>
      </c>
      <c r="D1758">
        <v>27570</v>
      </c>
      <c r="E1758">
        <v>11734</v>
      </c>
      <c r="F1758">
        <v>84</v>
      </c>
      <c r="G1758" t="s">
        <v>9</v>
      </c>
      <c r="H1758" t="str" cm="1">
        <f t="array" ref="H1758">_xlfn.IFS(Grammys[[#This Row],[date]] &gt;= DATE(2022,2,1),"Grammys",TRUE,"Grammys TRA")</f>
        <v>Grammys TRA</v>
      </c>
      <c r="I1758">
        <f>_xlfn.XLOOKUP(Grammys[[#This Row],[date]],mobile_visits[date],mobile_visits[mobile_visitors],0)</f>
        <v>0</v>
      </c>
    </row>
    <row r="1759" spans="1:9">
      <c r="A1759" s="1">
        <v>44493</v>
      </c>
      <c r="B1759">
        <v>23778</v>
      </c>
      <c r="C1759">
        <v>44120</v>
      </c>
      <c r="D1759">
        <v>26221</v>
      </c>
      <c r="E1759">
        <v>11412</v>
      </c>
      <c r="F1759">
        <v>77</v>
      </c>
      <c r="G1759" t="s">
        <v>9</v>
      </c>
      <c r="H1759" t="str" cm="1">
        <f t="array" ref="H1759">_xlfn.IFS(Grammys[[#This Row],[date]] &gt;= DATE(2022,2,1),"Grammys",TRUE,"Grammys TRA")</f>
        <v>Grammys TRA</v>
      </c>
      <c r="I1759">
        <f>_xlfn.XLOOKUP(Grammys[[#This Row],[date]],mobile_visits[date],mobile_visits[mobile_visitors],0)</f>
        <v>0</v>
      </c>
    </row>
    <row r="1760" spans="1:9">
      <c r="A1760" s="1">
        <v>44494</v>
      </c>
      <c r="B1760">
        <v>21696</v>
      </c>
      <c r="C1760">
        <v>39782</v>
      </c>
      <c r="D1760">
        <v>23784</v>
      </c>
      <c r="E1760">
        <v>10853</v>
      </c>
      <c r="F1760">
        <v>85</v>
      </c>
      <c r="G1760" t="s">
        <v>9</v>
      </c>
      <c r="H1760" t="str" cm="1">
        <f t="array" ref="H1760">_xlfn.IFS(Grammys[[#This Row],[date]] &gt;= DATE(2022,2,1),"Grammys",TRUE,"Grammys TRA")</f>
        <v>Grammys TRA</v>
      </c>
      <c r="I1760">
        <f>_xlfn.XLOOKUP(Grammys[[#This Row],[date]],mobile_visits[date],mobile_visits[mobile_visitors],0)</f>
        <v>0</v>
      </c>
    </row>
    <row r="1761" spans="1:9">
      <c r="A1761" s="1">
        <v>44495</v>
      </c>
      <c r="B1761">
        <v>26671</v>
      </c>
      <c r="C1761">
        <v>49262</v>
      </c>
      <c r="D1761">
        <v>29109</v>
      </c>
      <c r="E1761">
        <v>12765</v>
      </c>
      <c r="F1761">
        <v>79</v>
      </c>
      <c r="G1761" t="s">
        <v>9</v>
      </c>
      <c r="H1761" t="str" cm="1">
        <f t="array" ref="H1761">_xlfn.IFS(Grammys[[#This Row],[date]] &gt;= DATE(2022,2,1),"Grammys",TRUE,"Grammys TRA")</f>
        <v>Grammys TRA</v>
      </c>
      <c r="I1761">
        <f>_xlfn.XLOOKUP(Grammys[[#This Row],[date]],mobile_visits[date],mobile_visits[mobile_visitors],0)</f>
        <v>0</v>
      </c>
    </row>
    <row r="1762" spans="1:9">
      <c r="A1762" s="1">
        <v>44496</v>
      </c>
      <c r="B1762">
        <v>23083</v>
      </c>
      <c r="C1762">
        <v>41932</v>
      </c>
      <c r="D1762">
        <v>24961</v>
      </c>
      <c r="E1762">
        <v>11345</v>
      </c>
      <c r="F1762">
        <v>76</v>
      </c>
      <c r="G1762" t="s">
        <v>9</v>
      </c>
      <c r="H1762" t="str" cm="1">
        <f t="array" ref="H1762">_xlfn.IFS(Grammys[[#This Row],[date]] &gt;= DATE(2022,2,1),"Grammys",TRUE,"Grammys TRA")</f>
        <v>Grammys TRA</v>
      </c>
      <c r="I1762">
        <f>_xlfn.XLOOKUP(Grammys[[#This Row],[date]],mobile_visits[date],mobile_visits[mobile_visitors],0)</f>
        <v>0</v>
      </c>
    </row>
    <row r="1763" spans="1:9">
      <c r="A1763" s="1">
        <v>44497</v>
      </c>
      <c r="B1763">
        <v>20450</v>
      </c>
      <c r="C1763">
        <v>38216</v>
      </c>
      <c r="D1763">
        <v>22172</v>
      </c>
      <c r="E1763">
        <v>10177</v>
      </c>
      <c r="F1763">
        <v>83</v>
      </c>
      <c r="G1763" t="s">
        <v>9</v>
      </c>
      <c r="H1763" t="str" cm="1">
        <f t="array" ref="H1763">_xlfn.IFS(Grammys[[#This Row],[date]] &gt;= DATE(2022,2,1),"Grammys",TRUE,"Grammys TRA")</f>
        <v>Grammys TRA</v>
      </c>
      <c r="I1763">
        <f>_xlfn.XLOOKUP(Grammys[[#This Row],[date]],mobile_visits[date],mobile_visits[mobile_visitors],0)</f>
        <v>0</v>
      </c>
    </row>
    <row r="1764" spans="1:9">
      <c r="A1764" s="1">
        <v>44498</v>
      </c>
      <c r="B1764">
        <v>18855</v>
      </c>
      <c r="C1764">
        <v>35107</v>
      </c>
      <c r="D1764">
        <v>20505</v>
      </c>
      <c r="E1764">
        <v>9457</v>
      </c>
      <c r="F1764">
        <v>87</v>
      </c>
      <c r="G1764" t="s">
        <v>9</v>
      </c>
      <c r="H1764" t="str" cm="1">
        <f t="array" ref="H1764">_xlfn.IFS(Grammys[[#This Row],[date]] &gt;= DATE(2022,2,1),"Grammys",TRUE,"Grammys TRA")</f>
        <v>Grammys TRA</v>
      </c>
      <c r="I1764">
        <f>_xlfn.XLOOKUP(Grammys[[#This Row],[date]],mobile_visits[date],mobile_visits[mobile_visitors],0)</f>
        <v>0</v>
      </c>
    </row>
    <row r="1765" spans="1:9">
      <c r="A1765" s="1">
        <v>44499</v>
      </c>
      <c r="B1765">
        <v>16660</v>
      </c>
      <c r="C1765">
        <v>29653</v>
      </c>
      <c r="D1765">
        <v>17902</v>
      </c>
      <c r="E1765">
        <v>8370</v>
      </c>
      <c r="F1765">
        <v>83</v>
      </c>
      <c r="G1765" t="s">
        <v>9</v>
      </c>
      <c r="H1765" t="str" cm="1">
        <f t="array" ref="H1765">_xlfn.IFS(Grammys[[#This Row],[date]] &gt;= DATE(2022,2,1),"Grammys",TRUE,"Grammys TRA")</f>
        <v>Grammys TRA</v>
      </c>
      <c r="I1765">
        <f>_xlfn.XLOOKUP(Grammys[[#This Row],[date]],mobile_visits[date],mobile_visits[mobile_visitors],0)</f>
        <v>0</v>
      </c>
    </row>
    <row r="1766" spans="1:9">
      <c r="A1766" s="1">
        <v>44500</v>
      </c>
      <c r="B1766">
        <v>14657</v>
      </c>
      <c r="C1766">
        <v>27284</v>
      </c>
      <c r="D1766">
        <v>15879</v>
      </c>
      <c r="E1766">
        <v>7661</v>
      </c>
      <c r="F1766">
        <v>84</v>
      </c>
      <c r="G1766" t="s">
        <v>9</v>
      </c>
      <c r="H1766" t="str" cm="1">
        <f t="array" ref="H1766">_xlfn.IFS(Grammys[[#This Row],[date]] &gt;= DATE(2022,2,1),"Grammys",TRUE,"Grammys TRA")</f>
        <v>Grammys TRA</v>
      </c>
      <c r="I1766">
        <f>_xlfn.XLOOKUP(Grammys[[#This Row],[date]],mobile_visits[date],mobile_visits[mobile_visitors],0)</f>
        <v>0</v>
      </c>
    </row>
    <row r="1767" spans="1:9">
      <c r="A1767" s="1">
        <v>44501</v>
      </c>
      <c r="B1767">
        <v>17467</v>
      </c>
      <c r="C1767">
        <v>32774</v>
      </c>
      <c r="D1767">
        <v>18866</v>
      </c>
      <c r="E1767">
        <v>9200</v>
      </c>
      <c r="F1767">
        <v>85</v>
      </c>
      <c r="G1767" t="s">
        <v>9</v>
      </c>
      <c r="H1767" t="str" cm="1">
        <f t="array" ref="H1767">_xlfn.IFS(Grammys[[#This Row],[date]] &gt;= DATE(2022,2,1),"Grammys",TRUE,"Grammys TRA")</f>
        <v>Grammys TRA</v>
      </c>
      <c r="I1767">
        <f>_xlfn.XLOOKUP(Grammys[[#This Row],[date]],mobile_visits[date],mobile_visits[mobile_visitors],0)</f>
        <v>0</v>
      </c>
    </row>
    <row r="1768" spans="1:9">
      <c r="A1768" s="1">
        <v>44502</v>
      </c>
      <c r="B1768">
        <v>18609</v>
      </c>
      <c r="C1768">
        <v>34777</v>
      </c>
      <c r="D1768">
        <v>20202</v>
      </c>
      <c r="E1768">
        <v>9663</v>
      </c>
      <c r="F1768">
        <v>89</v>
      </c>
      <c r="G1768" t="s">
        <v>9</v>
      </c>
      <c r="H1768" t="str" cm="1">
        <f t="array" ref="H1768">_xlfn.IFS(Grammys[[#This Row],[date]] &gt;= DATE(2022,2,1),"Grammys",TRUE,"Grammys TRA")</f>
        <v>Grammys TRA</v>
      </c>
      <c r="I1768">
        <f>_xlfn.XLOOKUP(Grammys[[#This Row],[date]],mobile_visits[date],mobile_visits[mobile_visitors],0)</f>
        <v>0</v>
      </c>
    </row>
    <row r="1769" spans="1:9">
      <c r="A1769" s="1">
        <v>44503</v>
      </c>
      <c r="B1769">
        <v>18498</v>
      </c>
      <c r="C1769">
        <v>34044</v>
      </c>
      <c r="D1769">
        <v>20152</v>
      </c>
      <c r="E1769">
        <v>9817</v>
      </c>
      <c r="F1769">
        <v>84</v>
      </c>
      <c r="G1769" t="s">
        <v>9</v>
      </c>
      <c r="H1769" t="str" cm="1">
        <f t="array" ref="H1769">_xlfn.IFS(Grammys[[#This Row],[date]] &gt;= DATE(2022,2,1),"Grammys",TRUE,"Grammys TRA")</f>
        <v>Grammys TRA</v>
      </c>
      <c r="I1769">
        <f>_xlfn.XLOOKUP(Grammys[[#This Row],[date]],mobile_visits[date],mobile_visits[mobile_visitors],0)</f>
        <v>0</v>
      </c>
    </row>
    <row r="1770" spans="1:9">
      <c r="A1770" s="1">
        <v>44504</v>
      </c>
      <c r="B1770">
        <v>21514</v>
      </c>
      <c r="C1770">
        <v>40260</v>
      </c>
      <c r="D1770">
        <v>23718</v>
      </c>
      <c r="E1770">
        <v>11184</v>
      </c>
      <c r="F1770">
        <v>79</v>
      </c>
      <c r="G1770" t="s">
        <v>9</v>
      </c>
      <c r="H1770" t="str" cm="1">
        <f t="array" ref="H1770">_xlfn.IFS(Grammys[[#This Row],[date]] &gt;= DATE(2022,2,1),"Grammys",TRUE,"Grammys TRA")</f>
        <v>Grammys TRA</v>
      </c>
      <c r="I1770">
        <f>_xlfn.XLOOKUP(Grammys[[#This Row],[date]],mobile_visits[date],mobile_visits[mobile_visitors],0)</f>
        <v>0</v>
      </c>
    </row>
    <row r="1771" spans="1:9">
      <c r="A1771" s="1">
        <v>44505</v>
      </c>
      <c r="B1771">
        <v>21038</v>
      </c>
      <c r="C1771">
        <v>39601</v>
      </c>
      <c r="D1771">
        <v>22990</v>
      </c>
      <c r="E1771">
        <v>10774</v>
      </c>
      <c r="F1771">
        <v>84</v>
      </c>
      <c r="G1771" t="s">
        <v>9</v>
      </c>
      <c r="H1771" t="str" cm="1">
        <f t="array" ref="H1771">_xlfn.IFS(Grammys[[#This Row],[date]] &gt;= DATE(2022,2,1),"Grammys",TRUE,"Grammys TRA")</f>
        <v>Grammys TRA</v>
      </c>
      <c r="I1771">
        <f>_xlfn.XLOOKUP(Grammys[[#This Row],[date]],mobile_visits[date],mobile_visits[mobile_visitors],0)</f>
        <v>0</v>
      </c>
    </row>
    <row r="1772" spans="1:9">
      <c r="A1772" s="1">
        <v>44506</v>
      </c>
      <c r="B1772">
        <v>16424</v>
      </c>
      <c r="C1772">
        <v>28301</v>
      </c>
      <c r="D1772">
        <v>17611</v>
      </c>
      <c r="E1772">
        <v>9218</v>
      </c>
      <c r="F1772">
        <v>72</v>
      </c>
      <c r="G1772" t="s">
        <v>9</v>
      </c>
      <c r="H1772" t="str" cm="1">
        <f t="array" ref="H1772">_xlfn.IFS(Grammys[[#This Row],[date]] &gt;= DATE(2022,2,1),"Grammys",TRUE,"Grammys TRA")</f>
        <v>Grammys TRA</v>
      </c>
      <c r="I1772">
        <f>_xlfn.XLOOKUP(Grammys[[#This Row],[date]],mobile_visits[date],mobile_visits[mobile_visitors],0)</f>
        <v>0</v>
      </c>
    </row>
    <row r="1773" spans="1:9">
      <c r="A1773" s="1">
        <v>44507</v>
      </c>
      <c r="B1773">
        <v>15679</v>
      </c>
      <c r="C1773">
        <v>27108</v>
      </c>
      <c r="D1773">
        <v>16806</v>
      </c>
      <c r="E1773">
        <v>8736</v>
      </c>
      <c r="F1773">
        <v>72</v>
      </c>
      <c r="G1773" t="s">
        <v>9</v>
      </c>
      <c r="H1773" t="str" cm="1">
        <f t="array" ref="H1773">_xlfn.IFS(Grammys[[#This Row],[date]] &gt;= DATE(2022,2,1),"Grammys",TRUE,"Grammys TRA")</f>
        <v>Grammys TRA</v>
      </c>
      <c r="I1773">
        <f>_xlfn.XLOOKUP(Grammys[[#This Row],[date]],mobile_visits[date],mobile_visits[mobile_visitors],0)</f>
        <v>0</v>
      </c>
    </row>
    <row r="1774" spans="1:9">
      <c r="A1774" s="1">
        <v>44508</v>
      </c>
      <c r="B1774">
        <v>17045</v>
      </c>
      <c r="C1774">
        <v>30646</v>
      </c>
      <c r="D1774">
        <v>18222</v>
      </c>
      <c r="E1774">
        <v>9071</v>
      </c>
      <c r="F1774">
        <v>91</v>
      </c>
      <c r="G1774" t="s">
        <v>9</v>
      </c>
      <c r="H1774" t="str" cm="1">
        <f t="array" ref="H1774">_xlfn.IFS(Grammys[[#This Row],[date]] &gt;= DATE(2022,2,1),"Grammys",TRUE,"Grammys TRA")</f>
        <v>Grammys TRA</v>
      </c>
      <c r="I1774">
        <f>_xlfn.XLOOKUP(Grammys[[#This Row],[date]],mobile_visits[date],mobile_visits[mobile_visitors],0)</f>
        <v>0</v>
      </c>
    </row>
    <row r="1775" spans="1:9">
      <c r="A1775" s="1">
        <v>44509</v>
      </c>
      <c r="B1775">
        <v>21813</v>
      </c>
      <c r="C1775">
        <v>37060</v>
      </c>
      <c r="D1775">
        <v>23289</v>
      </c>
      <c r="E1775">
        <v>10755</v>
      </c>
      <c r="F1775">
        <v>141</v>
      </c>
      <c r="G1775" t="s">
        <v>9</v>
      </c>
      <c r="H1775" t="str" cm="1">
        <f t="array" ref="H1775">_xlfn.IFS(Grammys[[#This Row],[date]] &gt;= DATE(2022,2,1),"Grammys",TRUE,"Grammys TRA")</f>
        <v>Grammys TRA</v>
      </c>
      <c r="I1775">
        <f>_xlfn.XLOOKUP(Grammys[[#This Row],[date]],mobile_visits[date],mobile_visits[mobile_visitors],0)</f>
        <v>0</v>
      </c>
    </row>
    <row r="1776" spans="1:9">
      <c r="A1776" s="1">
        <v>44510</v>
      </c>
      <c r="B1776">
        <v>20062</v>
      </c>
      <c r="C1776">
        <v>33961</v>
      </c>
      <c r="D1776">
        <v>21401</v>
      </c>
      <c r="E1776">
        <v>10395</v>
      </c>
      <c r="F1776">
        <v>111</v>
      </c>
      <c r="G1776" t="s">
        <v>9</v>
      </c>
      <c r="H1776" t="str" cm="1">
        <f t="array" ref="H1776">_xlfn.IFS(Grammys[[#This Row],[date]] &gt;= DATE(2022,2,1),"Grammys",TRUE,"Grammys TRA")</f>
        <v>Grammys TRA</v>
      </c>
      <c r="I1776">
        <f>_xlfn.XLOOKUP(Grammys[[#This Row],[date]],mobile_visits[date],mobile_visits[mobile_visitors],0)</f>
        <v>0</v>
      </c>
    </row>
    <row r="1777" spans="1:9">
      <c r="A1777" s="1">
        <v>44511</v>
      </c>
      <c r="B1777">
        <v>19411</v>
      </c>
      <c r="C1777">
        <v>33307</v>
      </c>
      <c r="D1777">
        <v>20800</v>
      </c>
      <c r="E1777">
        <v>10461</v>
      </c>
      <c r="F1777">
        <v>92</v>
      </c>
      <c r="G1777" t="s">
        <v>9</v>
      </c>
      <c r="H1777" t="str" cm="1">
        <f t="array" ref="H1777">_xlfn.IFS(Grammys[[#This Row],[date]] &gt;= DATE(2022,2,1),"Grammys",TRUE,"Grammys TRA")</f>
        <v>Grammys TRA</v>
      </c>
      <c r="I1777">
        <f>_xlfn.XLOOKUP(Grammys[[#This Row],[date]],mobile_visits[date],mobile_visits[mobile_visitors],0)</f>
        <v>0</v>
      </c>
    </row>
    <row r="1778" spans="1:9">
      <c r="A1778" s="1">
        <v>44512</v>
      </c>
      <c r="B1778">
        <v>21058</v>
      </c>
      <c r="C1778">
        <v>35006</v>
      </c>
      <c r="D1778">
        <v>22428</v>
      </c>
      <c r="E1778">
        <v>11537</v>
      </c>
      <c r="F1778">
        <v>83</v>
      </c>
      <c r="G1778" t="s">
        <v>9</v>
      </c>
      <c r="H1778" t="str" cm="1">
        <f t="array" ref="H1778">_xlfn.IFS(Grammys[[#This Row],[date]] &gt;= DATE(2022,2,1),"Grammys",TRUE,"Grammys TRA")</f>
        <v>Grammys TRA</v>
      </c>
      <c r="I1778">
        <f>_xlfn.XLOOKUP(Grammys[[#This Row],[date]],mobile_visits[date],mobile_visits[mobile_visitors],0)</f>
        <v>0</v>
      </c>
    </row>
    <row r="1779" spans="1:9">
      <c r="A1779" s="1">
        <v>44513</v>
      </c>
      <c r="B1779">
        <v>19256</v>
      </c>
      <c r="C1779">
        <v>31787</v>
      </c>
      <c r="D1779">
        <v>20508</v>
      </c>
      <c r="E1779">
        <v>10074</v>
      </c>
      <c r="F1779">
        <v>87</v>
      </c>
      <c r="G1779" t="s">
        <v>9</v>
      </c>
      <c r="H1779" t="str" cm="1">
        <f t="array" ref="H1779">_xlfn.IFS(Grammys[[#This Row],[date]] &gt;= DATE(2022,2,1),"Grammys",TRUE,"Grammys TRA")</f>
        <v>Grammys TRA</v>
      </c>
      <c r="I1779">
        <f>_xlfn.XLOOKUP(Grammys[[#This Row],[date]],mobile_visits[date],mobile_visits[mobile_visitors],0)</f>
        <v>0</v>
      </c>
    </row>
    <row r="1780" spans="1:9">
      <c r="A1780" s="1">
        <v>44514</v>
      </c>
      <c r="B1780">
        <v>19955</v>
      </c>
      <c r="C1780">
        <v>33316</v>
      </c>
      <c r="D1780">
        <v>21130</v>
      </c>
      <c r="E1780">
        <v>10502</v>
      </c>
      <c r="F1780">
        <v>81</v>
      </c>
      <c r="G1780" t="s">
        <v>9</v>
      </c>
      <c r="H1780" t="str" cm="1">
        <f t="array" ref="H1780">_xlfn.IFS(Grammys[[#This Row],[date]] &gt;= DATE(2022,2,1),"Grammys",TRUE,"Grammys TRA")</f>
        <v>Grammys TRA</v>
      </c>
      <c r="I1780">
        <f>_xlfn.XLOOKUP(Grammys[[#This Row],[date]],mobile_visits[date],mobile_visits[mobile_visitors],0)</f>
        <v>0</v>
      </c>
    </row>
    <row r="1781" spans="1:9">
      <c r="A1781" s="1">
        <v>44515</v>
      </c>
      <c r="B1781">
        <v>19645</v>
      </c>
      <c r="C1781">
        <v>34870</v>
      </c>
      <c r="D1781">
        <v>21254</v>
      </c>
      <c r="E1781">
        <v>10730</v>
      </c>
      <c r="F1781">
        <v>82</v>
      </c>
      <c r="G1781" t="s">
        <v>9</v>
      </c>
      <c r="H1781" t="str" cm="1">
        <f t="array" ref="H1781">_xlfn.IFS(Grammys[[#This Row],[date]] &gt;= DATE(2022,2,1),"Grammys",TRUE,"Grammys TRA")</f>
        <v>Grammys TRA</v>
      </c>
      <c r="I1781">
        <f>_xlfn.XLOOKUP(Grammys[[#This Row],[date]],mobile_visits[date],mobile_visits[mobile_visitors],0)</f>
        <v>0</v>
      </c>
    </row>
    <row r="1782" spans="1:9">
      <c r="A1782" s="1">
        <v>44516</v>
      </c>
      <c r="B1782">
        <v>20371</v>
      </c>
      <c r="C1782">
        <v>35957</v>
      </c>
      <c r="D1782">
        <v>21793</v>
      </c>
      <c r="E1782">
        <v>10951</v>
      </c>
      <c r="F1782">
        <v>77</v>
      </c>
      <c r="G1782" t="s">
        <v>9</v>
      </c>
      <c r="H1782" t="str" cm="1">
        <f t="array" ref="H1782">_xlfn.IFS(Grammys[[#This Row],[date]] &gt;= DATE(2022,2,1),"Grammys",TRUE,"Grammys TRA")</f>
        <v>Grammys TRA</v>
      </c>
      <c r="I1782">
        <f>_xlfn.XLOOKUP(Grammys[[#This Row],[date]],mobile_visits[date],mobile_visits[mobile_visitors],0)</f>
        <v>0</v>
      </c>
    </row>
    <row r="1783" spans="1:9">
      <c r="A1783" s="1">
        <v>44517</v>
      </c>
      <c r="B1783">
        <v>21128</v>
      </c>
      <c r="C1783">
        <v>37176</v>
      </c>
      <c r="D1783">
        <v>23041</v>
      </c>
      <c r="E1783">
        <v>11590</v>
      </c>
      <c r="F1783">
        <v>79</v>
      </c>
      <c r="G1783" t="s">
        <v>9</v>
      </c>
      <c r="H1783" t="str" cm="1">
        <f t="array" ref="H1783">_xlfn.IFS(Grammys[[#This Row],[date]] &gt;= DATE(2022,2,1),"Grammys",TRUE,"Grammys TRA")</f>
        <v>Grammys TRA</v>
      </c>
      <c r="I1783">
        <f>_xlfn.XLOOKUP(Grammys[[#This Row],[date]],mobile_visits[date],mobile_visits[mobile_visitors],0)</f>
        <v>0</v>
      </c>
    </row>
    <row r="1784" spans="1:9">
      <c r="A1784" s="1">
        <v>44518</v>
      </c>
      <c r="B1784">
        <v>29453</v>
      </c>
      <c r="C1784">
        <v>49787</v>
      </c>
      <c r="D1784">
        <v>31573</v>
      </c>
      <c r="E1784">
        <v>16662</v>
      </c>
      <c r="F1784">
        <v>74</v>
      </c>
      <c r="G1784" t="s">
        <v>9</v>
      </c>
      <c r="H1784" t="str" cm="1">
        <f t="array" ref="H1784">_xlfn.IFS(Grammys[[#This Row],[date]] &gt;= DATE(2022,2,1),"Grammys",TRUE,"Grammys TRA")</f>
        <v>Grammys TRA</v>
      </c>
      <c r="I1784">
        <f>_xlfn.XLOOKUP(Grammys[[#This Row],[date]],mobile_visits[date],mobile_visits[mobile_visitors],0)</f>
        <v>0</v>
      </c>
    </row>
    <row r="1785" spans="1:9">
      <c r="A1785" s="1">
        <v>44519</v>
      </c>
      <c r="B1785">
        <v>23814</v>
      </c>
      <c r="C1785">
        <v>42481</v>
      </c>
      <c r="D1785">
        <v>25899</v>
      </c>
      <c r="E1785">
        <v>13743</v>
      </c>
      <c r="F1785">
        <v>79</v>
      </c>
      <c r="G1785" t="s">
        <v>9</v>
      </c>
      <c r="H1785" t="str" cm="1">
        <f t="array" ref="H1785">_xlfn.IFS(Grammys[[#This Row],[date]] &gt;= DATE(2022,2,1),"Grammys",TRUE,"Grammys TRA")</f>
        <v>Grammys TRA</v>
      </c>
      <c r="I1785">
        <f>_xlfn.XLOOKUP(Grammys[[#This Row],[date]],mobile_visits[date],mobile_visits[mobile_visitors],0)</f>
        <v>0</v>
      </c>
    </row>
    <row r="1786" spans="1:9">
      <c r="A1786" s="1">
        <v>44520</v>
      </c>
      <c r="B1786">
        <v>19383</v>
      </c>
      <c r="C1786">
        <v>32215</v>
      </c>
      <c r="D1786">
        <v>20686</v>
      </c>
      <c r="E1786">
        <v>11084</v>
      </c>
      <c r="F1786">
        <v>75</v>
      </c>
      <c r="G1786" t="s">
        <v>9</v>
      </c>
      <c r="H1786" t="str" cm="1">
        <f t="array" ref="H1786">_xlfn.IFS(Grammys[[#This Row],[date]] &gt;= DATE(2022,2,1),"Grammys",TRUE,"Grammys TRA")</f>
        <v>Grammys TRA</v>
      </c>
      <c r="I1786">
        <f>_xlfn.XLOOKUP(Grammys[[#This Row],[date]],mobile_visits[date],mobile_visits[mobile_visitors],0)</f>
        <v>0</v>
      </c>
    </row>
    <row r="1787" spans="1:9">
      <c r="A1787" s="1">
        <v>44521</v>
      </c>
      <c r="B1787">
        <v>26549</v>
      </c>
      <c r="C1787">
        <v>45972</v>
      </c>
      <c r="D1787">
        <v>28520</v>
      </c>
      <c r="E1787">
        <v>14586</v>
      </c>
      <c r="F1787">
        <v>71</v>
      </c>
      <c r="G1787" t="s">
        <v>9</v>
      </c>
      <c r="H1787" t="str" cm="1">
        <f t="array" ref="H1787">_xlfn.IFS(Grammys[[#This Row],[date]] &gt;= DATE(2022,2,1),"Grammys",TRUE,"Grammys TRA")</f>
        <v>Grammys TRA</v>
      </c>
      <c r="I1787">
        <f>_xlfn.XLOOKUP(Grammys[[#This Row],[date]],mobile_visits[date],mobile_visits[mobile_visitors],0)</f>
        <v>0</v>
      </c>
    </row>
    <row r="1788" spans="1:9">
      <c r="A1788" s="1">
        <v>44522</v>
      </c>
      <c r="B1788">
        <v>48798</v>
      </c>
      <c r="C1788">
        <v>89115</v>
      </c>
      <c r="D1788">
        <v>53149</v>
      </c>
      <c r="E1788">
        <v>22185</v>
      </c>
      <c r="F1788">
        <v>78</v>
      </c>
      <c r="G1788" t="s">
        <v>10</v>
      </c>
      <c r="H1788" t="str" cm="1">
        <f t="array" ref="H1788">_xlfn.IFS(Grammys[[#This Row],[date]] &gt;= DATE(2022,2,1),"Grammys",TRUE,"Grammys TRA")</f>
        <v>Grammys TRA</v>
      </c>
      <c r="I1788">
        <f>_xlfn.XLOOKUP(Grammys[[#This Row],[date]],mobile_visits[date],mobile_visits[mobile_visitors],0)</f>
        <v>0</v>
      </c>
    </row>
    <row r="1789" spans="1:9">
      <c r="A1789" s="1">
        <v>44523</v>
      </c>
      <c r="B1789">
        <v>1003504</v>
      </c>
      <c r="C1789">
        <v>1894717</v>
      </c>
      <c r="D1789">
        <v>1139162</v>
      </c>
      <c r="E1789">
        <v>336053</v>
      </c>
      <c r="F1789">
        <v>147</v>
      </c>
      <c r="G1789" t="s">
        <v>9</v>
      </c>
      <c r="H1789" t="str" cm="1">
        <f t="array" ref="H1789">_xlfn.IFS(Grammys[[#This Row],[date]] &gt;= DATE(2022,2,1),"Grammys",TRUE,"Grammys TRA")</f>
        <v>Grammys TRA</v>
      </c>
      <c r="I1789">
        <f>_xlfn.XLOOKUP(Grammys[[#This Row],[date]],mobile_visits[date],mobile_visits[mobile_visitors],0)</f>
        <v>0</v>
      </c>
    </row>
    <row r="1790" spans="1:9">
      <c r="A1790" s="1">
        <v>44524</v>
      </c>
      <c r="B1790">
        <v>414730</v>
      </c>
      <c r="C1790">
        <v>711688</v>
      </c>
      <c r="D1790">
        <v>459412</v>
      </c>
      <c r="E1790">
        <v>183627</v>
      </c>
      <c r="F1790">
        <v>128</v>
      </c>
      <c r="G1790" t="s">
        <v>9</v>
      </c>
      <c r="H1790" t="str" cm="1">
        <f t="array" ref="H1790">_xlfn.IFS(Grammys[[#This Row],[date]] &gt;= DATE(2022,2,1),"Grammys",TRUE,"Grammys TRA")</f>
        <v>Grammys TRA</v>
      </c>
      <c r="I1790">
        <f>_xlfn.XLOOKUP(Grammys[[#This Row],[date]],mobile_visits[date],mobile_visits[mobile_visitors],0)</f>
        <v>0</v>
      </c>
    </row>
    <row r="1791" spans="1:9">
      <c r="A1791" s="1">
        <v>44525</v>
      </c>
      <c r="B1791">
        <v>144668</v>
      </c>
      <c r="C1791">
        <v>258031</v>
      </c>
      <c r="D1791">
        <v>162235</v>
      </c>
      <c r="E1791">
        <v>70930</v>
      </c>
      <c r="F1791">
        <v>121</v>
      </c>
      <c r="G1791" t="s">
        <v>9</v>
      </c>
      <c r="H1791" t="str" cm="1">
        <f t="array" ref="H1791">_xlfn.IFS(Grammys[[#This Row],[date]] &gt;= DATE(2022,2,1),"Grammys",TRUE,"Grammys TRA")</f>
        <v>Grammys TRA</v>
      </c>
      <c r="I1791">
        <f>_xlfn.XLOOKUP(Grammys[[#This Row],[date]],mobile_visits[date],mobile_visits[mobile_visitors],0)</f>
        <v>0</v>
      </c>
    </row>
    <row r="1792" spans="1:9">
      <c r="A1792" s="1">
        <v>44526</v>
      </c>
      <c r="B1792">
        <v>99395</v>
      </c>
      <c r="C1792">
        <v>179326</v>
      </c>
      <c r="D1792">
        <v>109041</v>
      </c>
      <c r="E1792">
        <v>47608</v>
      </c>
      <c r="F1792">
        <v>116</v>
      </c>
      <c r="G1792" t="s">
        <v>9</v>
      </c>
      <c r="H1792" t="str" cm="1">
        <f t="array" ref="H1792">_xlfn.IFS(Grammys[[#This Row],[date]] &gt;= DATE(2022,2,1),"Grammys",TRUE,"Grammys TRA")</f>
        <v>Grammys TRA</v>
      </c>
      <c r="I1792">
        <f>_xlfn.XLOOKUP(Grammys[[#This Row],[date]],mobile_visits[date],mobile_visits[mobile_visitors],0)</f>
        <v>0</v>
      </c>
    </row>
    <row r="1793" spans="1:9">
      <c r="A1793" s="1">
        <v>44527</v>
      </c>
      <c r="B1793">
        <v>75306</v>
      </c>
      <c r="C1793">
        <v>132900</v>
      </c>
      <c r="D1793">
        <v>82460</v>
      </c>
      <c r="E1793">
        <v>36374</v>
      </c>
      <c r="F1793">
        <v>120</v>
      </c>
      <c r="G1793" t="s">
        <v>9</v>
      </c>
      <c r="H1793" t="str" cm="1">
        <f t="array" ref="H1793">_xlfn.IFS(Grammys[[#This Row],[date]] &gt;= DATE(2022,2,1),"Grammys",TRUE,"Grammys TRA")</f>
        <v>Grammys TRA</v>
      </c>
      <c r="I1793">
        <f>_xlfn.XLOOKUP(Grammys[[#This Row],[date]],mobile_visits[date],mobile_visits[mobile_visitors],0)</f>
        <v>0</v>
      </c>
    </row>
    <row r="1794" spans="1:9">
      <c r="A1794" s="1">
        <v>44528</v>
      </c>
      <c r="B1794">
        <v>66848</v>
      </c>
      <c r="C1794">
        <v>120251</v>
      </c>
      <c r="D1794">
        <v>73229</v>
      </c>
      <c r="E1794">
        <v>31628</v>
      </c>
      <c r="F1794">
        <v>118</v>
      </c>
      <c r="G1794" t="s">
        <v>9</v>
      </c>
      <c r="H1794" t="str" cm="1">
        <f t="array" ref="H1794">_xlfn.IFS(Grammys[[#This Row],[date]] &gt;= DATE(2022,2,1),"Grammys",TRUE,"Grammys TRA")</f>
        <v>Grammys TRA</v>
      </c>
      <c r="I1794">
        <f>_xlfn.XLOOKUP(Grammys[[#This Row],[date]],mobile_visits[date],mobile_visits[mobile_visitors],0)</f>
        <v>0</v>
      </c>
    </row>
    <row r="1795" spans="1:9">
      <c r="A1795" s="1">
        <v>44529</v>
      </c>
      <c r="B1795">
        <v>58110</v>
      </c>
      <c r="C1795">
        <v>108988</v>
      </c>
      <c r="D1795">
        <v>63367</v>
      </c>
      <c r="E1795">
        <v>27362</v>
      </c>
      <c r="F1795">
        <v>123</v>
      </c>
      <c r="G1795" t="s">
        <v>9</v>
      </c>
      <c r="H1795" t="str" cm="1">
        <f t="array" ref="H1795">_xlfn.IFS(Grammys[[#This Row],[date]] &gt;= DATE(2022,2,1),"Grammys",TRUE,"Grammys TRA")</f>
        <v>Grammys TRA</v>
      </c>
      <c r="I1795">
        <f>_xlfn.XLOOKUP(Grammys[[#This Row],[date]],mobile_visits[date],mobile_visits[mobile_visitors],0)</f>
        <v>0</v>
      </c>
    </row>
    <row r="1796" spans="1:9">
      <c r="A1796" s="1">
        <v>44530</v>
      </c>
      <c r="B1796">
        <v>48440</v>
      </c>
      <c r="C1796">
        <v>88931</v>
      </c>
      <c r="D1796">
        <v>53457</v>
      </c>
      <c r="E1796">
        <v>24013</v>
      </c>
      <c r="F1796">
        <v>118</v>
      </c>
      <c r="G1796" t="s">
        <v>9</v>
      </c>
      <c r="H1796" t="str" cm="1">
        <f t="array" ref="H1796">_xlfn.IFS(Grammys[[#This Row],[date]] &gt;= DATE(2022,2,1),"Grammys",TRUE,"Grammys TRA")</f>
        <v>Grammys TRA</v>
      </c>
      <c r="I1796">
        <f>_xlfn.XLOOKUP(Grammys[[#This Row],[date]],mobile_visits[date],mobile_visits[mobile_visitors],0)</f>
        <v>0</v>
      </c>
    </row>
    <row r="1797" spans="1:9">
      <c r="A1797" s="1">
        <v>44531</v>
      </c>
      <c r="B1797">
        <v>45485</v>
      </c>
      <c r="C1797">
        <v>84789</v>
      </c>
      <c r="D1797">
        <v>50039</v>
      </c>
      <c r="E1797">
        <v>22908</v>
      </c>
      <c r="F1797">
        <v>110</v>
      </c>
      <c r="G1797" t="s">
        <v>9</v>
      </c>
      <c r="H1797" t="str" cm="1">
        <f t="array" ref="H1797">_xlfn.IFS(Grammys[[#This Row],[date]] &gt;= DATE(2022,2,1),"Grammys",TRUE,"Grammys TRA")</f>
        <v>Grammys TRA</v>
      </c>
      <c r="I1797">
        <f>_xlfn.XLOOKUP(Grammys[[#This Row],[date]],mobile_visits[date],mobile_visits[mobile_visitors],0)</f>
        <v>0</v>
      </c>
    </row>
    <row r="1798" spans="1:9">
      <c r="A1798" s="1">
        <v>44532</v>
      </c>
      <c r="B1798">
        <v>39226</v>
      </c>
      <c r="C1798">
        <v>73000</v>
      </c>
      <c r="D1798">
        <v>43337</v>
      </c>
      <c r="E1798">
        <v>20538</v>
      </c>
      <c r="F1798">
        <v>103</v>
      </c>
      <c r="G1798" t="s">
        <v>9</v>
      </c>
      <c r="H1798" t="str" cm="1">
        <f t="array" ref="H1798">_xlfn.IFS(Grammys[[#This Row],[date]] &gt;= DATE(2022,2,1),"Grammys",TRUE,"Grammys TRA")</f>
        <v>Grammys TRA</v>
      </c>
      <c r="I1798">
        <f>_xlfn.XLOOKUP(Grammys[[#This Row],[date]],mobile_visits[date],mobile_visits[mobile_visitors],0)</f>
        <v>0</v>
      </c>
    </row>
    <row r="1799" spans="1:9">
      <c r="A1799" s="1">
        <v>44533</v>
      </c>
      <c r="B1799">
        <v>34250</v>
      </c>
      <c r="C1799">
        <v>63092</v>
      </c>
      <c r="D1799">
        <v>38030</v>
      </c>
      <c r="E1799">
        <v>18342</v>
      </c>
      <c r="F1799">
        <v>106</v>
      </c>
      <c r="G1799" t="s">
        <v>9</v>
      </c>
      <c r="H1799" t="str" cm="1">
        <f t="array" ref="H1799">_xlfn.IFS(Grammys[[#This Row],[date]] &gt;= DATE(2022,2,1),"Grammys",TRUE,"Grammys TRA")</f>
        <v>Grammys TRA</v>
      </c>
      <c r="I1799">
        <f>_xlfn.XLOOKUP(Grammys[[#This Row],[date]],mobile_visits[date],mobile_visits[mobile_visitors],0)</f>
        <v>0</v>
      </c>
    </row>
    <row r="1800" spans="1:9">
      <c r="A1800" s="1">
        <v>44534</v>
      </c>
      <c r="B1800">
        <v>31242</v>
      </c>
      <c r="C1800">
        <v>55453</v>
      </c>
      <c r="D1800">
        <v>34124</v>
      </c>
      <c r="E1800">
        <v>16479</v>
      </c>
      <c r="F1800">
        <v>106</v>
      </c>
      <c r="G1800" t="s">
        <v>9</v>
      </c>
      <c r="H1800" t="str" cm="1">
        <f t="array" ref="H1800">_xlfn.IFS(Grammys[[#This Row],[date]] &gt;= DATE(2022,2,1),"Grammys",TRUE,"Grammys TRA")</f>
        <v>Grammys TRA</v>
      </c>
      <c r="I1800">
        <f>_xlfn.XLOOKUP(Grammys[[#This Row],[date]],mobile_visits[date],mobile_visits[mobile_visitors],0)</f>
        <v>0</v>
      </c>
    </row>
    <row r="1801" spans="1:9">
      <c r="A1801" s="1">
        <v>44535</v>
      </c>
      <c r="B1801">
        <v>32553</v>
      </c>
      <c r="C1801">
        <v>59475</v>
      </c>
      <c r="D1801">
        <v>35681</v>
      </c>
      <c r="E1801">
        <v>17556</v>
      </c>
      <c r="F1801">
        <v>107</v>
      </c>
      <c r="G1801" t="s">
        <v>9</v>
      </c>
      <c r="H1801" t="str" cm="1">
        <f t="array" ref="H1801">_xlfn.IFS(Grammys[[#This Row],[date]] &gt;= DATE(2022,2,1),"Grammys",TRUE,"Grammys TRA")</f>
        <v>Grammys TRA</v>
      </c>
      <c r="I1801">
        <f>_xlfn.XLOOKUP(Grammys[[#This Row],[date]],mobile_visits[date],mobile_visits[mobile_visitors],0)</f>
        <v>0</v>
      </c>
    </row>
    <row r="1802" spans="1:9">
      <c r="A1802" s="1">
        <v>44536</v>
      </c>
      <c r="B1802">
        <v>43623</v>
      </c>
      <c r="C1802">
        <v>81820</v>
      </c>
      <c r="D1802">
        <v>48175</v>
      </c>
      <c r="E1802">
        <v>22262</v>
      </c>
      <c r="F1802">
        <v>105</v>
      </c>
      <c r="G1802" t="s">
        <v>9</v>
      </c>
      <c r="H1802" t="str" cm="1">
        <f t="array" ref="H1802">_xlfn.IFS(Grammys[[#This Row],[date]] &gt;= DATE(2022,2,1),"Grammys",TRUE,"Grammys TRA")</f>
        <v>Grammys TRA</v>
      </c>
      <c r="I1802">
        <f>_xlfn.XLOOKUP(Grammys[[#This Row],[date]],mobile_visits[date],mobile_visits[mobile_visitors],0)</f>
        <v>0</v>
      </c>
    </row>
    <row r="1803" spans="1:9">
      <c r="A1803" s="1">
        <v>44537</v>
      </c>
      <c r="B1803">
        <v>42044</v>
      </c>
      <c r="C1803">
        <v>78539</v>
      </c>
      <c r="D1803">
        <v>46259</v>
      </c>
      <c r="E1803">
        <v>21418</v>
      </c>
      <c r="F1803">
        <v>104</v>
      </c>
      <c r="G1803" t="s">
        <v>9</v>
      </c>
      <c r="H1803" t="str" cm="1">
        <f t="array" ref="H1803">_xlfn.IFS(Grammys[[#This Row],[date]] &gt;= DATE(2022,2,1),"Grammys",TRUE,"Grammys TRA")</f>
        <v>Grammys TRA</v>
      </c>
      <c r="I1803">
        <f>_xlfn.XLOOKUP(Grammys[[#This Row],[date]],mobile_visits[date],mobile_visits[mobile_visitors],0)</f>
        <v>0</v>
      </c>
    </row>
    <row r="1804" spans="1:9">
      <c r="A1804" s="1">
        <v>44538</v>
      </c>
      <c r="B1804">
        <v>32332</v>
      </c>
      <c r="C1804">
        <v>62197</v>
      </c>
      <c r="D1804">
        <v>35880</v>
      </c>
      <c r="E1804">
        <v>16685</v>
      </c>
      <c r="F1804">
        <v>116</v>
      </c>
      <c r="G1804" t="s">
        <v>9</v>
      </c>
      <c r="H1804" t="str" cm="1">
        <f t="array" ref="H1804">_xlfn.IFS(Grammys[[#This Row],[date]] &gt;= DATE(2022,2,1),"Grammys",TRUE,"Grammys TRA")</f>
        <v>Grammys TRA</v>
      </c>
      <c r="I1804">
        <f>_xlfn.XLOOKUP(Grammys[[#This Row],[date]],mobile_visits[date],mobile_visits[mobile_visitors],0)</f>
        <v>0</v>
      </c>
    </row>
    <row r="1805" spans="1:9">
      <c r="A1805" s="1">
        <v>44539</v>
      </c>
      <c r="B1805">
        <v>28173</v>
      </c>
      <c r="C1805">
        <v>53624</v>
      </c>
      <c r="D1805">
        <v>31029</v>
      </c>
      <c r="E1805">
        <v>14609</v>
      </c>
      <c r="F1805">
        <v>106</v>
      </c>
      <c r="G1805" t="s">
        <v>9</v>
      </c>
      <c r="H1805" t="str" cm="1">
        <f t="array" ref="H1805">_xlfn.IFS(Grammys[[#This Row],[date]] &gt;= DATE(2022,2,1),"Grammys",TRUE,"Grammys TRA")</f>
        <v>Grammys TRA</v>
      </c>
      <c r="I1805">
        <f>_xlfn.XLOOKUP(Grammys[[#This Row],[date]],mobile_visits[date],mobile_visits[mobile_visitors],0)</f>
        <v>0</v>
      </c>
    </row>
    <row r="1806" spans="1:9">
      <c r="A1806" s="1">
        <v>44540</v>
      </c>
      <c r="B1806">
        <v>28200</v>
      </c>
      <c r="C1806">
        <v>50142</v>
      </c>
      <c r="D1806">
        <v>30273</v>
      </c>
      <c r="E1806">
        <v>14486</v>
      </c>
      <c r="F1806">
        <v>100</v>
      </c>
      <c r="G1806" t="s">
        <v>9</v>
      </c>
      <c r="H1806" t="str" cm="1">
        <f t="array" ref="H1806">_xlfn.IFS(Grammys[[#This Row],[date]] &gt;= DATE(2022,2,1),"Grammys",TRUE,"Grammys TRA")</f>
        <v>Grammys TRA</v>
      </c>
      <c r="I1806">
        <f>_xlfn.XLOOKUP(Grammys[[#This Row],[date]],mobile_visits[date],mobile_visits[mobile_visitors],0)</f>
        <v>0</v>
      </c>
    </row>
    <row r="1807" spans="1:9">
      <c r="A1807" s="1">
        <v>44541</v>
      </c>
      <c r="B1807">
        <v>25699</v>
      </c>
      <c r="C1807">
        <v>44794</v>
      </c>
      <c r="D1807">
        <v>27883</v>
      </c>
      <c r="E1807">
        <v>13658</v>
      </c>
      <c r="F1807">
        <v>98</v>
      </c>
      <c r="G1807" t="s">
        <v>9</v>
      </c>
      <c r="H1807" t="str" cm="1">
        <f t="array" ref="H1807">_xlfn.IFS(Grammys[[#This Row],[date]] &gt;= DATE(2022,2,1),"Grammys",TRUE,"Grammys TRA")</f>
        <v>Grammys TRA</v>
      </c>
      <c r="I1807">
        <f>_xlfn.XLOOKUP(Grammys[[#This Row],[date]],mobile_visits[date],mobile_visits[mobile_visitors],0)</f>
        <v>0</v>
      </c>
    </row>
    <row r="1808" spans="1:9">
      <c r="A1808" s="1">
        <v>44542</v>
      </c>
      <c r="B1808">
        <v>26464</v>
      </c>
      <c r="C1808">
        <v>46178</v>
      </c>
      <c r="D1808">
        <v>28753</v>
      </c>
      <c r="E1808">
        <v>14639</v>
      </c>
      <c r="F1808">
        <v>97</v>
      </c>
      <c r="G1808" t="s">
        <v>9</v>
      </c>
      <c r="H1808" t="str" cm="1">
        <f t="array" ref="H1808">_xlfn.IFS(Grammys[[#This Row],[date]] &gt;= DATE(2022,2,1),"Grammys",TRUE,"Grammys TRA")</f>
        <v>Grammys TRA</v>
      </c>
      <c r="I1808">
        <f>_xlfn.XLOOKUP(Grammys[[#This Row],[date]],mobile_visits[date],mobile_visits[mobile_visitors],0)</f>
        <v>0</v>
      </c>
    </row>
    <row r="1809" spans="1:9">
      <c r="A1809" s="1">
        <v>44543</v>
      </c>
      <c r="B1809">
        <v>25485</v>
      </c>
      <c r="C1809">
        <v>47839</v>
      </c>
      <c r="D1809">
        <v>28190</v>
      </c>
      <c r="E1809">
        <v>13859</v>
      </c>
      <c r="F1809">
        <v>103</v>
      </c>
      <c r="G1809" t="s">
        <v>9</v>
      </c>
      <c r="H1809" t="str" cm="1">
        <f t="array" ref="H1809">_xlfn.IFS(Grammys[[#This Row],[date]] &gt;= DATE(2022,2,1),"Grammys",TRUE,"Grammys TRA")</f>
        <v>Grammys TRA</v>
      </c>
      <c r="I1809">
        <f>_xlfn.XLOOKUP(Grammys[[#This Row],[date]],mobile_visits[date],mobile_visits[mobile_visitors],0)</f>
        <v>0</v>
      </c>
    </row>
    <row r="1810" spans="1:9">
      <c r="A1810" s="1">
        <v>44544</v>
      </c>
      <c r="B1810">
        <v>24091</v>
      </c>
      <c r="C1810">
        <v>43194</v>
      </c>
      <c r="D1810">
        <v>26089</v>
      </c>
      <c r="E1810">
        <v>13029</v>
      </c>
      <c r="F1810">
        <v>97</v>
      </c>
      <c r="G1810" t="s">
        <v>9</v>
      </c>
      <c r="H1810" t="str" cm="1">
        <f t="array" ref="H1810">_xlfn.IFS(Grammys[[#This Row],[date]] &gt;= DATE(2022,2,1),"Grammys",TRUE,"Grammys TRA")</f>
        <v>Grammys TRA</v>
      </c>
      <c r="I1810">
        <f>_xlfn.XLOOKUP(Grammys[[#This Row],[date]],mobile_visits[date],mobile_visits[mobile_visitors],0)</f>
        <v>0</v>
      </c>
    </row>
    <row r="1811" spans="1:9">
      <c r="A1811" s="1">
        <v>44545</v>
      </c>
      <c r="B1811">
        <v>21457</v>
      </c>
      <c r="C1811">
        <v>40012</v>
      </c>
      <c r="D1811">
        <v>23793</v>
      </c>
      <c r="E1811">
        <v>11976</v>
      </c>
      <c r="F1811">
        <v>96</v>
      </c>
      <c r="G1811" t="s">
        <v>9</v>
      </c>
      <c r="H1811" t="str" cm="1">
        <f t="array" ref="H1811">_xlfn.IFS(Grammys[[#This Row],[date]] &gt;= DATE(2022,2,1),"Grammys",TRUE,"Grammys TRA")</f>
        <v>Grammys TRA</v>
      </c>
      <c r="I1811">
        <f>_xlfn.XLOOKUP(Grammys[[#This Row],[date]],mobile_visits[date],mobile_visits[mobile_visitors],0)</f>
        <v>0</v>
      </c>
    </row>
    <row r="1812" spans="1:9">
      <c r="A1812" s="1">
        <v>44546</v>
      </c>
      <c r="B1812">
        <v>21360</v>
      </c>
      <c r="C1812">
        <v>38662</v>
      </c>
      <c r="D1812">
        <v>23302</v>
      </c>
      <c r="E1812">
        <v>11801</v>
      </c>
      <c r="F1812">
        <v>100</v>
      </c>
      <c r="G1812" t="s">
        <v>9</v>
      </c>
      <c r="H1812" t="str" cm="1">
        <f t="array" ref="H1812">_xlfn.IFS(Grammys[[#This Row],[date]] &gt;= DATE(2022,2,1),"Grammys",TRUE,"Grammys TRA")</f>
        <v>Grammys TRA</v>
      </c>
      <c r="I1812">
        <f>_xlfn.XLOOKUP(Grammys[[#This Row],[date]],mobile_visits[date],mobile_visits[mobile_visitors],0)</f>
        <v>0</v>
      </c>
    </row>
    <row r="1813" spans="1:9">
      <c r="A1813" s="1">
        <v>44547</v>
      </c>
      <c r="B1813">
        <v>19782</v>
      </c>
      <c r="C1813">
        <v>35502</v>
      </c>
      <c r="D1813">
        <v>21606</v>
      </c>
      <c r="E1813">
        <v>10963</v>
      </c>
      <c r="F1813">
        <v>97</v>
      </c>
      <c r="G1813" t="s">
        <v>9</v>
      </c>
      <c r="H1813" t="str" cm="1">
        <f t="array" ref="H1813">_xlfn.IFS(Grammys[[#This Row],[date]] &gt;= DATE(2022,2,1),"Grammys",TRUE,"Grammys TRA")</f>
        <v>Grammys TRA</v>
      </c>
      <c r="I1813">
        <f>_xlfn.XLOOKUP(Grammys[[#This Row],[date]],mobile_visits[date],mobile_visits[mobile_visitors],0)</f>
        <v>0</v>
      </c>
    </row>
    <row r="1814" spans="1:9">
      <c r="A1814" s="1">
        <v>44548</v>
      </c>
      <c r="B1814">
        <v>19568</v>
      </c>
      <c r="C1814">
        <v>33898</v>
      </c>
      <c r="D1814">
        <v>21348</v>
      </c>
      <c r="E1814">
        <v>10905</v>
      </c>
      <c r="F1814">
        <v>99</v>
      </c>
      <c r="G1814" t="s">
        <v>9</v>
      </c>
      <c r="H1814" t="str" cm="1">
        <f t="array" ref="H1814">_xlfn.IFS(Grammys[[#This Row],[date]] &gt;= DATE(2022,2,1),"Grammys",TRUE,"Grammys TRA")</f>
        <v>Grammys TRA</v>
      </c>
      <c r="I1814">
        <f>_xlfn.XLOOKUP(Grammys[[#This Row],[date]],mobile_visits[date],mobile_visits[mobile_visitors],0)</f>
        <v>0</v>
      </c>
    </row>
    <row r="1815" spans="1:9">
      <c r="A1815" s="1">
        <v>44549</v>
      </c>
      <c r="B1815">
        <v>19727</v>
      </c>
      <c r="C1815">
        <v>34366</v>
      </c>
      <c r="D1815">
        <v>21552</v>
      </c>
      <c r="E1815">
        <v>10843</v>
      </c>
      <c r="F1815">
        <v>101</v>
      </c>
      <c r="G1815" t="s">
        <v>9</v>
      </c>
      <c r="H1815" t="str" cm="1">
        <f t="array" ref="H1815">_xlfn.IFS(Grammys[[#This Row],[date]] &gt;= DATE(2022,2,1),"Grammys",TRUE,"Grammys TRA")</f>
        <v>Grammys TRA</v>
      </c>
      <c r="I1815">
        <f>_xlfn.XLOOKUP(Grammys[[#This Row],[date]],mobile_visits[date],mobile_visits[mobile_visitors],0)</f>
        <v>0</v>
      </c>
    </row>
    <row r="1816" spans="1:9">
      <c r="A1816" s="1">
        <v>44550</v>
      </c>
      <c r="B1816">
        <v>18962</v>
      </c>
      <c r="C1816">
        <v>34547</v>
      </c>
      <c r="D1816">
        <v>20771</v>
      </c>
      <c r="E1816">
        <v>10386</v>
      </c>
      <c r="F1816">
        <v>102</v>
      </c>
      <c r="G1816" t="s">
        <v>9</v>
      </c>
      <c r="H1816" t="str" cm="1">
        <f t="array" ref="H1816">_xlfn.IFS(Grammys[[#This Row],[date]] &gt;= DATE(2022,2,1),"Grammys",TRUE,"Grammys TRA")</f>
        <v>Grammys TRA</v>
      </c>
      <c r="I1816">
        <f>_xlfn.XLOOKUP(Grammys[[#This Row],[date]],mobile_visits[date],mobile_visits[mobile_visitors],0)</f>
        <v>0</v>
      </c>
    </row>
    <row r="1817" spans="1:9">
      <c r="A1817" s="1">
        <v>44551</v>
      </c>
      <c r="B1817">
        <v>19503</v>
      </c>
      <c r="C1817">
        <v>34327</v>
      </c>
      <c r="D1817">
        <v>21212</v>
      </c>
      <c r="E1817">
        <v>10660</v>
      </c>
      <c r="F1817">
        <v>99</v>
      </c>
      <c r="G1817" t="s">
        <v>9</v>
      </c>
      <c r="H1817" t="str" cm="1">
        <f t="array" ref="H1817">_xlfn.IFS(Grammys[[#This Row],[date]] &gt;= DATE(2022,2,1),"Grammys",TRUE,"Grammys TRA")</f>
        <v>Grammys TRA</v>
      </c>
      <c r="I1817">
        <f>_xlfn.XLOOKUP(Grammys[[#This Row],[date]],mobile_visits[date],mobile_visits[mobile_visitors],0)</f>
        <v>0</v>
      </c>
    </row>
    <row r="1818" spans="1:9">
      <c r="A1818" s="1">
        <v>44552</v>
      </c>
      <c r="B1818">
        <v>18941</v>
      </c>
      <c r="C1818">
        <v>33995</v>
      </c>
      <c r="D1818">
        <v>20901</v>
      </c>
      <c r="E1818">
        <v>10788</v>
      </c>
      <c r="F1818">
        <v>99</v>
      </c>
      <c r="G1818" t="s">
        <v>9</v>
      </c>
      <c r="H1818" t="str" cm="1">
        <f t="array" ref="H1818">_xlfn.IFS(Grammys[[#This Row],[date]] &gt;= DATE(2022,2,1),"Grammys",TRUE,"Grammys TRA")</f>
        <v>Grammys TRA</v>
      </c>
      <c r="I1818">
        <f>_xlfn.XLOOKUP(Grammys[[#This Row],[date]],mobile_visits[date],mobile_visits[mobile_visitors],0)</f>
        <v>0</v>
      </c>
    </row>
    <row r="1819" spans="1:9">
      <c r="A1819" s="1">
        <v>44553</v>
      </c>
      <c r="B1819">
        <v>18618</v>
      </c>
      <c r="C1819">
        <v>33070</v>
      </c>
      <c r="D1819">
        <v>20577</v>
      </c>
      <c r="E1819">
        <v>10441</v>
      </c>
      <c r="F1819">
        <v>97</v>
      </c>
      <c r="G1819" t="s">
        <v>9</v>
      </c>
      <c r="H1819" t="str" cm="1">
        <f t="array" ref="H1819">_xlfn.IFS(Grammys[[#This Row],[date]] &gt;= DATE(2022,2,1),"Grammys",TRUE,"Grammys TRA")</f>
        <v>Grammys TRA</v>
      </c>
      <c r="I1819">
        <f>_xlfn.XLOOKUP(Grammys[[#This Row],[date]],mobile_visits[date],mobile_visits[mobile_visitors],0)</f>
        <v>0</v>
      </c>
    </row>
    <row r="1820" spans="1:9">
      <c r="A1820" s="1">
        <v>44554</v>
      </c>
      <c r="B1820">
        <v>17222</v>
      </c>
      <c r="C1820">
        <v>29762</v>
      </c>
      <c r="D1820">
        <v>18848</v>
      </c>
      <c r="E1820">
        <v>9735</v>
      </c>
      <c r="F1820">
        <v>96</v>
      </c>
      <c r="G1820" t="s">
        <v>9</v>
      </c>
      <c r="H1820" t="str" cm="1">
        <f t="array" ref="H1820">_xlfn.IFS(Grammys[[#This Row],[date]] &gt;= DATE(2022,2,1),"Grammys",TRUE,"Grammys TRA")</f>
        <v>Grammys TRA</v>
      </c>
      <c r="I1820">
        <f>_xlfn.XLOOKUP(Grammys[[#This Row],[date]],mobile_visits[date],mobile_visits[mobile_visitors],0)</f>
        <v>0</v>
      </c>
    </row>
    <row r="1821" spans="1:9">
      <c r="A1821" s="1">
        <v>44555</v>
      </c>
      <c r="B1821">
        <v>16779</v>
      </c>
      <c r="C1821">
        <v>28706</v>
      </c>
      <c r="D1821">
        <v>18026</v>
      </c>
      <c r="E1821">
        <v>9385</v>
      </c>
      <c r="F1821">
        <v>95</v>
      </c>
      <c r="G1821" t="s">
        <v>9</v>
      </c>
      <c r="H1821" t="str" cm="1">
        <f t="array" ref="H1821">_xlfn.IFS(Grammys[[#This Row],[date]] &gt;= DATE(2022,2,1),"Grammys",TRUE,"Grammys TRA")</f>
        <v>Grammys TRA</v>
      </c>
      <c r="I1821">
        <f>_xlfn.XLOOKUP(Grammys[[#This Row],[date]],mobile_visits[date],mobile_visits[mobile_visitors],0)</f>
        <v>0</v>
      </c>
    </row>
    <row r="1822" spans="1:9">
      <c r="A1822" s="1">
        <v>44556</v>
      </c>
      <c r="B1822">
        <v>19561</v>
      </c>
      <c r="C1822">
        <v>34337</v>
      </c>
      <c r="D1822">
        <v>21534</v>
      </c>
      <c r="E1822">
        <v>10643</v>
      </c>
      <c r="F1822">
        <v>108</v>
      </c>
      <c r="G1822" t="s">
        <v>9</v>
      </c>
      <c r="H1822" t="str" cm="1">
        <f t="array" ref="H1822">_xlfn.IFS(Grammys[[#This Row],[date]] &gt;= DATE(2022,2,1),"Grammys",TRUE,"Grammys TRA")</f>
        <v>Grammys TRA</v>
      </c>
      <c r="I1822">
        <f>_xlfn.XLOOKUP(Grammys[[#This Row],[date]],mobile_visits[date],mobile_visits[mobile_visitors],0)</f>
        <v>0</v>
      </c>
    </row>
    <row r="1823" spans="1:9">
      <c r="A1823" s="1">
        <v>44557</v>
      </c>
      <c r="B1823">
        <v>19361</v>
      </c>
      <c r="C1823">
        <v>35186</v>
      </c>
      <c r="D1823">
        <v>21462</v>
      </c>
      <c r="E1823">
        <v>10495</v>
      </c>
      <c r="F1823">
        <v>106</v>
      </c>
      <c r="G1823" t="s">
        <v>9</v>
      </c>
      <c r="H1823" t="str" cm="1">
        <f t="array" ref="H1823">_xlfn.IFS(Grammys[[#This Row],[date]] &gt;= DATE(2022,2,1),"Grammys",TRUE,"Grammys TRA")</f>
        <v>Grammys TRA</v>
      </c>
      <c r="I1823">
        <f>_xlfn.XLOOKUP(Grammys[[#This Row],[date]],mobile_visits[date],mobile_visits[mobile_visitors],0)</f>
        <v>0</v>
      </c>
    </row>
    <row r="1824" spans="1:9">
      <c r="A1824" s="1">
        <v>44558</v>
      </c>
      <c r="B1824">
        <v>21521</v>
      </c>
      <c r="C1824">
        <v>39175</v>
      </c>
      <c r="D1824">
        <v>23579</v>
      </c>
      <c r="E1824">
        <v>11243</v>
      </c>
      <c r="F1824">
        <v>112</v>
      </c>
      <c r="G1824" t="s">
        <v>9</v>
      </c>
      <c r="H1824" t="str" cm="1">
        <f t="array" ref="H1824">_xlfn.IFS(Grammys[[#This Row],[date]] &gt;= DATE(2022,2,1),"Grammys",TRUE,"Grammys TRA")</f>
        <v>Grammys TRA</v>
      </c>
      <c r="I1824">
        <f>_xlfn.XLOOKUP(Grammys[[#This Row],[date]],mobile_visits[date],mobile_visits[mobile_visitors],0)</f>
        <v>0</v>
      </c>
    </row>
    <row r="1825" spans="1:9">
      <c r="A1825" s="1">
        <v>44559</v>
      </c>
      <c r="B1825">
        <v>21924</v>
      </c>
      <c r="C1825">
        <v>39992</v>
      </c>
      <c r="D1825">
        <v>24155</v>
      </c>
      <c r="E1825">
        <v>11670</v>
      </c>
      <c r="F1825">
        <v>110</v>
      </c>
      <c r="G1825" t="s">
        <v>9</v>
      </c>
      <c r="H1825" t="str" cm="1">
        <f t="array" ref="H1825">_xlfn.IFS(Grammys[[#This Row],[date]] &gt;= DATE(2022,2,1),"Grammys",TRUE,"Grammys TRA")</f>
        <v>Grammys TRA</v>
      </c>
      <c r="I1825">
        <f>_xlfn.XLOOKUP(Grammys[[#This Row],[date]],mobile_visits[date],mobile_visits[mobile_visitors],0)</f>
        <v>0</v>
      </c>
    </row>
    <row r="1826" spans="1:9">
      <c r="A1826" s="1">
        <v>44560</v>
      </c>
      <c r="B1826">
        <v>23859</v>
      </c>
      <c r="C1826">
        <v>44054</v>
      </c>
      <c r="D1826">
        <v>26137</v>
      </c>
      <c r="E1826">
        <v>11833</v>
      </c>
      <c r="F1826">
        <v>109</v>
      </c>
      <c r="G1826" t="s">
        <v>9</v>
      </c>
      <c r="H1826" t="str" cm="1">
        <f t="array" ref="H1826">_xlfn.IFS(Grammys[[#This Row],[date]] &gt;= DATE(2022,2,1),"Grammys",TRUE,"Grammys TRA")</f>
        <v>Grammys TRA</v>
      </c>
      <c r="I1826">
        <f>_xlfn.XLOOKUP(Grammys[[#This Row],[date]],mobile_visits[date],mobile_visits[mobile_visitors],0)</f>
        <v>0</v>
      </c>
    </row>
    <row r="1827" spans="1:9">
      <c r="A1827" s="1">
        <v>44561</v>
      </c>
      <c r="B1827">
        <v>35922</v>
      </c>
      <c r="C1827">
        <v>59931</v>
      </c>
      <c r="D1827">
        <v>38860</v>
      </c>
      <c r="E1827">
        <v>15883</v>
      </c>
      <c r="F1827">
        <v>94</v>
      </c>
      <c r="G1827" t="s">
        <v>9</v>
      </c>
      <c r="H1827" t="str" cm="1">
        <f t="array" ref="H1827">_xlfn.IFS(Grammys[[#This Row],[date]] &gt;= DATE(2022,2,1),"Grammys",TRUE,"Grammys TRA")</f>
        <v>Grammys TRA</v>
      </c>
      <c r="I1827">
        <f>_xlfn.XLOOKUP(Grammys[[#This Row],[date]],mobile_visits[date],mobile_visits[mobile_visitors],0)</f>
        <v>0</v>
      </c>
    </row>
    <row r="1828" spans="1:9">
      <c r="A1828" s="1">
        <v>44562</v>
      </c>
      <c r="B1828">
        <v>27103</v>
      </c>
      <c r="C1828">
        <v>46877</v>
      </c>
      <c r="D1828">
        <v>29266</v>
      </c>
      <c r="E1828">
        <v>13150</v>
      </c>
      <c r="F1828">
        <v>101</v>
      </c>
      <c r="G1828" t="s">
        <v>9</v>
      </c>
      <c r="H1828" t="str" cm="1">
        <f t="array" ref="H1828">_xlfn.IFS(Grammys[[#This Row],[date]] &gt;= DATE(2022,2,1),"Grammys",TRUE,"Grammys TRA")</f>
        <v>Grammys TRA</v>
      </c>
      <c r="I1828">
        <f>_xlfn.XLOOKUP(Grammys[[#This Row],[date]],mobile_visits[date],mobile_visits[mobile_visitors],0)</f>
        <v>0</v>
      </c>
    </row>
    <row r="1829" spans="1:9">
      <c r="A1829" s="1">
        <v>44563</v>
      </c>
      <c r="B1829">
        <v>25403</v>
      </c>
      <c r="C1829">
        <v>45582</v>
      </c>
      <c r="D1829">
        <v>27622</v>
      </c>
      <c r="E1829">
        <v>12640</v>
      </c>
      <c r="F1829">
        <v>110</v>
      </c>
      <c r="G1829" t="s">
        <v>9</v>
      </c>
      <c r="H1829" t="str" cm="1">
        <f t="array" ref="H1829">_xlfn.IFS(Grammys[[#This Row],[date]] &gt;= DATE(2022,2,1),"Grammys",TRUE,"Grammys TRA")</f>
        <v>Grammys TRA</v>
      </c>
      <c r="I1829">
        <f>_xlfn.XLOOKUP(Grammys[[#This Row],[date]],mobile_visits[date],mobile_visits[mobile_visitors],0)</f>
        <v>0</v>
      </c>
    </row>
    <row r="1830" spans="1:9">
      <c r="A1830" s="1">
        <v>44564</v>
      </c>
      <c r="B1830">
        <v>26678</v>
      </c>
      <c r="C1830">
        <v>49216</v>
      </c>
      <c r="D1830">
        <v>29098</v>
      </c>
      <c r="E1830">
        <v>13234</v>
      </c>
      <c r="F1830">
        <v>107</v>
      </c>
      <c r="G1830" t="s">
        <v>9</v>
      </c>
      <c r="H1830" t="str" cm="1">
        <f t="array" ref="H1830">_xlfn.IFS(Grammys[[#This Row],[date]] &gt;= DATE(2022,2,1),"Grammys",TRUE,"Grammys TRA")</f>
        <v>Grammys TRA</v>
      </c>
      <c r="I1830">
        <f>_xlfn.XLOOKUP(Grammys[[#This Row],[date]],mobile_visits[date],mobile_visits[mobile_visitors],0)</f>
        <v>0</v>
      </c>
    </row>
    <row r="1831" spans="1:9">
      <c r="A1831" s="1">
        <v>44565</v>
      </c>
      <c r="B1831">
        <v>32722</v>
      </c>
      <c r="C1831">
        <v>65614</v>
      </c>
      <c r="D1831">
        <v>36121</v>
      </c>
      <c r="E1831">
        <v>15457</v>
      </c>
      <c r="F1831">
        <v>114</v>
      </c>
      <c r="G1831" t="s">
        <v>9</v>
      </c>
      <c r="H1831" t="str" cm="1">
        <f t="array" ref="H1831">_xlfn.IFS(Grammys[[#This Row],[date]] &gt;= DATE(2022,2,1),"Grammys",TRUE,"Grammys TRA")</f>
        <v>Grammys TRA</v>
      </c>
      <c r="I1831">
        <f>_xlfn.XLOOKUP(Grammys[[#This Row],[date]],mobile_visits[date],mobile_visits[mobile_visitors],0)</f>
        <v>0</v>
      </c>
    </row>
    <row r="1832" spans="1:9">
      <c r="A1832" s="1">
        <v>44566</v>
      </c>
      <c r="B1832">
        <v>55461</v>
      </c>
      <c r="C1832">
        <v>93767</v>
      </c>
      <c r="D1832">
        <v>59677</v>
      </c>
      <c r="E1832">
        <v>23119</v>
      </c>
      <c r="F1832">
        <v>88</v>
      </c>
      <c r="G1832" t="s">
        <v>9</v>
      </c>
      <c r="H1832" t="str" cm="1">
        <f t="array" ref="H1832">_xlfn.IFS(Grammys[[#This Row],[date]] &gt;= DATE(2022,2,1),"Grammys",TRUE,"Grammys TRA")</f>
        <v>Grammys TRA</v>
      </c>
      <c r="I1832">
        <f>_xlfn.XLOOKUP(Grammys[[#This Row],[date]],mobile_visits[date],mobile_visits[mobile_visitors],0)</f>
        <v>0</v>
      </c>
    </row>
    <row r="1833" spans="1:9">
      <c r="A1833" s="1">
        <v>44567</v>
      </c>
      <c r="B1833">
        <v>45882</v>
      </c>
      <c r="C1833">
        <v>76172</v>
      </c>
      <c r="D1833">
        <v>49320</v>
      </c>
      <c r="E1833">
        <v>24641</v>
      </c>
      <c r="F1833">
        <v>77</v>
      </c>
      <c r="G1833" t="s">
        <v>9</v>
      </c>
      <c r="H1833" t="str" cm="1">
        <f t="array" ref="H1833">_xlfn.IFS(Grammys[[#This Row],[date]] &gt;= DATE(2022,2,1),"Grammys",TRUE,"Grammys TRA")</f>
        <v>Grammys TRA</v>
      </c>
      <c r="I1833">
        <f>_xlfn.XLOOKUP(Grammys[[#This Row],[date]],mobile_visits[date],mobile_visits[mobile_visitors],0)</f>
        <v>0</v>
      </c>
    </row>
    <row r="1834" spans="1:9">
      <c r="A1834" s="1">
        <v>44568</v>
      </c>
      <c r="B1834">
        <v>29218</v>
      </c>
      <c r="C1834">
        <v>53763</v>
      </c>
      <c r="D1834">
        <v>31714</v>
      </c>
      <c r="E1834">
        <v>13828</v>
      </c>
      <c r="F1834">
        <v>95</v>
      </c>
      <c r="G1834" t="s">
        <v>9</v>
      </c>
      <c r="H1834" t="str" cm="1">
        <f t="array" ref="H1834">_xlfn.IFS(Grammys[[#This Row],[date]] &gt;= DATE(2022,2,1),"Grammys",TRUE,"Grammys TRA")</f>
        <v>Grammys TRA</v>
      </c>
      <c r="I1834">
        <f>_xlfn.XLOOKUP(Grammys[[#This Row],[date]],mobile_visits[date],mobile_visits[mobile_visitors],0)</f>
        <v>0</v>
      </c>
    </row>
    <row r="1835" spans="1:9">
      <c r="A1835" s="1">
        <v>44569</v>
      </c>
      <c r="B1835">
        <v>25857</v>
      </c>
      <c r="C1835">
        <v>45869</v>
      </c>
      <c r="D1835">
        <v>27897</v>
      </c>
      <c r="E1835">
        <v>12429</v>
      </c>
      <c r="F1835">
        <v>99</v>
      </c>
      <c r="G1835" t="s">
        <v>9</v>
      </c>
      <c r="H1835" t="str" cm="1">
        <f t="array" ref="H1835">_xlfn.IFS(Grammys[[#This Row],[date]] &gt;= DATE(2022,2,1),"Grammys",TRUE,"Grammys TRA")</f>
        <v>Grammys TRA</v>
      </c>
      <c r="I1835">
        <f>_xlfn.XLOOKUP(Grammys[[#This Row],[date]],mobile_visits[date],mobile_visits[mobile_visitors],0)</f>
        <v>0</v>
      </c>
    </row>
    <row r="1836" spans="1:9">
      <c r="A1836" s="1">
        <v>44570</v>
      </c>
      <c r="B1836">
        <v>24280</v>
      </c>
      <c r="C1836">
        <v>43870</v>
      </c>
      <c r="D1836">
        <v>26562</v>
      </c>
      <c r="E1836">
        <v>12498</v>
      </c>
      <c r="F1836">
        <v>99</v>
      </c>
      <c r="G1836" t="s">
        <v>9</v>
      </c>
      <c r="H1836" t="str" cm="1">
        <f t="array" ref="H1836">_xlfn.IFS(Grammys[[#This Row],[date]] &gt;= DATE(2022,2,1),"Grammys",TRUE,"Grammys TRA")</f>
        <v>Grammys TRA</v>
      </c>
      <c r="I1836">
        <f>_xlfn.XLOOKUP(Grammys[[#This Row],[date]],mobile_visits[date],mobile_visits[mobile_visitors],0)</f>
        <v>0</v>
      </c>
    </row>
    <row r="1837" spans="1:9">
      <c r="A1837" s="1">
        <v>44571</v>
      </c>
      <c r="B1837">
        <v>25051</v>
      </c>
      <c r="C1837">
        <v>47148</v>
      </c>
      <c r="D1837">
        <v>27290</v>
      </c>
      <c r="E1837">
        <v>12786</v>
      </c>
      <c r="F1837">
        <v>94</v>
      </c>
      <c r="G1837" t="s">
        <v>9</v>
      </c>
      <c r="H1837" t="str" cm="1">
        <f t="array" ref="H1837">_xlfn.IFS(Grammys[[#This Row],[date]] &gt;= DATE(2022,2,1),"Grammys",TRUE,"Grammys TRA")</f>
        <v>Grammys TRA</v>
      </c>
      <c r="I1837">
        <f>_xlfn.XLOOKUP(Grammys[[#This Row],[date]],mobile_visits[date],mobile_visits[mobile_visitors],0)</f>
        <v>0</v>
      </c>
    </row>
    <row r="1838" spans="1:9">
      <c r="A1838" s="1">
        <v>44572</v>
      </c>
      <c r="B1838">
        <v>23817</v>
      </c>
      <c r="C1838">
        <v>44172</v>
      </c>
      <c r="D1838">
        <v>26166</v>
      </c>
      <c r="E1838">
        <v>12387</v>
      </c>
      <c r="F1838">
        <v>104</v>
      </c>
      <c r="G1838" t="s">
        <v>9</v>
      </c>
      <c r="H1838" t="str" cm="1">
        <f t="array" ref="H1838">_xlfn.IFS(Grammys[[#This Row],[date]] &gt;= DATE(2022,2,1),"Grammys",TRUE,"Grammys TRA")</f>
        <v>Grammys TRA</v>
      </c>
      <c r="I1838">
        <f>_xlfn.XLOOKUP(Grammys[[#This Row],[date]],mobile_visits[date],mobile_visits[mobile_visitors],0)</f>
        <v>0</v>
      </c>
    </row>
    <row r="1839" spans="1:9">
      <c r="A1839" s="1">
        <v>44573</v>
      </c>
      <c r="B1839">
        <v>24678</v>
      </c>
      <c r="C1839">
        <v>44288</v>
      </c>
      <c r="D1839">
        <v>26738</v>
      </c>
      <c r="E1839">
        <v>12672</v>
      </c>
      <c r="F1839">
        <v>107</v>
      </c>
      <c r="G1839" t="s">
        <v>9</v>
      </c>
      <c r="H1839" t="str" cm="1">
        <f t="array" ref="H1839">_xlfn.IFS(Grammys[[#This Row],[date]] &gt;= DATE(2022,2,1),"Grammys",TRUE,"Grammys TRA")</f>
        <v>Grammys TRA</v>
      </c>
      <c r="I1839">
        <f>_xlfn.XLOOKUP(Grammys[[#This Row],[date]],mobile_visits[date],mobile_visits[mobile_visitors],0)</f>
        <v>0</v>
      </c>
    </row>
    <row r="1840" spans="1:9">
      <c r="A1840" s="1">
        <v>44574</v>
      </c>
      <c r="B1840">
        <v>21036</v>
      </c>
      <c r="C1840">
        <v>37789</v>
      </c>
      <c r="D1840">
        <v>22598</v>
      </c>
      <c r="E1840">
        <v>11168</v>
      </c>
      <c r="F1840">
        <v>99</v>
      </c>
      <c r="G1840" t="s">
        <v>9</v>
      </c>
      <c r="H1840" t="str" cm="1">
        <f t="array" ref="H1840">_xlfn.IFS(Grammys[[#This Row],[date]] &gt;= DATE(2022,2,1),"Grammys",TRUE,"Grammys TRA")</f>
        <v>Grammys TRA</v>
      </c>
      <c r="I1840">
        <f>_xlfn.XLOOKUP(Grammys[[#This Row],[date]],mobile_visits[date],mobile_visits[mobile_visitors],0)</f>
        <v>0</v>
      </c>
    </row>
    <row r="1841" spans="1:9">
      <c r="A1841" s="1">
        <v>44575</v>
      </c>
      <c r="B1841">
        <v>20509</v>
      </c>
      <c r="C1841">
        <v>37322</v>
      </c>
      <c r="D1841">
        <v>22361</v>
      </c>
      <c r="E1841">
        <v>10989</v>
      </c>
      <c r="F1841">
        <v>95</v>
      </c>
      <c r="G1841" t="s">
        <v>9</v>
      </c>
      <c r="H1841" t="str" cm="1">
        <f t="array" ref="H1841">_xlfn.IFS(Grammys[[#This Row],[date]] &gt;= DATE(2022,2,1),"Grammys",TRUE,"Grammys TRA")</f>
        <v>Grammys TRA</v>
      </c>
      <c r="I1841">
        <f>_xlfn.XLOOKUP(Grammys[[#This Row],[date]],mobile_visits[date],mobile_visits[mobile_visitors],0)</f>
        <v>0</v>
      </c>
    </row>
    <row r="1842" spans="1:9">
      <c r="A1842" s="1">
        <v>44576</v>
      </c>
      <c r="B1842">
        <v>20504</v>
      </c>
      <c r="C1842">
        <v>35844</v>
      </c>
      <c r="D1842">
        <v>22568</v>
      </c>
      <c r="E1842">
        <v>11749</v>
      </c>
      <c r="F1842">
        <v>88</v>
      </c>
      <c r="G1842" t="s">
        <v>9</v>
      </c>
      <c r="H1842" t="str" cm="1">
        <f t="array" ref="H1842">_xlfn.IFS(Grammys[[#This Row],[date]] &gt;= DATE(2022,2,1),"Grammys",TRUE,"Grammys TRA")</f>
        <v>Grammys TRA</v>
      </c>
      <c r="I1842">
        <f>_xlfn.XLOOKUP(Grammys[[#This Row],[date]],mobile_visits[date],mobile_visits[mobile_visitors],0)</f>
        <v>0</v>
      </c>
    </row>
    <row r="1843" spans="1:9">
      <c r="A1843" s="1">
        <v>44577</v>
      </c>
      <c r="B1843">
        <v>20630</v>
      </c>
      <c r="C1843">
        <v>37128</v>
      </c>
      <c r="D1843">
        <v>22792</v>
      </c>
      <c r="E1843">
        <v>11283</v>
      </c>
      <c r="F1843">
        <v>95</v>
      </c>
      <c r="G1843" t="s">
        <v>9</v>
      </c>
      <c r="H1843" t="str" cm="1">
        <f t="array" ref="H1843">_xlfn.IFS(Grammys[[#This Row],[date]] &gt;= DATE(2022,2,1),"Grammys",TRUE,"Grammys TRA")</f>
        <v>Grammys TRA</v>
      </c>
      <c r="I1843">
        <f>_xlfn.XLOOKUP(Grammys[[#This Row],[date]],mobile_visits[date],mobile_visits[mobile_visitors],0)</f>
        <v>0</v>
      </c>
    </row>
    <row r="1844" spans="1:9">
      <c r="A1844" s="1">
        <v>44578</v>
      </c>
      <c r="B1844">
        <v>27402</v>
      </c>
      <c r="C1844">
        <v>47815</v>
      </c>
      <c r="D1844">
        <v>29844</v>
      </c>
      <c r="E1844">
        <v>14323</v>
      </c>
      <c r="F1844">
        <v>127</v>
      </c>
      <c r="G1844" t="s">
        <v>9</v>
      </c>
      <c r="H1844" t="str" cm="1">
        <f t="array" ref="H1844">_xlfn.IFS(Grammys[[#This Row],[date]] &gt;= DATE(2022,2,1),"Grammys",TRUE,"Grammys TRA")</f>
        <v>Grammys TRA</v>
      </c>
      <c r="I1844">
        <f>_xlfn.XLOOKUP(Grammys[[#This Row],[date]],mobile_visits[date],mobile_visits[mobile_visitors],0)</f>
        <v>0</v>
      </c>
    </row>
    <row r="1845" spans="1:9">
      <c r="A1845" s="1">
        <v>44579</v>
      </c>
      <c r="B1845">
        <v>30324</v>
      </c>
      <c r="C1845">
        <v>57248</v>
      </c>
      <c r="D1845">
        <v>32954</v>
      </c>
      <c r="E1845">
        <v>14619</v>
      </c>
      <c r="F1845">
        <v>110</v>
      </c>
      <c r="G1845" t="s">
        <v>9</v>
      </c>
      <c r="H1845" t="str" cm="1">
        <f t="array" ref="H1845">_xlfn.IFS(Grammys[[#This Row],[date]] &gt;= DATE(2022,2,1),"Grammys",TRUE,"Grammys TRA")</f>
        <v>Grammys TRA</v>
      </c>
      <c r="I1845">
        <f>_xlfn.XLOOKUP(Grammys[[#This Row],[date]],mobile_visits[date],mobile_visits[mobile_visitors],0)</f>
        <v>0</v>
      </c>
    </row>
    <row r="1846" spans="1:9">
      <c r="A1846" s="1">
        <v>44580</v>
      </c>
      <c r="B1846">
        <v>27005</v>
      </c>
      <c r="C1846">
        <v>51902</v>
      </c>
      <c r="D1846">
        <v>29456</v>
      </c>
      <c r="E1846">
        <v>13041</v>
      </c>
      <c r="F1846">
        <v>103</v>
      </c>
      <c r="G1846" t="s">
        <v>9</v>
      </c>
      <c r="H1846" t="str" cm="1">
        <f t="array" ref="H1846">_xlfn.IFS(Grammys[[#This Row],[date]] &gt;= DATE(2022,2,1),"Grammys",TRUE,"Grammys TRA")</f>
        <v>Grammys TRA</v>
      </c>
      <c r="I1846">
        <f>_xlfn.XLOOKUP(Grammys[[#This Row],[date]],mobile_visits[date],mobile_visits[mobile_visitors],0)</f>
        <v>0</v>
      </c>
    </row>
    <row r="1847" spans="1:9">
      <c r="A1847" s="1">
        <v>44581</v>
      </c>
      <c r="B1847">
        <v>29376</v>
      </c>
      <c r="C1847">
        <v>50163</v>
      </c>
      <c r="D1847">
        <v>31239</v>
      </c>
      <c r="E1847">
        <v>12409</v>
      </c>
      <c r="F1847">
        <v>109</v>
      </c>
      <c r="G1847" t="s">
        <v>9</v>
      </c>
      <c r="H1847" t="str" cm="1">
        <f t="array" ref="H1847">_xlfn.IFS(Grammys[[#This Row],[date]] &gt;= DATE(2022,2,1),"Grammys",TRUE,"Grammys TRA")</f>
        <v>Grammys TRA</v>
      </c>
      <c r="I1847">
        <f>_xlfn.XLOOKUP(Grammys[[#This Row],[date]],mobile_visits[date],mobile_visits[mobile_visitors],0)</f>
        <v>0</v>
      </c>
    </row>
    <row r="1848" spans="1:9">
      <c r="A1848" s="1">
        <v>44582</v>
      </c>
      <c r="B1848">
        <v>27532</v>
      </c>
      <c r="C1848">
        <v>47663</v>
      </c>
      <c r="D1848">
        <v>29526</v>
      </c>
      <c r="E1848">
        <v>13039</v>
      </c>
      <c r="F1848">
        <v>104</v>
      </c>
      <c r="G1848" t="s">
        <v>9</v>
      </c>
      <c r="H1848" t="str" cm="1">
        <f t="array" ref="H1848">_xlfn.IFS(Grammys[[#This Row],[date]] &gt;= DATE(2022,2,1),"Grammys",TRUE,"Grammys TRA")</f>
        <v>Grammys TRA</v>
      </c>
      <c r="I1848">
        <f>_xlfn.XLOOKUP(Grammys[[#This Row],[date]],mobile_visits[date],mobile_visits[mobile_visitors],0)</f>
        <v>0</v>
      </c>
    </row>
    <row r="1849" spans="1:9">
      <c r="A1849" s="1">
        <v>44583</v>
      </c>
      <c r="B1849">
        <v>25187</v>
      </c>
      <c r="C1849">
        <v>41634</v>
      </c>
      <c r="D1849">
        <v>26907</v>
      </c>
      <c r="E1849">
        <v>11592</v>
      </c>
      <c r="F1849">
        <v>107</v>
      </c>
      <c r="G1849" t="s">
        <v>9</v>
      </c>
      <c r="H1849" t="str" cm="1">
        <f t="array" ref="H1849">_xlfn.IFS(Grammys[[#This Row],[date]] &gt;= DATE(2022,2,1),"Grammys",TRUE,"Grammys TRA")</f>
        <v>Grammys TRA</v>
      </c>
      <c r="I1849">
        <f>_xlfn.XLOOKUP(Grammys[[#This Row],[date]],mobile_visits[date],mobile_visits[mobile_visitors],0)</f>
        <v>0</v>
      </c>
    </row>
    <row r="1850" spans="1:9">
      <c r="A1850" s="1">
        <v>44584</v>
      </c>
      <c r="B1850">
        <v>24506</v>
      </c>
      <c r="C1850">
        <v>40899</v>
      </c>
      <c r="D1850">
        <v>26326</v>
      </c>
      <c r="E1850">
        <v>11400</v>
      </c>
      <c r="F1850">
        <v>106</v>
      </c>
      <c r="G1850" t="s">
        <v>9</v>
      </c>
      <c r="H1850" t="str" cm="1">
        <f t="array" ref="H1850">_xlfn.IFS(Grammys[[#This Row],[date]] &gt;= DATE(2022,2,1),"Grammys",TRUE,"Grammys TRA")</f>
        <v>Grammys TRA</v>
      </c>
      <c r="I1850">
        <f>_xlfn.XLOOKUP(Grammys[[#This Row],[date]],mobile_visits[date],mobile_visits[mobile_visitors],0)</f>
        <v>0</v>
      </c>
    </row>
    <row r="1851" spans="1:9">
      <c r="A1851" s="1">
        <v>44585</v>
      </c>
      <c r="B1851">
        <v>24248</v>
      </c>
      <c r="C1851">
        <v>42219</v>
      </c>
      <c r="D1851">
        <v>26196</v>
      </c>
      <c r="E1851">
        <v>11519</v>
      </c>
      <c r="F1851">
        <v>102</v>
      </c>
      <c r="G1851" t="s">
        <v>9</v>
      </c>
      <c r="H1851" t="str" cm="1">
        <f t="array" ref="H1851">_xlfn.IFS(Grammys[[#This Row],[date]] &gt;= DATE(2022,2,1),"Grammys",TRUE,"Grammys TRA")</f>
        <v>Grammys TRA</v>
      </c>
      <c r="I1851">
        <f>_xlfn.XLOOKUP(Grammys[[#This Row],[date]],mobile_visits[date],mobile_visits[mobile_visitors],0)</f>
        <v>0</v>
      </c>
    </row>
    <row r="1852" spans="1:9">
      <c r="A1852" s="1">
        <v>44586</v>
      </c>
      <c r="B1852">
        <v>25663</v>
      </c>
      <c r="C1852">
        <v>44387</v>
      </c>
      <c r="D1852">
        <v>27496</v>
      </c>
      <c r="E1852">
        <v>11923</v>
      </c>
      <c r="F1852">
        <v>102</v>
      </c>
      <c r="G1852" t="s">
        <v>9</v>
      </c>
      <c r="H1852" t="str" cm="1">
        <f t="array" ref="H1852">_xlfn.IFS(Grammys[[#This Row],[date]] &gt;= DATE(2022,2,1),"Grammys",TRUE,"Grammys TRA")</f>
        <v>Grammys TRA</v>
      </c>
      <c r="I1852">
        <f>_xlfn.XLOOKUP(Grammys[[#This Row],[date]],mobile_visits[date],mobile_visits[mobile_visitors],0)</f>
        <v>0</v>
      </c>
    </row>
    <row r="1853" spans="1:9">
      <c r="A1853" s="1">
        <v>44587</v>
      </c>
      <c r="B1853">
        <v>20306</v>
      </c>
      <c r="C1853">
        <v>37956</v>
      </c>
      <c r="D1853">
        <v>22069</v>
      </c>
      <c r="E1853">
        <v>9247</v>
      </c>
      <c r="F1853">
        <v>118</v>
      </c>
      <c r="G1853" t="s">
        <v>9</v>
      </c>
      <c r="H1853" t="str" cm="1">
        <f t="array" ref="H1853">_xlfn.IFS(Grammys[[#This Row],[date]] &gt;= DATE(2022,2,1),"Grammys",TRUE,"Grammys TRA")</f>
        <v>Grammys TRA</v>
      </c>
      <c r="I1853">
        <f>_xlfn.XLOOKUP(Grammys[[#This Row],[date]],mobile_visits[date],mobile_visits[mobile_visitors],0)</f>
        <v>0</v>
      </c>
    </row>
    <row r="1854" spans="1:9">
      <c r="A1854" s="1">
        <v>44588</v>
      </c>
      <c r="B1854">
        <v>2</v>
      </c>
      <c r="C1854">
        <v>2</v>
      </c>
      <c r="D1854">
        <v>2</v>
      </c>
      <c r="E1854">
        <v>2</v>
      </c>
      <c r="F1854">
        <v>0</v>
      </c>
      <c r="G1854" t="s">
        <v>9</v>
      </c>
      <c r="H1854" t="str" cm="1">
        <f t="array" ref="H1854">_xlfn.IFS(Grammys[[#This Row],[date]] &gt;= DATE(2022,2,1),"Grammys",TRUE,"Grammys TRA")</f>
        <v>Grammys TRA</v>
      </c>
      <c r="I1854">
        <f>_xlfn.XLOOKUP(Grammys[[#This Row],[date]],mobile_visits[date],mobile_visits[mobile_visitors],0)</f>
        <v>0</v>
      </c>
    </row>
    <row r="1855" spans="1:9">
      <c r="A1855" s="1">
        <v>44589</v>
      </c>
      <c r="B1855">
        <v>32986</v>
      </c>
      <c r="C1855">
        <v>79160</v>
      </c>
      <c r="D1855">
        <v>36571</v>
      </c>
      <c r="E1855">
        <v>20268</v>
      </c>
      <c r="F1855">
        <v>83</v>
      </c>
      <c r="G1855" t="s">
        <v>9</v>
      </c>
      <c r="H1855" t="str" cm="1">
        <f t="array" ref="H1855">_xlfn.IFS(Grammys[[#This Row],[date]] &gt;= DATE(2022,2,1),"Grammys",TRUE,"Grammys TRA")</f>
        <v>Grammys TRA</v>
      </c>
      <c r="I1855">
        <f>_xlfn.XLOOKUP(Grammys[[#This Row],[date]],mobile_visits[date],mobile_visits[mobile_visitors],0)</f>
        <v>0</v>
      </c>
    </row>
    <row r="1856" spans="1:9">
      <c r="A1856" s="1">
        <v>44590</v>
      </c>
      <c r="B1856">
        <v>37899</v>
      </c>
      <c r="C1856">
        <v>79095</v>
      </c>
      <c r="D1856">
        <v>41920</v>
      </c>
      <c r="E1856">
        <v>25316</v>
      </c>
      <c r="F1856">
        <v>63</v>
      </c>
      <c r="G1856" t="s">
        <v>9</v>
      </c>
      <c r="H1856" t="str" cm="1">
        <f t="array" ref="H1856">_xlfn.IFS(Grammys[[#This Row],[date]] &gt;= DATE(2022,2,1),"Grammys",TRUE,"Grammys TRA")</f>
        <v>Grammys TRA</v>
      </c>
      <c r="I1856">
        <f>_xlfn.XLOOKUP(Grammys[[#This Row],[date]],mobile_visits[date],mobile_visits[mobile_visitors],0)</f>
        <v>0</v>
      </c>
    </row>
    <row r="1857" spans="1:9">
      <c r="A1857" s="1">
        <v>44591</v>
      </c>
      <c r="B1857">
        <v>39931</v>
      </c>
      <c r="C1857">
        <v>81186</v>
      </c>
      <c r="D1857">
        <v>43743</v>
      </c>
      <c r="E1857">
        <v>26636</v>
      </c>
      <c r="F1857">
        <v>61</v>
      </c>
      <c r="G1857" t="s">
        <v>9</v>
      </c>
      <c r="H1857" t="str" cm="1">
        <f t="array" ref="H1857">_xlfn.IFS(Grammys[[#This Row],[date]] &gt;= DATE(2022,2,1),"Grammys",TRUE,"Grammys TRA")</f>
        <v>Grammys TRA</v>
      </c>
      <c r="I1857">
        <f>_xlfn.XLOOKUP(Grammys[[#This Row],[date]],mobile_visits[date],mobile_visits[mobile_visitors],0)</f>
        <v>0</v>
      </c>
    </row>
    <row r="1858" spans="1:9">
      <c r="A1858" s="1">
        <v>44592</v>
      </c>
      <c r="B1858">
        <v>38221</v>
      </c>
      <c r="C1858">
        <v>92863</v>
      </c>
      <c r="D1858">
        <v>42291</v>
      </c>
      <c r="E1858">
        <v>21747</v>
      </c>
      <c r="F1858">
        <v>67</v>
      </c>
      <c r="G1858" t="s">
        <v>9</v>
      </c>
      <c r="H1858" t="str" cm="1">
        <f t="array" ref="H1858">_xlfn.IFS(Grammys[[#This Row],[date]] &gt;= DATE(2022,2,1),"Grammys",TRUE,"Grammys TRA")</f>
        <v>Grammys TRA</v>
      </c>
      <c r="I1858">
        <f>_xlfn.XLOOKUP(Grammys[[#This Row],[date]],mobile_visits[date],mobile_visits[mobile_visitors],0)</f>
        <v>0</v>
      </c>
    </row>
    <row r="1859" spans="1:9">
      <c r="A1859" s="1">
        <v>44593</v>
      </c>
      <c r="B1859">
        <v>33209</v>
      </c>
      <c r="C1859">
        <v>74033</v>
      </c>
      <c r="D1859">
        <v>30472</v>
      </c>
      <c r="E1859">
        <v>13070</v>
      </c>
      <c r="F1859">
        <v>69</v>
      </c>
      <c r="G1859" t="s">
        <v>9</v>
      </c>
      <c r="H1859" t="str" cm="1">
        <f t="array" ref="H1859">_xlfn.IFS(Grammys[[#This Row],[date]] &gt;= DATE(2022,2,1),"Grammys",TRUE,"Grammys TRA")</f>
        <v>Grammys</v>
      </c>
      <c r="I1859">
        <f>_xlfn.XLOOKUP(Grammys[[#This Row],[date]],mobile_visits[date],mobile_visits[mobile_visitors],0)</f>
        <v>23014</v>
      </c>
    </row>
    <row r="1860" spans="1:9">
      <c r="A1860" s="1">
        <v>44594</v>
      </c>
      <c r="B1860">
        <v>30511</v>
      </c>
      <c r="C1860">
        <v>43642</v>
      </c>
      <c r="D1860">
        <v>20761</v>
      </c>
      <c r="E1860">
        <v>11814</v>
      </c>
      <c r="F1860">
        <v>85</v>
      </c>
      <c r="G1860" t="s">
        <v>9</v>
      </c>
      <c r="H1860" t="str" cm="1">
        <f t="array" ref="H1860">_xlfn.IFS(Grammys[[#This Row],[date]] &gt;= DATE(2022,2,1),"Grammys",TRUE,"Grammys TRA")</f>
        <v>Grammys</v>
      </c>
      <c r="I1860">
        <f>_xlfn.XLOOKUP(Grammys[[#This Row],[date]],mobile_visits[date],mobile_visits[mobile_visitors],0)</f>
        <v>19951</v>
      </c>
    </row>
    <row r="1861" spans="1:9">
      <c r="A1861" s="1">
        <v>44595</v>
      </c>
      <c r="B1861">
        <v>31502</v>
      </c>
      <c r="C1861">
        <v>44147</v>
      </c>
      <c r="D1861">
        <v>20830</v>
      </c>
      <c r="E1861">
        <v>12015</v>
      </c>
      <c r="F1861">
        <v>90</v>
      </c>
      <c r="G1861" t="s">
        <v>9</v>
      </c>
      <c r="H1861" t="str" cm="1">
        <f t="array" ref="H1861">_xlfn.IFS(Grammys[[#This Row],[date]] &gt;= DATE(2022,2,1),"Grammys",TRUE,"Grammys TRA")</f>
        <v>Grammys</v>
      </c>
      <c r="I1861">
        <f>_xlfn.XLOOKUP(Grammys[[#This Row],[date]],mobile_visits[date],mobile_visits[mobile_visitors],0)</f>
        <v>21567</v>
      </c>
    </row>
    <row r="1862" spans="1:9">
      <c r="A1862" s="1">
        <v>44596</v>
      </c>
      <c r="B1862">
        <v>26863</v>
      </c>
      <c r="C1862">
        <v>39483</v>
      </c>
      <c r="D1862">
        <v>18700</v>
      </c>
      <c r="E1862">
        <v>10731</v>
      </c>
      <c r="F1862">
        <v>85</v>
      </c>
      <c r="G1862" t="s">
        <v>9</v>
      </c>
      <c r="H1862" t="str" cm="1">
        <f t="array" ref="H1862">_xlfn.IFS(Grammys[[#This Row],[date]] &gt;= DATE(2022,2,1),"Grammys",TRUE,"Grammys TRA")</f>
        <v>Grammys</v>
      </c>
      <c r="I1862">
        <f>_xlfn.XLOOKUP(Grammys[[#This Row],[date]],mobile_visits[date],mobile_visits[mobile_visitors],0)</f>
        <v>18362</v>
      </c>
    </row>
    <row r="1863" spans="1:9">
      <c r="A1863" s="1">
        <v>44597</v>
      </c>
      <c r="B1863">
        <v>18014</v>
      </c>
      <c r="C1863">
        <v>35046</v>
      </c>
      <c r="D1863">
        <v>16860</v>
      </c>
      <c r="E1863">
        <v>9604</v>
      </c>
      <c r="F1863">
        <v>75</v>
      </c>
      <c r="G1863" t="s">
        <v>9</v>
      </c>
      <c r="H1863" t="str" cm="1">
        <f t="array" ref="H1863">_xlfn.IFS(Grammys[[#This Row],[date]] &gt;= DATE(2022,2,1),"Grammys",TRUE,"Grammys TRA")</f>
        <v>Grammys</v>
      </c>
      <c r="I1863">
        <f>_xlfn.XLOOKUP(Grammys[[#This Row],[date]],mobile_visits[date],mobile_visits[mobile_visitors],0)</f>
        <v>12590</v>
      </c>
    </row>
    <row r="1864" spans="1:9">
      <c r="A1864" s="1">
        <v>44598</v>
      </c>
      <c r="B1864">
        <v>18287</v>
      </c>
      <c r="C1864">
        <v>34397</v>
      </c>
      <c r="D1864">
        <v>17185</v>
      </c>
      <c r="E1864">
        <v>10186</v>
      </c>
      <c r="F1864">
        <v>80</v>
      </c>
      <c r="G1864" t="s">
        <v>9</v>
      </c>
      <c r="H1864" t="str" cm="1">
        <f t="array" ref="H1864">_xlfn.IFS(Grammys[[#This Row],[date]] &gt;= DATE(2022,2,1),"Grammys",TRUE,"Grammys TRA")</f>
        <v>Grammys</v>
      </c>
      <c r="I1864">
        <f>_xlfn.XLOOKUP(Grammys[[#This Row],[date]],mobile_visits[date],mobile_visits[mobile_visitors],0)</f>
        <v>12316</v>
      </c>
    </row>
    <row r="1865" spans="1:9">
      <c r="A1865" s="1">
        <v>44599</v>
      </c>
      <c r="B1865">
        <v>19907</v>
      </c>
      <c r="C1865">
        <v>37993</v>
      </c>
      <c r="D1865">
        <v>18426</v>
      </c>
      <c r="E1865">
        <v>10715</v>
      </c>
      <c r="F1865">
        <v>86</v>
      </c>
      <c r="G1865" t="s">
        <v>9</v>
      </c>
      <c r="H1865" t="str" cm="1">
        <f t="array" ref="H1865">_xlfn.IFS(Grammys[[#This Row],[date]] &gt;= DATE(2022,2,1),"Grammys",TRUE,"Grammys TRA")</f>
        <v>Grammys</v>
      </c>
      <c r="I1865">
        <f>_xlfn.XLOOKUP(Grammys[[#This Row],[date]],mobile_visits[date],mobile_visits[mobile_visitors],0)</f>
        <v>10416</v>
      </c>
    </row>
    <row r="1866" spans="1:9">
      <c r="A1866" s="1">
        <v>44600</v>
      </c>
      <c r="B1866">
        <v>30850</v>
      </c>
      <c r="C1866">
        <v>69727</v>
      </c>
      <c r="D1866">
        <v>30684</v>
      </c>
      <c r="E1866">
        <v>15702</v>
      </c>
      <c r="F1866">
        <v>83</v>
      </c>
      <c r="G1866" t="s">
        <v>9</v>
      </c>
      <c r="H1866" t="str" cm="1">
        <f t="array" ref="H1866">_xlfn.IFS(Grammys[[#This Row],[date]] &gt;= DATE(2022,2,1),"Grammys",TRUE,"Grammys TRA")</f>
        <v>Grammys</v>
      </c>
      <c r="I1866">
        <f>_xlfn.XLOOKUP(Grammys[[#This Row],[date]],mobile_visits[date],mobile_visits[mobile_visitors],0)</f>
        <v>19299</v>
      </c>
    </row>
    <row r="1867" spans="1:9">
      <c r="A1867" s="1">
        <v>44601</v>
      </c>
      <c r="B1867">
        <v>26454</v>
      </c>
      <c r="C1867">
        <v>61007</v>
      </c>
      <c r="D1867">
        <v>26184</v>
      </c>
      <c r="E1867">
        <v>12739</v>
      </c>
      <c r="F1867">
        <v>88</v>
      </c>
      <c r="G1867" t="s">
        <v>9</v>
      </c>
      <c r="H1867" t="str" cm="1">
        <f t="array" ref="H1867">_xlfn.IFS(Grammys[[#This Row],[date]] &gt;= DATE(2022,2,1),"Grammys",TRUE,"Grammys TRA")</f>
        <v>Grammys</v>
      </c>
      <c r="I1867">
        <f>_xlfn.XLOOKUP(Grammys[[#This Row],[date]],mobile_visits[date],mobile_visits[mobile_visitors],0)</f>
        <v>16050</v>
      </c>
    </row>
    <row r="1868" spans="1:9">
      <c r="A1868" s="1">
        <v>44602</v>
      </c>
      <c r="B1868">
        <v>23368</v>
      </c>
      <c r="C1868">
        <v>53624</v>
      </c>
      <c r="D1868">
        <v>23246</v>
      </c>
      <c r="E1868">
        <v>11544</v>
      </c>
      <c r="F1868">
        <v>85</v>
      </c>
      <c r="G1868" t="s">
        <v>9</v>
      </c>
      <c r="H1868" t="str" cm="1">
        <f t="array" ref="H1868">_xlfn.IFS(Grammys[[#This Row],[date]] &gt;= DATE(2022,2,1),"Grammys",TRUE,"Grammys TRA")</f>
        <v>Grammys</v>
      </c>
      <c r="I1868">
        <f>_xlfn.XLOOKUP(Grammys[[#This Row],[date]],mobile_visits[date],mobile_visits[mobile_visitors],0)</f>
        <v>13590</v>
      </c>
    </row>
    <row r="1869" spans="1:9">
      <c r="A1869" s="1">
        <v>44603</v>
      </c>
      <c r="B1869">
        <v>23197</v>
      </c>
      <c r="C1869">
        <v>51566</v>
      </c>
      <c r="D1869">
        <v>22567</v>
      </c>
      <c r="E1869">
        <v>10819</v>
      </c>
      <c r="F1869">
        <v>82</v>
      </c>
      <c r="G1869" t="s">
        <v>9</v>
      </c>
      <c r="H1869" t="str" cm="1">
        <f t="array" ref="H1869">_xlfn.IFS(Grammys[[#This Row],[date]] &gt;= DATE(2022,2,1),"Grammys",TRUE,"Grammys TRA")</f>
        <v>Grammys</v>
      </c>
      <c r="I1869">
        <f>_xlfn.XLOOKUP(Grammys[[#This Row],[date]],mobile_visits[date],mobile_visits[mobile_visitors],0)</f>
        <v>13393</v>
      </c>
    </row>
    <row r="1870" spans="1:9">
      <c r="A1870" s="1">
        <v>44604</v>
      </c>
      <c r="B1870">
        <v>19978</v>
      </c>
      <c r="C1870">
        <v>44579</v>
      </c>
      <c r="D1870">
        <v>19796</v>
      </c>
      <c r="E1870">
        <v>9940</v>
      </c>
      <c r="F1870">
        <v>79</v>
      </c>
      <c r="G1870" t="s">
        <v>9</v>
      </c>
      <c r="H1870" t="str" cm="1">
        <f t="array" ref="H1870">_xlfn.IFS(Grammys[[#This Row],[date]] &gt;= DATE(2022,2,1),"Grammys",TRUE,"Grammys TRA")</f>
        <v>Grammys</v>
      </c>
      <c r="I1870">
        <f>_xlfn.XLOOKUP(Grammys[[#This Row],[date]],mobile_visits[date],mobile_visits[mobile_visitors],0)</f>
        <v>13824</v>
      </c>
    </row>
    <row r="1871" spans="1:9">
      <c r="A1871" s="1">
        <v>44605</v>
      </c>
      <c r="B1871">
        <v>22796</v>
      </c>
      <c r="C1871">
        <v>51628</v>
      </c>
      <c r="D1871">
        <v>23326</v>
      </c>
      <c r="E1871">
        <v>12039</v>
      </c>
      <c r="F1871">
        <v>74</v>
      </c>
      <c r="G1871" t="s">
        <v>9</v>
      </c>
      <c r="H1871" t="str" cm="1">
        <f t="array" ref="H1871">_xlfn.IFS(Grammys[[#This Row],[date]] &gt;= DATE(2022,2,1),"Grammys",TRUE,"Grammys TRA")</f>
        <v>Grammys</v>
      </c>
      <c r="I1871">
        <f>_xlfn.XLOOKUP(Grammys[[#This Row],[date]],mobile_visits[date],mobile_visits[mobile_visitors],0)</f>
        <v>15704</v>
      </c>
    </row>
    <row r="1872" spans="1:9">
      <c r="A1872" s="1">
        <v>44606</v>
      </c>
      <c r="B1872">
        <v>16559</v>
      </c>
      <c r="C1872">
        <v>29185</v>
      </c>
      <c r="D1872">
        <v>13695</v>
      </c>
      <c r="E1872">
        <v>7100</v>
      </c>
      <c r="F1872">
        <v>78</v>
      </c>
      <c r="G1872" t="s">
        <v>9</v>
      </c>
      <c r="H1872" t="str" cm="1">
        <f t="array" ref="H1872">_xlfn.IFS(Grammys[[#This Row],[date]] &gt;= DATE(2022,2,1),"Grammys",TRUE,"Grammys TRA")</f>
        <v>Grammys</v>
      </c>
      <c r="I1872">
        <f>_xlfn.XLOOKUP(Grammys[[#This Row],[date]],mobile_visits[date],mobile_visits[mobile_visitors],0)</f>
        <v>9362</v>
      </c>
    </row>
    <row r="1873" spans="1:9">
      <c r="A1873" s="1">
        <v>44607</v>
      </c>
      <c r="B1873">
        <v>17184</v>
      </c>
      <c r="C1873">
        <v>28356</v>
      </c>
      <c r="D1873">
        <v>13548</v>
      </c>
      <c r="E1873">
        <v>7135</v>
      </c>
      <c r="F1873">
        <v>81</v>
      </c>
      <c r="G1873" t="s">
        <v>9</v>
      </c>
      <c r="H1873" t="str" cm="1">
        <f t="array" ref="H1873">_xlfn.IFS(Grammys[[#This Row],[date]] &gt;= DATE(2022,2,1),"Grammys",TRUE,"Grammys TRA")</f>
        <v>Grammys</v>
      </c>
      <c r="I1873">
        <f>_xlfn.XLOOKUP(Grammys[[#This Row],[date]],mobile_visits[date],mobile_visits[mobile_visitors],0)</f>
        <v>9596</v>
      </c>
    </row>
    <row r="1874" spans="1:9">
      <c r="A1874" s="1">
        <v>44608</v>
      </c>
      <c r="B1874">
        <v>19998</v>
      </c>
      <c r="C1874">
        <v>33813</v>
      </c>
      <c r="D1874">
        <v>17766</v>
      </c>
      <c r="E1874">
        <v>10738</v>
      </c>
      <c r="F1874">
        <v>80</v>
      </c>
      <c r="G1874" t="s">
        <v>9</v>
      </c>
      <c r="H1874" t="str" cm="1">
        <f t="array" ref="H1874">_xlfn.IFS(Grammys[[#This Row],[date]] &gt;= DATE(2022,2,1),"Grammys",TRUE,"Grammys TRA")</f>
        <v>Grammys</v>
      </c>
      <c r="I1874">
        <f>_xlfn.XLOOKUP(Grammys[[#This Row],[date]],mobile_visits[date],mobile_visits[mobile_visitors],0)</f>
        <v>11132</v>
      </c>
    </row>
    <row r="1875" spans="1:9">
      <c r="A1875" s="1">
        <v>44609</v>
      </c>
      <c r="B1875">
        <v>17966</v>
      </c>
      <c r="C1875">
        <v>26957</v>
      </c>
      <c r="D1875">
        <v>13449</v>
      </c>
      <c r="E1875">
        <v>6989</v>
      </c>
      <c r="F1875">
        <v>84</v>
      </c>
      <c r="G1875" t="s">
        <v>9</v>
      </c>
      <c r="H1875" t="str" cm="1">
        <f t="array" ref="H1875">_xlfn.IFS(Grammys[[#This Row],[date]] &gt;= DATE(2022,2,1),"Grammys",TRUE,"Grammys TRA")</f>
        <v>Grammys</v>
      </c>
      <c r="I1875">
        <f>_xlfn.XLOOKUP(Grammys[[#This Row],[date]],mobile_visits[date],mobile_visits[mobile_visitors],0)</f>
        <v>10821</v>
      </c>
    </row>
    <row r="1876" spans="1:9">
      <c r="A1876" s="1">
        <v>44610</v>
      </c>
      <c r="B1876">
        <v>14732</v>
      </c>
      <c r="C1876">
        <v>23038</v>
      </c>
      <c r="D1876">
        <v>10750</v>
      </c>
      <c r="E1876">
        <v>5179</v>
      </c>
      <c r="F1876">
        <v>83</v>
      </c>
      <c r="G1876" t="s">
        <v>9</v>
      </c>
      <c r="H1876" t="str" cm="1">
        <f t="array" ref="H1876">_xlfn.IFS(Grammys[[#This Row],[date]] &gt;= DATE(2022,2,1),"Grammys",TRUE,"Grammys TRA")</f>
        <v>Grammys</v>
      </c>
      <c r="I1876">
        <f>_xlfn.XLOOKUP(Grammys[[#This Row],[date]],mobile_visits[date],mobile_visits[mobile_visitors],0)</f>
        <v>8344</v>
      </c>
    </row>
    <row r="1877" spans="1:9">
      <c r="A1877" s="1">
        <v>44611</v>
      </c>
      <c r="B1877">
        <v>13174</v>
      </c>
      <c r="C1877">
        <v>19607</v>
      </c>
      <c r="D1877">
        <v>9024</v>
      </c>
      <c r="E1877">
        <v>4382</v>
      </c>
      <c r="F1877">
        <v>72</v>
      </c>
      <c r="G1877" t="s">
        <v>9</v>
      </c>
      <c r="H1877" t="str" cm="1">
        <f t="array" ref="H1877">_xlfn.IFS(Grammys[[#This Row],[date]] &gt;= DATE(2022,2,1),"Grammys",TRUE,"Grammys TRA")</f>
        <v>Grammys</v>
      </c>
      <c r="I1877">
        <f>_xlfn.XLOOKUP(Grammys[[#This Row],[date]],mobile_visits[date],mobile_visits[mobile_visitors],0)</f>
        <v>9054</v>
      </c>
    </row>
    <row r="1878" spans="1:9">
      <c r="A1878" s="1">
        <v>44612</v>
      </c>
      <c r="B1878">
        <v>14536</v>
      </c>
      <c r="C1878">
        <v>22723</v>
      </c>
      <c r="D1878">
        <v>10400</v>
      </c>
      <c r="E1878">
        <v>4916</v>
      </c>
      <c r="F1878">
        <v>73</v>
      </c>
      <c r="G1878" t="s">
        <v>9</v>
      </c>
      <c r="H1878" t="str" cm="1">
        <f t="array" ref="H1878">_xlfn.IFS(Grammys[[#This Row],[date]] &gt;= DATE(2022,2,1),"Grammys",TRUE,"Grammys TRA")</f>
        <v>Grammys</v>
      </c>
      <c r="I1878">
        <f>_xlfn.XLOOKUP(Grammys[[#This Row],[date]],mobile_visits[date],mobile_visits[mobile_visitors],0)</f>
        <v>10781</v>
      </c>
    </row>
    <row r="1879" spans="1:9">
      <c r="A1879" s="1">
        <v>44613</v>
      </c>
      <c r="B1879">
        <v>14081</v>
      </c>
      <c r="C1879">
        <v>22226</v>
      </c>
      <c r="D1879">
        <v>10183</v>
      </c>
      <c r="E1879">
        <v>4925</v>
      </c>
      <c r="F1879">
        <v>72</v>
      </c>
      <c r="G1879" t="s">
        <v>9</v>
      </c>
      <c r="H1879" t="str" cm="1">
        <f t="array" ref="H1879">_xlfn.IFS(Grammys[[#This Row],[date]] &gt;= DATE(2022,2,1),"Grammys",TRUE,"Grammys TRA")</f>
        <v>Grammys</v>
      </c>
      <c r="I1879">
        <f>_xlfn.XLOOKUP(Grammys[[#This Row],[date]],mobile_visits[date],mobile_visits[mobile_visitors],0)</f>
        <v>8657</v>
      </c>
    </row>
    <row r="1880" spans="1:9">
      <c r="A1880" s="1">
        <v>44614</v>
      </c>
      <c r="B1880">
        <v>16266</v>
      </c>
      <c r="C1880">
        <v>25600</v>
      </c>
      <c r="D1880">
        <v>11882</v>
      </c>
      <c r="E1880">
        <v>5805</v>
      </c>
      <c r="F1880">
        <v>72</v>
      </c>
      <c r="G1880" t="s">
        <v>9</v>
      </c>
      <c r="H1880" t="str" cm="1">
        <f t="array" ref="H1880">_xlfn.IFS(Grammys[[#This Row],[date]] &gt;= DATE(2022,2,1),"Grammys",TRUE,"Grammys TRA")</f>
        <v>Grammys</v>
      </c>
      <c r="I1880">
        <f>_xlfn.XLOOKUP(Grammys[[#This Row],[date]],mobile_visits[date],mobile_visits[mobile_visitors],0)</f>
        <v>9721</v>
      </c>
    </row>
    <row r="1881" spans="1:9">
      <c r="A1881" s="1">
        <v>44615</v>
      </c>
      <c r="B1881">
        <v>16775</v>
      </c>
      <c r="C1881">
        <v>25088</v>
      </c>
      <c r="D1881">
        <v>11576</v>
      </c>
      <c r="E1881">
        <v>5800</v>
      </c>
      <c r="F1881">
        <v>75</v>
      </c>
      <c r="G1881" t="s">
        <v>9</v>
      </c>
      <c r="H1881" t="str" cm="1">
        <f t="array" ref="H1881">_xlfn.IFS(Grammys[[#This Row],[date]] &gt;= DATE(2022,2,1),"Grammys",TRUE,"Grammys TRA")</f>
        <v>Grammys</v>
      </c>
      <c r="I1881">
        <f>_xlfn.XLOOKUP(Grammys[[#This Row],[date]],mobile_visits[date],mobile_visits[mobile_visitors],0)</f>
        <v>9813</v>
      </c>
    </row>
    <row r="1882" spans="1:9">
      <c r="A1882" s="1">
        <v>44616</v>
      </c>
      <c r="B1882">
        <v>13671</v>
      </c>
      <c r="C1882">
        <v>20261</v>
      </c>
      <c r="D1882">
        <v>9548</v>
      </c>
      <c r="E1882">
        <v>4921</v>
      </c>
      <c r="F1882">
        <v>78</v>
      </c>
      <c r="G1882" t="s">
        <v>9</v>
      </c>
      <c r="H1882" t="str" cm="1">
        <f t="array" ref="H1882">_xlfn.IFS(Grammys[[#This Row],[date]] &gt;= DATE(2022,2,1),"Grammys",TRUE,"Grammys TRA")</f>
        <v>Grammys</v>
      </c>
      <c r="I1882">
        <f>_xlfn.XLOOKUP(Grammys[[#This Row],[date]],mobile_visits[date],mobile_visits[mobile_visitors],0)</f>
        <v>8065</v>
      </c>
    </row>
    <row r="1883" spans="1:9">
      <c r="A1883" s="1">
        <v>44617</v>
      </c>
      <c r="B1883">
        <v>20104</v>
      </c>
      <c r="C1883">
        <v>31104</v>
      </c>
      <c r="D1883">
        <v>12733</v>
      </c>
      <c r="E1883">
        <v>6079</v>
      </c>
      <c r="F1883">
        <v>78</v>
      </c>
      <c r="G1883" t="s">
        <v>9</v>
      </c>
      <c r="H1883" t="str" cm="1">
        <f t="array" ref="H1883">_xlfn.IFS(Grammys[[#This Row],[date]] &gt;= DATE(2022,2,1),"Grammys",TRUE,"Grammys TRA")</f>
        <v>Grammys</v>
      </c>
      <c r="I1883">
        <f>_xlfn.XLOOKUP(Grammys[[#This Row],[date]],mobile_visits[date],mobile_visits[mobile_visitors],0)</f>
        <v>14550</v>
      </c>
    </row>
    <row r="1884" spans="1:9">
      <c r="A1884" s="1">
        <v>44618</v>
      </c>
      <c r="B1884">
        <v>15521</v>
      </c>
      <c r="C1884">
        <v>25252</v>
      </c>
      <c r="D1884">
        <v>10565</v>
      </c>
      <c r="E1884">
        <v>4997</v>
      </c>
      <c r="F1884">
        <v>78</v>
      </c>
      <c r="G1884" t="s">
        <v>9</v>
      </c>
      <c r="H1884" t="str" cm="1">
        <f t="array" ref="H1884">_xlfn.IFS(Grammys[[#This Row],[date]] &gt;= DATE(2022,2,1),"Grammys",TRUE,"Grammys TRA")</f>
        <v>Grammys</v>
      </c>
      <c r="I1884">
        <f>_xlfn.XLOOKUP(Grammys[[#This Row],[date]],mobile_visits[date],mobile_visits[mobile_visitors],0)</f>
        <v>11505</v>
      </c>
    </row>
    <row r="1885" spans="1:9">
      <c r="A1885" s="1">
        <v>44619</v>
      </c>
      <c r="B1885">
        <v>14265</v>
      </c>
      <c r="C1885">
        <v>23380</v>
      </c>
      <c r="D1885">
        <v>10265</v>
      </c>
      <c r="E1885">
        <v>4823</v>
      </c>
      <c r="F1885">
        <v>75</v>
      </c>
      <c r="G1885" t="s">
        <v>9</v>
      </c>
      <c r="H1885" t="str" cm="1">
        <f t="array" ref="H1885">_xlfn.IFS(Grammys[[#This Row],[date]] &gt;= DATE(2022,2,1),"Grammys",TRUE,"Grammys TRA")</f>
        <v>Grammys</v>
      </c>
      <c r="I1885">
        <f>_xlfn.XLOOKUP(Grammys[[#This Row],[date]],mobile_visits[date],mobile_visits[mobile_visitors],0)</f>
        <v>9702</v>
      </c>
    </row>
    <row r="1886" spans="1:9">
      <c r="A1886" s="1">
        <v>44620</v>
      </c>
      <c r="B1886">
        <v>14589</v>
      </c>
      <c r="C1886">
        <v>22474</v>
      </c>
      <c r="D1886">
        <v>10376</v>
      </c>
      <c r="E1886">
        <v>5284</v>
      </c>
      <c r="F1886">
        <v>79</v>
      </c>
      <c r="G1886" t="s">
        <v>9</v>
      </c>
      <c r="H1886" t="str" cm="1">
        <f t="array" ref="H1886">_xlfn.IFS(Grammys[[#This Row],[date]] &gt;= DATE(2022,2,1),"Grammys",TRUE,"Grammys TRA")</f>
        <v>Grammys</v>
      </c>
      <c r="I1886">
        <f>_xlfn.XLOOKUP(Grammys[[#This Row],[date]],mobile_visits[date],mobile_visits[mobile_visitors],0)</f>
        <v>9113</v>
      </c>
    </row>
    <row r="1887" spans="1:9">
      <c r="A1887" s="1">
        <v>44621</v>
      </c>
      <c r="B1887">
        <v>12707</v>
      </c>
      <c r="C1887">
        <v>21191</v>
      </c>
      <c r="D1887">
        <v>9691</v>
      </c>
      <c r="E1887">
        <v>4946</v>
      </c>
      <c r="F1887">
        <v>74</v>
      </c>
      <c r="G1887" t="s">
        <v>9</v>
      </c>
      <c r="H1887" t="str" cm="1">
        <f t="array" ref="H1887">_xlfn.IFS(Grammys[[#This Row],[date]] &gt;= DATE(2022,2,1),"Grammys",TRUE,"Grammys TRA")</f>
        <v>Grammys</v>
      </c>
      <c r="I1887">
        <f>_xlfn.XLOOKUP(Grammys[[#This Row],[date]],mobile_visits[date],mobile_visits[mobile_visitors],0)</f>
        <v>7336</v>
      </c>
    </row>
    <row r="1888" spans="1:9">
      <c r="A1888" s="1">
        <v>44622</v>
      </c>
      <c r="B1888">
        <v>13615</v>
      </c>
      <c r="C1888">
        <v>23165</v>
      </c>
      <c r="D1888">
        <v>10378</v>
      </c>
      <c r="E1888">
        <v>5095</v>
      </c>
      <c r="F1888">
        <v>75</v>
      </c>
      <c r="G1888" t="s">
        <v>9</v>
      </c>
      <c r="H1888" t="str" cm="1">
        <f t="array" ref="H1888">_xlfn.IFS(Grammys[[#This Row],[date]] &gt;= DATE(2022,2,1),"Grammys",TRUE,"Grammys TRA")</f>
        <v>Grammys</v>
      </c>
      <c r="I1888">
        <f>_xlfn.XLOOKUP(Grammys[[#This Row],[date]],mobile_visits[date],mobile_visits[mobile_visitors],0)</f>
        <v>7905</v>
      </c>
    </row>
    <row r="1889" spans="1:9">
      <c r="A1889" s="1">
        <v>44623</v>
      </c>
      <c r="B1889">
        <v>15084</v>
      </c>
      <c r="C1889">
        <v>26558</v>
      </c>
      <c r="D1889">
        <v>11563</v>
      </c>
      <c r="E1889">
        <v>5573</v>
      </c>
      <c r="F1889">
        <v>78</v>
      </c>
      <c r="G1889" t="s">
        <v>9</v>
      </c>
      <c r="H1889" t="str" cm="1">
        <f t="array" ref="H1889">_xlfn.IFS(Grammys[[#This Row],[date]] &gt;= DATE(2022,2,1),"Grammys",TRUE,"Grammys TRA")</f>
        <v>Grammys</v>
      </c>
      <c r="I1889">
        <f>_xlfn.XLOOKUP(Grammys[[#This Row],[date]],mobile_visits[date],mobile_visits[mobile_visitors],0)</f>
        <v>9374</v>
      </c>
    </row>
    <row r="1890" spans="1:9">
      <c r="A1890" s="1">
        <v>44624</v>
      </c>
      <c r="B1890">
        <v>16010</v>
      </c>
      <c r="C1890">
        <v>33121</v>
      </c>
      <c r="D1890">
        <v>13823</v>
      </c>
      <c r="E1890">
        <v>6858</v>
      </c>
      <c r="F1890">
        <v>67</v>
      </c>
      <c r="G1890" t="s">
        <v>9</v>
      </c>
      <c r="H1890" t="str" cm="1">
        <f t="array" ref="H1890">_xlfn.IFS(Grammys[[#This Row],[date]] &gt;= DATE(2022,2,1),"Grammys",TRUE,"Grammys TRA")</f>
        <v>Grammys</v>
      </c>
      <c r="I1890">
        <f>_xlfn.XLOOKUP(Grammys[[#This Row],[date]],mobile_visits[date],mobile_visits[mobile_visitors],0)</f>
        <v>10977</v>
      </c>
    </row>
    <row r="1891" spans="1:9">
      <c r="A1891" s="1">
        <v>44625</v>
      </c>
      <c r="B1891">
        <v>14263</v>
      </c>
      <c r="C1891">
        <v>31479</v>
      </c>
      <c r="D1891">
        <v>11784</v>
      </c>
      <c r="E1891">
        <v>5441</v>
      </c>
      <c r="F1891">
        <v>66</v>
      </c>
      <c r="G1891" t="s">
        <v>9</v>
      </c>
      <c r="H1891" t="str" cm="1">
        <f t="array" ref="H1891">_xlfn.IFS(Grammys[[#This Row],[date]] &gt;= DATE(2022,2,1),"Grammys",TRUE,"Grammys TRA")</f>
        <v>Grammys</v>
      </c>
      <c r="I1891">
        <f>_xlfn.XLOOKUP(Grammys[[#This Row],[date]],mobile_visits[date],mobile_visits[mobile_visitors],0)</f>
        <v>10404</v>
      </c>
    </row>
    <row r="1892" spans="1:9">
      <c r="A1892" s="1">
        <v>44626</v>
      </c>
      <c r="B1892">
        <v>13775</v>
      </c>
      <c r="C1892">
        <v>28828</v>
      </c>
      <c r="D1892">
        <v>10936</v>
      </c>
      <c r="E1892">
        <v>4762</v>
      </c>
      <c r="F1892">
        <v>79</v>
      </c>
      <c r="G1892" t="s">
        <v>9</v>
      </c>
      <c r="H1892" t="str" cm="1">
        <f t="array" ref="H1892">_xlfn.IFS(Grammys[[#This Row],[date]] &gt;= DATE(2022,2,1),"Grammys",TRUE,"Grammys TRA")</f>
        <v>Grammys</v>
      </c>
      <c r="I1892">
        <f>_xlfn.XLOOKUP(Grammys[[#This Row],[date]],mobile_visits[date],mobile_visits[mobile_visitors],0)</f>
        <v>9655</v>
      </c>
    </row>
    <row r="1893" spans="1:9">
      <c r="A1893" s="1">
        <v>44627</v>
      </c>
      <c r="B1893">
        <v>15400</v>
      </c>
      <c r="C1893">
        <v>31321</v>
      </c>
      <c r="D1893">
        <v>12605</v>
      </c>
      <c r="E1893">
        <v>6098</v>
      </c>
      <c r="F1893">
        <v>77</v>
      </c>
      <c r="G1893" t="s">
        <v>9</v>
      </c>
      <c r="H1893" t="str" cm="1">
        <f t="array" ref="H1893">_xlfn.IFS(Grammys[[#This Row],[date]] &gt;= DATE(2022,2,1),"Grammys",TRUE,"Grammys TRA")</f>
        <v>Grammys</v>
      </c>
      <c r="I1893">
        <f>_xlfn.XLOOKUP(Grammys[[#This Row],[date]],mobile_visits[date],mobile_visits[mobile_visitors],0)</f>
        <v>9351</v>
      </c>
    </row>
    <row r="1894" spans="1:9">
      <c r="A1894" s="1">
        <v>44628</v>
      </c>
      <c r="B1894">
        <v>14808</v>
      </c>
      <c r="C1894">
        <v>29520</v>
      </c>
      <c r="D1894">
        <v>11915</v>
      </c>
      <c r="E1894">
        <v>5559</v>
      </c>
      <c r="F1894">
        <v>80</v>
      </c>
      <c r="G1894" t="s">
        <v>9</v>
      </c>
      <c r="H1894" t="str" cm="1">
        <f t="array" ref="H1894">_xlfn.IFS(Grammys[[#This Row],[date]] &gt;= DATE(2022,2,1),"Grammys",TRUE,"Grammys TRA")</f>
        <v>Grammys</v>
      </c>
      <c r="I1894">
        <f>_xlfn.XLOOKUP(Grammys[[#This Row],[date]],mobile_visits[date],mobile_visits[mobile_visitors],0)</f>
        <v>9410</v>
      </c>
    </row>
    <row r="1895" spans="1:9">
      <c r="A1895" s="1">
        <v>44629</v>
      </c>
      <c r="B1895">
        <v>14241</v>
      </c>
      <c r="C1895">
        <v>28081</v>
      </c>
      <c r="D1895">
        <v>11249</v>
      </c>
      <c r="E1895">
        <v>5118</v>
      </c>
      <c r="F1895">
        <v>77</v>
      </c>
      <c r="G1895" t="s">
        <v>9</v>
      </c>
      <c r="H1895" t="str" cm="1">
        <f t="array" ref="H1895">_xlfn.IFS(Grammys[[#This Row],[date]] &gt;= DATE(2022,2,1),"Grammys",TRUE,"Grammys TRA")</f>
        <v>Grammys</v>
      </c>
      <c r="I1895">
        <f>_xlfn.XLOOKUP(Grammys[[#This Row],[date]],mobile_visits[date],mobile_visits[mobile_visitors],0)</f>
        <v>8478</v>
      </c>
    </row>
    <row r="1896" spans="1:9">
      <c r="A1896" s="1">
        <v>44630</v>
      </c>
      <c r="B1896">
        <v>14840</v>
      </c>
      <c r="C1896">
        <v>30453</v>
      </c>
      <c r="D1896">
        <v>12201</v>
      </c>
      <c r="E1896">
        <v>5635</v>
      </c>
      <c r="F1896">
        <v>83</v>
      </c>
      <c r="G1896" t="s">
        <v>9</v>
      </c>
      <c r="H1896" t="str" cm="1">
        <f t="array" ref="H1896">_xlfn.IFS(Grammys[[#This Row],[date]] &gt;= DATE(2022,2,1),"Grammys",TRUE,"Grammys TRA")</f>
        <v>Grammys</v>
      </c>
      <c r="I1896">
        <f>_xlfn.XLOOKUP(Grammys[[#This Row],[date]],mobile_visits[date],mobile_visits[mobile_visitors],0)</f>
        <v>9234</v>
      </c>
    </row>
    <row r="1897" spans="1:9">
      <c r="A1897" s="1">
        <v>44631</v>
      </c>
      <c r="B1897">
        <v>14701</v>
      </c>
      <c r="C1897">
        <v>29701</v>
      </c>
      <c r="D1897">
        <v>12324</v>
      </c>
      <c r="E1897">
        <v>5928</v>
      </c>
      <c r="F1897">
        <v>81</v>
      </c>
      <c r="G1897" t="s">
        <v>9</v>
      </c>
      <c r="H1897" t="str" cm="1">
        <f t="array" ref="H1897">_xlfn.IFS(Grammys[[#This Row],[date]] &gt;= DATE(2022,2,1),"Grammys",TRUE,"Grammys TRA")</f>
        <v>Grammys</v>
      </c>
      <c r="I1897">
        <f>_xlfn.XLOOKUP(Grammys[[#This Row],[date]],mobile_visits[date],mobile_visits[mobile_visitors],0)</f>
        <v>9408</v>
      </c>
    </row>
    <row r="1898" spans="1:9">
      <c r="A1898" s="1">
        <v>44632</v>
      </c>
      <c r="B1898">
        <v>14572</v>
      </c>
      <c r="C1898">
        <v>29527</v>
      </c>
      <c r="D1898">
        <v>12313</v>
      </c>
      <c r="E1898">
        <v>6013</v>
      </c>
      <c r="F1898">
        <v>69</v>
      </c>
      <c r="G1898" t="s">
        <v>9</v>
      </c>
      <c r="H1898" t="str" cm="1">
        <f t="array" ref="H1898">_xlfn.IFS(Grammys[[#This Row],[date]] &gt;= DATE(2022,2,1),"Grammys",TRUE,"Grammys TRA")</f>
        <v>Grammys</v>
      </c>
      <c r="I1898">
        <f>_xlfn.XLOOKUP(Grammys[[#This Row],[date]],mobile_visits[date],mobile_visits[mobile_visitors],0)</f>
        <v>10478</v>
      </c>
    </row>
    <row r="1899" spans="1:9">
      <c r="A1899" s="1">
        <v>44633</v>
      </c>
      <c r="B1899">
        <v>18949</v>
      </c>
      <c r="C1899">
        <v>33107</v>
      </c>
      <c r="D1899">
        <v>14118</v>
      </c>
      <c r="E1899">
        <v>6822</v>
      </c>
      <c r="F1899">
        <v>63</v>
      </c>
      <c r="G1899" t="s">
        <v>9</v>
      </c>
      <c r="H1899" t="str" cm="1">
        <f t="array" ref="H1899">_xlfn.IFS(Grammys[[#This Row],[date]] &gt;= DATE(2022,2,1),"Grammys",TRUE,"Grammys TRA")</f>
        <v>Grammys</v>
      </c>
      <c r="I1899">
        <f>_xlfn.XLOOKUP(Grammys[[#This Row],[date]],mobile_visits[date],mobile_visits[mobile_visitors],0)</f>
        <v>11570</v>
      </c>
    </row>
    <row r="1900" spans="1:9">
      <c r="A1900" s="1">
        <v>44634</v>
      </c>
      <c r="B1900">
        <v>26073</v>
      </c>
      <c r="C1900">
        <v>48843</v>
      </c>
      <c r="D1900">
        <v>20992</v>
      </c>
      <c r="E1900">
        <v>10434</v>
      </c>
      <c r="F1900">
        <v>66</v>
      </c>
      <c r="G1900" t="s">
        <v>9</v>
      </c>
      <c r="H1900" t="str" cm="1">
        <f t="array" ref="H1900">_xlfn.IFS(Grammys[[#This Row],[date]] &gt;= DATE(2022,2,1),"Grammys",TRUE,"Grammys TRA")</f>
        <v>Grammys</v>
      </c>
      <c r="I1900">
        <f>_xlfn.XLOOKUP(Grammys[[#This Row],[date]],mobile_visits[date],mobile_visits[mobile_visitors],0)</f>
        <v>14861</v>
      </c>
    </row>
    <row r="1901" spans="1:9">
      <c r="A1901" s="1">
        <v>44635</v>
      </c>
      <c r="B1901">
        <v>48971</v>
      </c>
      <c r="C1901">
        <v>106667</v>
      </c>
      <c r="D1901">
        <v>45121</v>
      </c>
      <c r="E1901">
        <v>21794</v>
      </c>
      <c r="F1901">
        <v>64</v>
      </c>
      <c r="G1901" t="s">
        <v>9</v>
      </c>
      <c r="H1901" t="str" cm="1">
        <f t="array" ref="H1901">_xlfn.IFS(Grammys[[#This Row],[date]] &gt;= DATE(2022,2,1),"Grammys",TRUE,"Grammys TRA")</f>
        <v>Grammys</v>
      </c>
      <c r="I1901">
        <f>_xlfn.XLOOKUP(Grammys[[#This Row],[date]],mobile_visits[date],mobile_visits[mobile_visitors],0)</f>
        <v>34343</v>
      </c>
    </row>
    <row r="1902" spans="1:9">
      <c r="A1902" s="1">
        <v>44636</v>
      </c>
      <c r="B1902">
        <v>26864</v>
      </c>
      <c r="C1902">
        <v>60009</v>
      </c>
      <c r="D1902">
        <v>24616</v>
      </c>
      <c r="E1902">
        <v>11757</v>
      </c>
      <c r="F1902">
        <v>75</v>
      </c>
      <c r="G1902" t="s">
        <v>9</v>
      </c>
      <c r="H1902" t="str" cm="1">
        <f t="array" ref="H1902">_xlfn.IFS(Grammys[[#This Row],[date]] &gt;= DATE(2022,2,1),"Grammys",TRUE,"Grammys TRA")</f>
        <v>Grammys</v>
      </c>
      <c r="I1902">
        <f>_xlfn.XLOOKUP(Grammys[[#This Row],[date]],mobile_visits[date],mobile_visits[mobile_visitors],0)</f>
        <v>17294</v>
      </c>
    </row>
    <row r="1903" spans="1:9">
      <c r="A1903" s="1">
        <v>44637</v>
      </c>
      <c r="B1903">
        <v>23775</v>
      </c>
      <c r="C1903">
        <v>57572</v>
      </c>
      <c r="D1903">
        <v>23951</v>
      </c>
      <c r="E1903">
        <v>10913</v>
      </c>
      <c r="F1903">
        <v>86</v>
      </c>
      <c r="G1903" t="s">
        <v>9</v>
      </c>
      <c r="H1903" t="str" cm="1">
        <f t="array" ref="H1903">_xlfn.IFS(Grammys[[#This Row],[date]] &gt;= DATE(2022,2,1),"Grammys",TRUE,"Grammys TRA")</f>
        <v>Grammys</v>
      </c>
      <c r="I1903">
        <f>_xlfn.XLOOKUP(Grammys[[#This Row],[date]],mobile_visits[date],mobile_visits[mobile_visitors],0)</f>
        <v>14935</v>
      </c>
    </row>
    <row r="1904" spans="1:9">
      <c r="A1904" s="1">
        <v>44638</v>
      </c>
      <c r="B1904">
        <v>26065</v>
      </c>
      <c r="C1904">
        <v>65859</v>
      </c>
      <c r="D1904">
        <v>28685</v>
      </c>
      <c r="E1904">
        <v>13213</v>
      </c>
      <c r="F1904">
        <v>87</v>
      </c>
      <c r="G1904" t="s">
        <v>9</v>
      </c>
      <c r="H1904" t="str" cm="1">
        <f t="array" ref="H1904">_xlfn.IFS(Grammys[[#This Row],[date]] &gt;= DATE(2022,2,1),"Grammys",TRUE,"Grammys TRA")</f>
        <v>Grammys</v>
      </c>
      <c r="I1904">
        <f>_xlfn.XLOOKUP(Grammys[[#This Row],[date]],mobile_visits[date],mobile_visits[mobile_visitors],0)</f>
        <v>18086</v>
      </c>
    </row>
    <row r="1905" spans="1:9">
      <c r="A1905" s="1">
        <v>44639</v>
      </c>
      <c r="B1905">
        <v>31396</v>
      </c>
      <c r="C1905">
        <v>77684</v>
      </c>
      <c r="D1905">
        <v>34269</v>
      </c>
      <c r="E1905">
        <v>15915</v>
      </c>
      <c r="F1905">
        <v>77</v>
      </c>
      <c r="G1905" t="s">
        <v>9</v>
      </c>
      <c r="H1905" t="str" cm="1">
        <f t="array" ref="H1905">_xlfn.IFS(Grammys[[#This Row],[date]] &gt;= DATE(2022,2,1),"Grammys",TRUE,"Grammys TRA")</f>
        <v>Grammys</v>
      </c>
      <c r="I1905">
        <f>_xlfn.XLOOKUP(Grammys[[#This Row],[date]],mobile_visits[date],mobile_visits[mobile_visitors],0)</f>
        <v>24121</v>
      </c>
    </row>
    <row r="1906" spans="1:9">
      <c r="A1906" s="1">
        <v>44640</v>
      </c>
      <c r="B1906">
        <v>33350</v>
      </c>
      <c r="C1906">
        <v>83321</v>
      </c>
      <c r="D1906">
        <v>36290</v>
      </c>
      <c r="E1906">
        <v>16277</v>
      </c>
      <c r="F1906">
        <v>80</v>
      </c>
      <c r="G1906" t="s">
        <v>9</v>
      </c>
      <c r="H1906" t="str" cm="1">
        <f t="array" ref="H1906">_xlfn.IFS(Grammys[[#This Row],[date]] &gt;= DATE(2022,2,1),"Grammys",TRUE,"Grammys TRA")</f>
        <v>Grammys</v>
      </c>
      <c r="I1906">
        <f>_xlfn.XLOOKUP(Grammys[[#This Row],[date]],mobile_visits[date],mobile_visits[mobile_visitors],0)</f>
        <v>24641</v>
      </c>
    </row>
    <row r="1907" spans="1:9">
      <c r="A1907" s="1">
        <v>44641</v>
      </c>
      <c r="B1907">
        <v>32206</v>
      </c>
      <c r="C1907">
        <v>81304</v>
      </c>
      <c r="D1907">
        <v>35331</v>
      </c>
      <c r="E1907">
        <v>15786</v>
      </c>
      <c r="F1907">
        <v>90</v>
      </c>
      <c r="G1907" t="s">
        <v>9</v>
      </c>
      <c r="H1907" t="str" cm="1">
        <f t="array" ref="H1907">_xlfn.IFS(Grammys[[#This Row],[date]] &gt;= DATE(2022,2,1),"Grammys",TRUE,"Grammys TRA")</f>
        <v>Grammys</v>
      </c>
      <c r="I1907">
        <f>_xlfn.XLOOKUP(Grammys[[#This Row],[date]],mobile_visits[date],mobile_visits[mobile_visitors],0)</f>
        <v>20029</v>
      </c>
    </row>
    <row r="1908" spans="1:9">
      <c r="A1908" s="1">
        <v>44642</v>
      </c>
      <c r="B1908">
        <v>37508</v>
      </c>
      <c r="C1908">
        <v>103033</v>
      </c>
      <c r="D1908">
        <v>42065</v>
      </c>
      <c r="E1908">
        <v>18366</v>
      </c>
      <c r="F1908">
        <v>91</v>
      </c>
      <c r="G1908" t="s">
        <v>9</v>
      </c>
      <c r="H1908" t="str" cm="1">
        <f t="array" ref="H1908">_xlfn.IFS(Grammys[[#This Row],[date]] &gt;= DATE(2022,2,1),"Grammys",TRUE,"Grammys TRA")</f>
        <v>Grammys</v>
      </c>
      <c r="I1908">
        <f>_xlfn.XLOOKUP(Grammys[[#This Row],[date]],mobile_visits[date],mobile_visits[mobile_visitors],0)</f>
        <v>25122</v>
      </c>
    </row>
    <row r="1909" spans="1:9">
      <c r="A1909" s="1">
        <v>44643</v>
      </c>
      <c r="B1909">
        <v>34953</v>
      </c>
      <c r="C1909">
        <v>95806</v>
      </c>
      <c r="D1909">
        <v>38692</v>
      </c>
      <c r="E1909">
        <v>17187</v>
      </c>
      <c r="F1909">
        <v>101</v>
      </c>
      <c r="G1909" t="s">
        <v>9</v>
      </c>
      <c r="H1909" t="str" cm="1">
        <f t="array" ref="H1909">_xlfn.IFS(Grammys[[#This Row],[date]] &gt;= DATE(2022,2,1),"Grammys",TRUE,"Grammys TRA")</f>
        <v>Grammys</v>
      </c>
      <c r="I1909">
        <f>_xlfn.XLOOKUP(Grammys[[#This Row],[date]],mobile_visits[date],mobile_visits[mobile_visitors],0)</f>
        <v>23193</v>
      </c>
    </row>
    <row r="1910" spans="1:9">
      <c r="A1910" s="1">
        <v>44644</v>
      </c>
      <c r="B1910">
        <v>33743</v>
      </c>
      <c r="C1910">
        <v>90676</v>
      </c>
      <c r="D1910">
        <v>37781</v>
      </c>
      <c r="E1910">
        <v>16696</v>
      </c>
      <c r="F1910">
        <v>99</v>
      </c>
      <c r="G1910" t="s">
        <v>9</v>
      </c>
      <c r="H1910" t="str" cm="1">
        <f t="array" ref="H1910">_xlfn.IFS(Grammys[[#This Row],[date]] &gt;= DATE(2022,2,1),"Grammys",TRUE,"Grammys TRA")</f>
        <v>Grammys</v>
      </c>
      <c r="I1910">
        <f>_xlfn.XLOOKUP(Grammys[[#This Row],[date]],mobile_visits[date],mobile_visits[mobile_visitors],0)</f>
        <v>21853</v>
      </c>
    </row>
    <row r="1911" spans="1:9">
      <c r="A1911" s="1">
        <v>44645</v>
      </c>
      <c r="B1911">
        <v>35229</v>
      </c>
      <c r="C1911">
        <v>94117</v>
      </c>
      <c r="D1911">
        <v>39188</v>
      </c>
      <c r="E1911">
        <v>17572</v>
      </c>
      <c r="F1911">
        <v>90</v>
      </c>
      <c r="G1911" t="s">
        <v>9</v>
      </c>
      <c r="H1911" t="str" cm="1">
        <f t="array" ref="H1911">_xlfn.IFS(Grammys[[#This Row],[date]] &gt;= DATE(2022,2,1),"Grammys",TRUE,"Grammys TRA")</f>
        <v>Grammys</v>
      </c>
      <c r="I1911">
        <f>_xlfn.XLOOKUP(Grammys[[#This Row],[date]],mobile_visits[date],mobile_visits[mobile_visitors],0)</f>
        <v>23730</v>
      </c>
    </row>
    <row r="1912" spans="1:9">
      <c r="A1912" s="1">
        <v>44646</v>
      </c>
      <c r="B1912">
        <v>39481</v>
      </c>
      <c r="C1912">
        <v>104183</v>
      </c>
      <c r="D1912">
        <v>45128</v>
      </c>
      <c r="E1912">
        <v>21337</v>
      </c>
      <c r="F1912">
        <v>84</v>
      </c>
      <c r="G1912" t="s">
        <v>9</v>
      </c>
      <c r="H1912" t="str" cm="1">
        <f t="array" ref="H1912">_xlfn.IFS(Grammys[[#This Row],[date]] &gt;= DATE(2022,2,1),"Grammys",TRUE,"Grammys TRA")</f>
        <v>Grammys</v>
      </c>
      <c r="I1912">
        <f>_xlfn.XLOOKUP(Grammys[[#This Row],[date]],mobile_visits[date],mobile_visits[mobile_visitors],0)</f>
        <v>31163</v>
      </c>
    </row>
    <row r="1913" spans="1:9">
      <c r="A1913" s="1">
        <v>44647</v>
      </c>
      <c r="B1913">
        <v>81975</v>
      </c>
      <c r="C1913">
        <v>238268</v>
      </c>
      <c r="D1913">
        <v>90662</v>
      </c>
      <c r="E1913">
        <v>35894</v>
      </c>
      <c r="F1913">
        <v>90</v>
      </c>
      <c r="G1913" t="s">
        <v>9</v>
      </c>
      <c r="H1913" t="str" cm="1">
        <f t="array" ref="H1913">_xlfn.IFS(Grammys[[#This Row],[date]] &gt;= DATE(2022,2,1),"Grammys",TRUE,"Grammys TRA")</f>
        <v>Grammys</v>
      </c>
      <c r="I1913">
        <f>_xlfn.XLOOKUP(Grammys[[#This Row],[date]],mobile_visits[date],mobile_visits[mobile_visitors],0)</f>
        <v>64557</v>
      </c>
    </row>
    <row r="1914" spans="1:9">
      <c r="A1914" s="1">
        <v>44648</v>
      </c>
      <c r="B1914">
        <v>95370</v>
      </c>
      <c r="C1914">
        <v>289065</v>
      </c>
      <c r="D1914">
        <v>108815</v>
      </c>
      <c r="E1914">
        <v>42961</v>
      </c>
      <c r="F1914">
        <v>93</v>
      </c>
      <c r="G1914" t="s">
        <v>9</v>
      </c>
      <c r="H1914" t="str" cm="1">
        <f t="array" ref="H1914">_xlfn.IFS(Grammys[[#This Row],[date]] &gt;= DATE(2022,2,1),"Grammys",TRUE,"Grammys TRA")</f>
        <v>Grammys</v>
      </c>
      <c r="I1914">
        <f>_xlfn.XLOOKUP(Grammys[[#This Row],[date]],mobile_visits[date],mobile_visits[mobile_visitors],0)</f>
        <v>67000</v>
      </c>
    </row>
    <row r="1915" spans="1:9">
      <c r="A1915" s="1">
        <v>44649</v>
      </c>
      <c r="B1915">
        <v>92539</v>
      </c>
      <c r="C1915">
        <v>282285</v>
      </c>
      <c r="D1915">
        <v>104918</v>
      </c>
      <c r="E1915">
        <v>40583</v>
      </c>
      <c r="F1915">
        <v>102</v>
      </c>
      <c r="G1915" t="s">
        <v>9</v>
      </c>
      <c r="H1915" t="str" cm="1">
        <f t="array" ref="H1915">_xlfn.IFS(Grammys[[#This Row],[date]] &gt;= DATE(2022,2,1),"Grammys",TRUE,"Grammys TRA")</f>
        <v>Grammys</v>
      </c>
      <c r="I1915">
        <f>_xlfn.XLOOKUP(Grammys[[#This Row],[date]],mobile_visits[date],mobile_visits[mobile_visitors],0)</f>
        <v>64586</v>
      </c>
    </row>
    <row r="1916" spans="1:9">
      <c r="A1916" s="1">
        <v>44650</v>
      </c>
      <c r="B1916">
        <v>98317</v>
      </c>
      <c r="C1916">
        <v>282865</v>
      </c>
      <c r="D1916">
        <v>112650</v>
      </c>
      <c r="E1916">
        <v>46998</v>
      </c>
      <c r="F1916">
        <v>105</v>
      </c>
      <c r="G1916" t="s">
        <v>9</v>
      </c>
      <c r="H1916" t="str" cm="1">
        <f t="array" ref="H1916">_xlfn.IFS(Grammys[[#This Row],[date]] &gt;= DATE(2022,2,1),"Grammys",TRUE,"Grammys TRA")</f>
        <v>Grammys</v>
      </c>
      <c r="I1916">
        <f>_xlfn.XLOOKUP(Grammys[[#This Row],[date]],mobile_visits[date],mobile_visits[mobile_visitors],0)</f>
        <v>70495</v>
      </c>
    </row>
    <row r="1917" spans="1:9">
      <c r="A1917" s="1">
        <v>44651</v>
      </c>
      <c r="B1917">
        <v>82932</v>
      </c>
      <c r="C1917">
        <v>232120</v>
      </c>
      <c r="D1917">
        <v>95127</v>
      </c>
      <c r="E1917">
        <v>41371</v>
      </c>
      <c r="F1917">
        <v>102</v>
      </c>
      <c r="G1917" t="s">
        <v>9</v>
      </c>
      <c r="H1917" t="str" cm="1">
        <f t="array" ref="H1917">_xlfn.IFS(Grammys[[#This Row],[date]] &gt;= DATE(2022,2,1),"Grammys",TRUE,"Grammys TRA")</f>
        <v>Grammys</v>
      </c>
      <c r="I1917">
        <f>_xlfn.XLOOKUP(Grammys[[#This Row],[date]],mobile_visits[date],mobile_visits[mobile_visitors],0)</f>
        <v>58734</v>
      </c>
    </row>
    <row r="1918" spans="1:9">
      <c r="A1918" s="1">
        <v>44652</v>
      </c>
      <c r="B1918">
        <v>111046</v>
      </c>
      <c r="C1918">
        <v>318102</v>
      </c>
      <c r="D1918">
        <v>129979</v>
      </c>
      <c r="E1918">
        <v>55073</v>
      </c>
      <c r="F1918">
        <v>95</v>
      </c>
      <c r="G1918" t="s">
        <v>9</v>
      </c>
      <c r="H1918" t="str" cm="1">
        <f t="array" ref="H1918">_xlfn.IFS(Grammys[[#This Row],[date]] &gt;= DATE(2022,2,1),"Grammys",TRUE,"Grammys TRA")</f>
        <v>Grammys</v>
      </c>
      <c r="I1918">
        <f>_xlfn.XLOOKUP(Grammys[[#This Row],[date]],mobile_visits[date],mobile_visits[mobile_visitors],0)</f>
        <v>81320</v>
      </c>
    </row>
    <row r="1919" spans="1:9">
      <c r="A1919" s="1">
        <v>44653</v>
      </c>
      <c r="B1919">
        <v>219761</v>
      </c>
      <c r="C1919">
        <v>624465</v>
      </c>
      <c r="D1919">
        <v>258029</v>
      </c>
      <c r="E1919">
        <v>111753</v>
      </c>
      <c r="F1919">
        <v>89</v>
      </c>
      <c r="G1919" t="s">
        <v>9</v>
      </c>
      <c r="H1919" t="str" cm="1">
        <f t="array" ref="H1919">_xlfn.IFS(Grammys[[#This Row],[date]] &gt;= DATE(2022,2,1),"Grammys",TRUE,"Grammys TRA")</f>
        <v>Grammys</v>
      </c>
      <c r="I1919">
        <f>_xlfn.XLOOKUP(Grammys[[#This Row],[date]],mobile_visits[date],mobile_visits[mobile_visitors],0)</f>
        <v>181561</v>
      </c>
    </row>
    <row r="1920" spans="1:9">
      <c r="A1920" s="1">
        <v>44654</v>
      </c>
      <c r="B1920">
        <v>2232007</v>
      </c>
      <c r="C1920">
        <v>7344507</v>
      </c>
      <c r="D1920">
        <v>3086640</v>
      </c>
      <c r="E1920">
        <v>1300402</v>
      </c>
      <c r="F1920">
        <v>130</v>
      </c>
      <c r="G1920" t="s">
        <v>10</v>
      </c>
      <c r="H1920" t="str" cm="1">
        <f t="array" ref="H1920">_xlfn.IFS(Grammys[[#This Row],[date]] &gt;= DATE(2022,2,1),"Grammys",TRUE,"Grammys TRA")</f>
        <v>Grammys</v>
      </c>
      <c r="I1920">
        <f>_xlfn.XLOOKUP(Grammys[[#This Row],[date]],mobile_visits[date],mobile_visits[mobile_visitors],0)</f>
        <v>1751415</v>
      </c>
    </row>
    <row r="1921" spans="1:9">
      <c r="A1921" s="1">
        <v>44655</v>
      </c>
      <c r="B1921">
        <v>798488</v>
      </c>
      <c r="C1921">
        <v>2168600</v>
      </c>
      <c r="D1921">
        <v>953408</v>
      </c>
      <c r="E1921">
        <v>413494</v>
      </c>
      <c r="F1921">
        <v>80</v>
      </c>
      <c r="G1921" t="s">
        <v>9</v>
      </c>
      <c r="H1921" t="str" cm="1">
        <f t="array" ref="H1921">_xlfn.IFS(Grammys[[#This Row],[date]] &gt;= DATE(2022,2,1),"Grammys",TRUE,"Grammys TRA")</f>
        <v>Grammys</v>
      </c>
      <c r="I1921">
        <f>_xlfn.XLOOKUP(Grammys[[#This Row],[date]],mobile_visits[date],mobile_visits[mobile_visitors],0)</f>
        <v>568791</v>
      </c>
    </row>
    <row r="1922" spans="1:9">
      <c r="A1922" s="1">
        <v>44656</v>
      </c>
      <c r="B1922">
        <v>226589</v>
      </c>
      <c r="C1922">
        <v>592457</v>
      </c>
      <c r="D1922">
        <v>263082</v>
      </c>
      <c r="E1922">
        <v>116914</v>
      </c>
      <c r="F1922">
        <v>85</v>
      </c>
      <c r="G1922" t="s">
        <v>9</v>
      </c>
      <c r="H1922" t="str" cm="1">
        <f t="array" ref="H1922">_xlfn.IFS(Grammys[[#This Row],[date]] &gt;= DATE(2022,2,1),"Grammys",TRUE,"Grammys TRA")</f>
        <v>Grammys</v>
      </c>
      <c r="I1922">
        <f>_xlfn.XLOOKUP(Grammys[[#This Row],[date]],mobile_visits[date],mobile_visits[mobile_visitors],0)</f>
        <v>156760</v>
      </c>
    </row>
    <row r="1923" spans="1:9">
      <c r="A1923" s="1">
        <v>44657</v>
      </c>
      <c r="B1923">
        <v>129318</v>
      </c>
      <c r="C1923">
        <v>327200</v>
      </c>
      <c r="D1923">
        <v>146051</v>
      </c>
      <c r="E1923">
        <v>65183</v>
      </c>
      <c r="F1923">
        <v>86</v>
      </c>
      <c r="G1923" t="s">
        <v>9</v>
      </c>
      <c r="H1923" t="str" cm="1">
        <f t="array" ref="H1923">_xlfn.IFS(Grammys[[#This Row],[date]] &gt;= DATE(2022,2,1),"Grammys",TRUE,"Grammys TRA")</f>
        <v>Grammys</v>
      </c>
      <c r="I1923">
        <f>_xlfn.XLOOKUP(Grammys[[#This Row],[date]],mobile_visits[date],mobile_visits[mobile_visitors],0)</f>
        <v>88797</v>
      </c>
    </row>
    <row r="1924" spans="1:9">
      <c r="A1924" s="1">
        <v>44658</v>
      </c>
      <c r="B1924">
        <v>95852</v>
      </c>
      <c r="C1924">
        <v>259527</v>
      </c>
      <c r="D1924">
        <v>111484</v>
      </c>
      <c r="E1924">
        <v>48017</v>
      </c>
      <c r="F1924">
        <v>88</v>
      </c>
      <c r="G1924" t="s">
        <v>9</v>
      </c>
      <c r="H1924" t="str" cm="1">
        <f t="array" ref="H1924">_xlfn.IFS(Grammys[[#This Row],[date]] &gt;= DATE(2022,2,1),"Grammys",TRUE,"Grammys TRA")</f>
        <v>Grammys</v>
      </c>
      <c r="I1924">
        <f>_xlfn.XLOOKUP(Grammys[[#This Row],[date]],mobile_visits[date],mobile_visits[mobile_visitors],0)</f>
        <v>64588</v>
      </c>
    </row>
    <row r="1925" spans="1:9">
      <c r="A1925" s="1">
        <v>44659</v>
      </c>
      <c r="B1925">
        <v>79275</v>
      </c>
      <c r="C1925">
        <v>210139</v>
      </c>
      <c r="D1925">
        <v>91964</v>
      </c>
      <c r="E1925">
        <v>40593</v>
      </c>
      <c r="F1925">
        <v>86</v>
      </c>
      <c r="G1925" t="s">
        <v>9</v>
      </c>
      <c r="H1925" t="str" cm="1">
        <f t="array" ref="H1925">_xlfn.IFS(Grammys[[#This Row],[date]] &gt;= DATE(2022,2,1),"Grammys",TRUE,"Grammys TRA")</f>
        <v>Grammys</v>
      </c>
      <c r="I1925">
        <f>_xlfn.XLOOKUP(Grammys[[#This Row],[date]],mobile_visits[date],mobile_visits[mobile_visitors],0)</f>
        <v>55077</v>
      </c>
    </row>
    <row r="1926" spans="1:9">
      <c r="A1926" s="1">
        <v>44660</v>
      </c>
      <c r="B1926">
        <v>67699</v>
      </c>
      <c r="C1926">
        <v>172244</v>
      </c>
      <c r="D1926">
        <v>76966</v>
      </c>
      <c r="E1926">
        <v>35351</v>
      </c>
      <c r="F1926">
        <v>81</v>
      </c>
      <c r="G1926" t="s">
        <v>9</v>
      </c>
      <c r="H1926" t="str" cm="1">
        <f t="array" ref="H1926">_xlfn.IFS(Grammys[[#This Row],[date]] &gt;= DATE(2022,2,1),"Grammys",TRUE,"Grammys TRA")</f>
        <v>Grammys</v>
      </c>
      <c r="I1926">
        <f>_xlfn.XLOOKUP(Grammys[[#This Row],[date]],mobile_visits[date],mobile_visits[mobile_visitors],0)</f>
        <v>50750</v>
      </c>
    </row>
    <row r="1927" spans="1:9">
      <c r="A1927" s="1">
        <v>44661</v>
      </c>
      <c r="B1927">
        <v>56971</v>
      </c>
      <c r="C1927">
        <v>143400</v>
      </c>
      <c r="D1927">
        <v>65164</v>
      </c>
      <c r="E1927">
        <v>30276</v>
      </c>
      <c r="F1927">
        <v>80</v>
      </c>
      <c r="G1927" t="s">
        <v>9</v>
      </c>
      <c r="H1927" t="str" cm="1">
        <f t="array" ref="H1927">_xlfn.IFS(Grammys[[#This Row],[date]] &gt;= DATE(2022,2,1),"Grammys",TRUE,"Grammys TRA")</f>
        <v>Grammys</v>
      </c>
      <c r="I1927">
        <f>_xlfn.XLOOKUP(Grammys[[#This Row],[date]],mobile_visits[date],mobile_visits[mobile_visitors],0)</f>
        <v>41091</v>
      </c>
    </row>
    <row r="1928" spans="1:9">
      <c r="A1928" s="1">
        <v>44662</v>
      </c>
      <c r="B1928">
        <v>47764</v>
      </c>
      <c r="C1928">
        <v>118990</v>
      </c>
      <c r="D1928">
        <v>54806</v>
      </c>
      <c r="E1928">
        <v>25918</v>
      </c>
      <c r="F1928">
        <v>86</v>
      </c>
      <c r="G1928" t="s">
        <v>9</v>
      </c>
      <c r="H1928" t="str" cm="1">
        <f t="array" ref="H1928">_xlfn.IFS(Grammys[[#This Row],[date]] &gt;= DATE(2022,2,1),"Grammys",TRUE,"Grammys TRA")</f>
        <v>Grammys</v>
      </c>
      <c r="I1928">
        <f>_xlfn.XLOOKUP(Grammys[[#This Row],[date]],mobile_visits[date],mobile_visits[mobile_visitors],0)</f>
        <v>29459</v>
      </c>
    </row>
    <row r="1929" spans="1:9">
      <c r="A1929" s="1">
        <v>44663</v>
      </c>
      <c r="B1929">
        <v>40892</v>
      </c>
      <c r="C1929">
        <v>98622</v>
      </c>
      <c r="D1929">
        <v>46525</v>
      </c>
      <c r="E1929">
        <v>22621</v>
      </c>
      <c r="F1929">
        <v>87</v>
      </c>
      <c r="G1929" t="s">
        <v>9</v>
      </c>
      <c r="H1929" t="str" cm="1">
        <f t="array" ref="H1929">_xlfn.IFS(Grammys[[#This Row],[date]] &gt;= DATE(2022,2,1),"Grammys",TRUE,"Grammys TRA")</f>
        <v>Grammys</v>
      </c>
      <c r="I1929">
        <f>_xlfn.XLOOKUP(Grammys[[#This Row],[date]],mobile_visits[date],mobile_visits[mobile_visitors],0)</f>
        <v>26759</v>
      </c>
    </row>
    <row r="1930" spans="1:9">
      <c r="A1930" s="1">
        <v>44664</v>
      </c>
      <c r="B1930">
        <v>36954</v>
      </c>
      <c r="C1930">
        <v>88367</v>
      </c>
      <c r="D1930">
        <v>42213</v>
      </c>
      <c r="E1930">
        <v>20807</v>
      </c>
      <c r="F1930">
        <v>88</v>
      </c>
      <c r="G1930" t="s">
        <v>9</v>
      </c>
      <c r="H1930" t="str" cm="1">
        <f t="array" ref="H1930">_xlfn.IFS(Grammys[[#This Row],[date]] &gt;= DATE(2022,2,1),"Grammys",TRUE,"Grammys TRA")</f>
        <v>Grammys</v>
      </c>
      <c r="I1930">
        <f>_xlfn.XLOOKUP(Grammys[[#This Row],[date]],mobile_visits[date],mobile_visits[mobile_visitors],0)</f>
        <v>23134</v>
      </c>
    </row>
    <row r="1931" spans="1:9">
      <c r="A1931" s="1">
        <v>44665</v>
      </c>
      <c r="B1931">
        <v>32305</v>
      </c>
      <c r="C1931">
        <v>79681</v>
      </c>
      <c r="D1931">
        <v>36634</v>
      </c>
      <c r="E1931">
        <v>17446</v>
      </c>
      <c r="F1931">
        <v>89</v>
      </c>
      <c r="G1931" t="s">
        <v>9</v>
      </c>
      <c r="H1931" t="str" cm="1">
        <f t="array" ref="H1931">_xlfn.IFS(Grammys[[#This Row],[date]] &gt;= DATE(2022,2,1),"Grammys",TRUE,"Grammys TRA")</f>
        <v>Grammys</v>
      </c>
      <c r="I1931">
        <f>_xlfn.XLOOKUP(Grammys[[#This Row],[date]],mobile_visits[date],mobile_visits[mobile_visitors],0)</f>
        <v>21536</v>
      </c>
    </row>
    <row r="1932" spans="1:9">
      <c r="A1932" s="1">
        <v>44666</v>
      </c>
      <c r="B1932">
        <v>30018</v>
      </c>
      <c r="C1932">
        <v>75580</v>
      </c>
      <c r="D1932">
        <v>33377</v>
      </c>
      <c r="E1932">
        <v>15494</v>
      </c>
      <c r="F1932">
        <v>85</v>
      </c>
      <c r="G1932" t="s">
        <v>9</v>
      </c>
      <c r="H1932" t="str" cm="1">
        <f t="array" ref="H1932">_xlfn.IFS(Grammys[[#This Row],[date]] &gt;= DATE(2022,2,1),"Grammys",TRUE,"Grammys TRA")</f>
        <v>Grammys</v>
      </c>
      <c r="I1932">
        <f>_xlfn.XLOOKUP(Grammys[[#This Row],[date]],mobile_visits[date],mobile_visits[mobile_visitors],0)</f>
        <v>21387</v>
      </c>
    </row>
    <row r="1933" spans="1:9">
      <c r="A1933" s="1">
        <v>44667</v>
      </c>
      <c r="B1933">
        <v>28244</v>
      </c>
      <c r="C1933">
        <v>71235</v>
      </c>
      <c r="D1933">
        <v>31175</v>
      </c>
      <c r="E1933">
        <v>14519</v>
      </c>
      <c r="F1933">
        <v>81</v>
      </c>
      <c r="G1933" t="s">
        <v>9</v>
      </c>
      <c r="H1933" t="str" cm="1">
        <f t="array" ref="H1933">_xlfn.IFS(Grammys[[#This Row],[date]] &gt;= DATE(2022,2,1),"Grammys",TRUE,"Grammys TRA")</f>
        <v>Grammys</v>
      </c>
      <c r="I1933">
        <f>_xlfn.XLOOKUP(Grammys[[#This Row],[date]],mobile_visits[date],mobile_visits[mobile_visitors],0)</f>
        <v>20604</v>
      </c>
    </row>
    <row r="1934" spans="1:9">
      <c r="A1934" s="1">
        <v>44668</v>
      </c>
      <c r="B1934">
        <v>27885</v>
      </c>
      <c r="C1934">
        <v>69707</v>
      </c>
      <c r="D1934">
        <v>30808</v>
      </c>
      <c r="E1934">
        <v>14416</v>
      </c>
      <c r="F1934">
        <v>84</v>
      </c>
      <c r="G1934" t="s">
        <v>9</v>
      </c>
      <c r="H1934" t="str" cm="1">
        <f t="array" ref="H1934">_xlfn.IFS(Grammys[[#This Row],[date]] &gt;= DATE(2022,2,1),"Grammys",TRUE,"Grammys TRA")</f>
        <v>Grammys</v>
      </c>
      <c r="I1934">
        <f>_xlfn.XLOOKUP(Grammys[[#This Row],[date]],mobile_visits[date],mobile_visits[mobile_visitors],0)</f>
        <v>20193</v>
      </c>
    </row>
    <row r="1935" spans="1:9">
      <c r="A1935" s="1">
        <v>44669</v>
      </c>
      <c r="B1935">
        <v>27322</v>
      </c>
      <c r="C1935">
        <v>66029</v>
      </c>
      <c r="D1935">
        <v>30204</v>
      </c>
      <c r="E1935">
        <v>14553</v>
      </c>
      <c r="F1935">
        <v>96</v>
      </c>
      <c r="G1935" t="s">
        <v>9</v>
      </c>
      <c r="H1935" t="str" cm="1">
        <f t="array" ref="H1935">_xlfn.IFS(Grammys[[#This Row],[date]] &gt;= DATE(2022,2,1),"Grammys",TRUE,"Grammys TRA")</f>
        <v>Grammys</v>
      </c>
      <c r="I1935">
        <f>_xlfn.XLOOKUP(Grammys[[#This Row],[date]],mobile_visits[date],mobile_visits[mobile_visitors],0)</f>
        <v>17961</v>
      </c>
    </row>
    <row r="1936" spans="1:9">
      <c r="A1936" s="1">
        <v>44670</v>
      </c>
      <c r="B1936">
        <v>25837</v>
      </c>
      <c r="C1936">
        <v>62994</v>
      </c>
      <c r="D1936">
        <v>28829</v>
      </c>
      <c r="E1936">
        <v>13804</v>
      </c>
      <c r="F1936">
        <v>97</v>
      </c>
      <c r="G1936" t="s">
        <v>9</v>
      </c>
      <c r="H1936" t="str" cm="1">
        <f t="array" ref="H1936">_xlfn.IFS(Grammys[[#This Row],[date]] &gt;= DATE(2022,2,1),"Grammys",TRUE,"Grammys TRA")</f>
        <v>Grammys</v>
      </c>
      <c r="I1936">
        <f>_xlfn.XLOOKUP(Grammys[[#This Row],[date]],mobile_visits[date],mobile_visits[mobile_visitors],0)</f>
        <v>15563</v>
      </c>
    </row>
    <row r="1937" spans="1:9">
      <c r="A1937" s="1">
        <v>44671</v>
      </c>
      <c r="B1937">
        <v>23687</v>
      </c>
      <c r="C1937">
        <v>63492</v>
      </c>
      <c r="D1937">
        <v>26353</v>
      </c>
      <c r="E1937">
        <v>10579</v>
      </c>
      <c r="F1937">
        <v>90</v>
      </c>
      <c r="G1937" t="s">
        <v>9</v>
      </c>
      <c r="H1937" t="str" cm="1">
        <f t="array" ref="H1937">_xlfn.IFS(Grammys[[#This Row],[date]] &gt;= DATE(2022,2,1),"Grammys",TRUE,"Grammys TRA")</f>
        <v>Grammys</v>
      </c>
      <c r="I1937">
        <f>_xlfn.XLOOKUP(Grammys[[#This Row],[date]],mobile_visits[date],mobile_visits[mobile_visitors],0)</f>
        <v>14430</v>
      </c>
    </row>
    <row r="1938" spans="1:9">
      <c r="A1938" s="1">
        <v>44672</v>
      </c>
      <c r="B1938">
        <v>26941</v>
      </c>
      <c r="C1938">
        <v>72875</v>
      </c>
      <c r="D1938">
        <v>30293</v>
      </c>
      <c r="E1938">
        <v>11945</v>
      </c>
      <c r="F1938">
        <v>86</v>
      </c>
      <c r="G1938" t="s">
        <v>9</v>
      </c>
      <c r="H1938" t="str" cm="1">
        <f t="array" ref="H1938">_xlfn.IFS(Grammys[[#This Row],[date]] &gt;= DATE(2022,2,1),"Grammys",TRUE,"Grammys TRA")</f>
        <v>Grammys</v>
      </c>
      <c r="I1938">
        <f>_xlfn.XLOOKUP(Grammys[[#This Row],[date]],mobile_visits[date],mobile_visits[mobile_visitors],0)</f>
        <v>17867</v>
      </c>
    </row>
    <row r="1939" spans="1:9">
      <c r="A1939" s="1">
        <v>44673</v>
      </c>
      <c r="B1939">
        <v>25546</v>
      </c>
      <c r="C1939">
        <v>57706</v>
      </c>
      <c r="D1939">
        <v>29268</v>
      </c>
      <c r="E1939">
        <v>15410</v>
      </c>
      <c r="F1939">
        <v>73</v>
      </c>
      <c r="G1939" t="s">
        <v>9</v>
      </c>
      <c r="H1939" t="str" cm="1">
        <f t="array" ref="H1939">_xlfn.IFS(Grammys[[#This Row],[date]] &gt;= DATE(2022,2,1),"Grammys",TRUE,"Grammys TRA")</f>
        <v>Grammys</v>
      </c>
      <c r="I1939">
        <f>_xlfn.XLOOKUP(Grammys[[#This Row],[date]],mobile_visits[date],mobile_visits[mobile_visitors],0)</f>
        <v>17332</v>
      </c>
    </row>
    <row r="1940" spans="1:9">
      <c r="A1940" s="1">
        <v>44674</v>
      </c>
      <c r="B1940">
        <v>22712</v>
      </c>
      <c r="C1940">
        <v>51852</v>
      </c>
      <c r="D1940">
        <v>25348</v>
      </c>
      <c r="E1940">
        <v>13024</v>
      </c>
      <c r="F1940">
        <v>69</v>
      </c>
      <c r="G1940" t="s">
        <v>9</v>
      </c>
      <c r="H1940" t="str" cm="1">
        <f t="array" ref="H1940">_xlfn.IFS(Grammys[[#This Row],[date]] &gt;= DATE(2022,2,1),"Grammys",TRUE,"Grammys TRA")</f>
        <v>Grammys</v>
      </c>
      <c r="I1940">
        <f>_xlfn.XLOOKUP(Grammys[[#This Row],[date]],mobile_visits[date],mobile_visits[mobile_visitors],0)</f>
        <v>16219</v>
      </c>
    </row>
    <row r="1941" spans="1:9">
      <c r="A1941" s="1">
        <v>44675</v>
      </c>
      <c r="B1941">
        <v>22428</v>
      </c>
      <c r="C1941">
        <v>51040</v>
      </c>
      <c r="D1941">
        <v>24810</v>
      </c>
      <c r="E1941">
        <v>12701</v>
      </c>
      <c r="F1941">
        <v>82</v>
      </c>
      <c r="G1941" t="s">
        <v>9</v>
      </c>
      <c r="H1941" t="str" cm="1">
        <f t="array" ref="H1941">_xlfn.IFS(Grammys[[#This Row],[date]] &gt;= DATE(2022,2,1),"Grammys",TRUE,"Grammys TRA")</f>
        <v>Grammys</v>
      </c>
      <c r="I1941">
        <f>_xlfn.XLOOKUP(Grammys[[#This Row],[date]],mobile_visits[date],mobile_visits[mobile_visitors],0)</f>
        <v>15779</v>
      </c>
    </row>
    <row r="1942" spans="1:9">
      <c r="A1942" s="1">
        <v>44676</v>
      </c>
      <c r="B1942">
        <v>21356</v>
      </c>
      <c r="C1942">
        <v>49883</v>
      </c>
      <c r="D1942">
        <v>24105</v>
      </c>
      <c r="E1942">
        <v>12157</v>
      </c>
      <c r="F1942">
        <v>93</v>
      </c>
      <c r="G1942" t="s">
        <v>9</v>
      </c>
      <c r="H1942" t="str" cm="1">
        <f t="array" ref="H1942">_xlfn.IFS(Grammys[[#This Row],[date]] &gt;= DATE(2022,2,1),"Grammys",TRUE,"Grammys TRA")</f>
        <v>Grammys</v>
      </c>
      <c r="I1942">
        <f>_xlfn.XLOOKUP(Grammys[[#This Row],[date]],mobile_visits[date],mobile_visits[mobile_visitors],0)</f>
        <v>12360</v>
      </c>
    </row>
    <row r="1943" spans="1:9">
      <c r="A1943" s="1">
        <v>44677</v>
      </c>
      <c r="B1943">
        <v>21257</v>
      </c>
      <c r="C1943">
        <v>51535</v>
      </c>
      <c r="D1943">
        <v>23947</v>
      </c>
      <c r="E1943">
        <v>11979</v>
      </c>
      <c r="F1943">
        <v>95</v>
      </c>
      <c r="G1943" t="s">
        <v>9</v>
      </c>
      <c r="H1943" t="str" cm="1">
        <f t="array" ref="H1943">_xlfn.IFS(Grammys[[#This Row],[date]] &gt;= DATE(2022,2,1),"Grammys",TRUE,"Grammys TRA")</f>
        <v>Grammys</v>
      </c>
      <c r="I1943">
        <f>_xlfn.XLOOKUP(Grammys[[#This Row],[date]],mobile_visits[date],mobile_visits[mobile_visitors],0)</f>
        <v>12417</v>
      </c>
    </row>
    <row r="1944" spans="1:9">
      <c r="A1944" s="1">
        <v>44678</v>
      </c>
      <c r="B1944">
        <v>20075</v>
      </c>
      <c r="C1944">
        <v>45732</v>
      </c>
      <c r="D1944">
        <v>22249</v>
      </c>
      <c r="E1944">
        <v>11485</v>
      </c>
      <c r="F1944">
        <v>91</v>
      </c>
      <c r="G1944" t="s">
        <v>9</v>
      </c>
      <c r="H1944" t="str" cm="1">
        <f t="array" ref="H1944">_xlfn.IFS(Grammys[[#This Row],[date]] &gt;= DATE(2022,2,1),"Grammys",TRUE,"Grammys TRA")</f>
        <v>Grammys</v>
      </c>
      <c r="I1944">
        <f>_xlfn.XLOOKUP(Grammys[[#This Row],[date]],mobile_visits[date],mobile_visits[mobile_visitors],0)</f>
        <v>11444</v>
      </c>
    </row>
    <row r="1945" spans="1:9">
      <c r="A1945" s="1">
        <v>44679</v>
      </c>
      <c r="B1945">
        <v>20883</v>
      </c>
      <c r="C1945">
        <v>48700</v>
      </c>
      <c r="D1945">
        <v>23335</v>
      </c>
      <c r="E1945">
        <v>11376</v>
      </c>
      <c r="F1945">
        <v>86</v>
      </c>
      <c r="G1945" t="s">
        <v>9</v>
      </c>
      <c r="H1945" t="str" cm="1">
        <f t="array" ref="H1945">_xlfn.IFS(Grammys[[#This Row],[date]] &gt;= DATE(2022,2,1),"Grammys",TRUE,"Grammys TRA")</f>
        <v>Grammys</v>
      </c>
      <c r="I1945">
        <f>_xlfn.XLOOKUP(Grammys[[#This Row],[date]],mobile_visits[date],mobile_visits[mobile_visitors],0)</f>
        <v>12591</v>
      </c>
    </row>
    <row r="1946" spans="1:9">
      <c r="A1946" s="1">
        <v>44680</v>
      </c>
      <c r="B1946">
        <v>20039</v>
      </c>
      <c r="C1946">
        <v>45345</v>
      </c>
      <c r="D1946">
        <v>22049</v>
      </c>
      <c r="E1946">
        <v>11437</v>
      </c>
      <c r="F1946">
        <v>87</v>
      </c>
      <c r="G1946" t="s">
        <v>9</v>
      </c>
      <c r="H1946" t="str" cm="1">
        <f t="array" ref="H1946">_xlfn.IFS(Grammys[[#This Row],[date]] &gt;= DATE(2022,2,1),"Grammys",TRUE,"Grammys TRA")</f>
        <v>Grammys</v>
      </c>
      <c r="I1946">
        <f>_xlfn.XLOOKUP(Grammys[[#This Row],[date]],mobile_visits[date],mobile_visits[mobile_visitors],0)</f>
        <v>12764</v>
      </c>
    </row>
    <row r="1947" spans="1:9">
      <c r="A1947" s="1">
        <v>44681</v>
      </c>
      <c r="B1947">
        <v>18375</v>
      </c>
      <c r="C1947">
        <v>41477</v>
      </c>
      <c r="D1947">
        <v>20054</v>
      </c>
      <c r="E1947">
        <v>10302</v>
      </c>
      <c r="F1947">
        <v>73</v>
      </c>
      <c r="G1947" t="s">
        <v>9</v>
      </c>
      <c r="H1947" t="str" cm="1">
        <f t="array" ref="H1947">_xlfn.IFS(Grammys[[#This Row],[date]] &gt;= DATE(2022,2,1),"Grammys",TRUE,"Grammys TRA")</f>
        <v>Grammys</v>
      </c>
      <c r="I1947">
        <f>_xlfn.XLOOKUP(Grammys[[#This Row],[date]],mobile_visits[date],mobile_visits[mobile_visitors],0)</f>
        <v>13395</v>
      </c>
    </row>
    <row r="1948" spans="1:9">
      <c r="A1948" s="1">
        <v>44682</v>
      </c>
      <c r="B1948">
        <v>18836</v>
      </c>
      <c r="C1948">
        <v>41240</v>
      </c>
      <c r="D1948">
        <v>20415</v>
      </c>
      <c r="E1948">
        <v>10651</v>
      </c>
      <c r="F1948">
        <v>75</v>
      </c>
      <c r="G1948" t="s">
        <v>9</v>
      </c>
      <c r="H1948" t="str" cm="1">
        <f t="array" ref="H1948">_xlfn.IFS(Grammys[[#This Row],[date]] &gt;= DATE(2022,2,1),"Grammys",TRUE,"Grammys TRA")</f>
        <v>Grammys</v>
      </c>
      <c r="I1948">
        <f>_xlfn.XLOOKUP(Grammys[[#This Row],[date]],mobile_visits[date],mobile_visits[mobile_visitors],0)</f>
        <v>13256</v>
      </c>
    </row>
    <row r="1949" spans="1:9">
      <c r="A1949" s="1">
        <v>44683</v>
      </c>
      <c r="B1949">
        <v>19433</v>
      </c>
      <c r="C1949">
        <v>43453</v>
      </c>
      <c r="D1949">
        <v>21773</v>
      </c>
      <c r="E1949">
        <v>11447</v>
      </c>
      <c r="F1949">
        <v>85</v>
      </c>
      <c r="G1949" t="s">
        <v>9</v>
      </c>
      <c r="H1949" t="str" cm="1">
        <f t="array" ref="H1949">_xlfn.IFS(Grammys[[#This Row],[date]] &gt;= DATE(2022,2,1),"Grammys",TRUE,"Grammys TRA")</f>
        <v>Grammys</v>
      </c>
      <c r="I1949">
        <f>_xlfn.XLOOKUP(Grammys[[#This Row],[date]],mobile_visits[date],mobile_visits[mobile_visitors],0)</f>
        <v>11428</v>
      </c>
    </row>
    <row r="1950" spans="1:9">
      <c r="A1950" s="1">
        <v>44684</v>
      </c>
      <c r="B1950">
        <v>19978</v>
      </c>
      <c r="C1950">
        <v>45328</v>
      </c>
      <c r="D1950">
        <v>22209</v>
      </c>
      <c r="E1950">
        <v>11769</v>
      </c>
      <c r="F1950">
        <v>88</v>
      </c>
      <c r="G1950" t="s">
        <v>9</v>
      </c>
      <c r="H1950" t="str" cm="1">
        <f t="array" ref="H1950">_xlfn.IFS(Grammys[[#This Row],[date]] &gt;= DATE(2022,2,1),"Grammys",TRUE,"Grammys TRA")</f>
        <v>Grammys</v>
      </c>
      <c r="I1950">
        <f>_xlfn.XLOOKUP(Grammys[[#This Row],[date]],mobile_visits[date],mobile_visits[mobile_visitors],0)</f>
        <v>11634</v>
      </c>
    </row>
    <row r="1951" spans="1:9">
      <c r="A1951" s="1">
        <v>44685</v>
      </c>
      <c r="B1951">
        <v>19977</v>
      </c>
      <c r="C1951">
        <v>45357</v>
      </c>
      <c r="D1951">
        <v>22448</v>
      </c>
      <c r="E1951">
        <v>11815</v>
      </c>
      <c r="F1951">
        <v>86</v>
      </c>
      <c r="G1951" t="s">
        <v>9</v>
      </c>
      <c r="H1951" t="str" cm="1">
        <f t="array" ref="H1951">_xlfn.IFS(Grammys[[#This Row],[date]] &gt;= DATE(2022,2,1),"Grammys",TRUE,"Grammys TRA")</f>
        <v>Grammys</v>
      </c>
      <c r="I1951">
        <f>_xlfn.XLOOKUP(Grammys[[#This Row],[date]],mobile_visits[date],mobile_visits[mobile_visitors],0)</f>
        <v>11398</v>
      </c>
    </row>
    <row r="1952" spans="1:9">
      <c r="A1952" s="1">
        <v>44686</v>
      </c>
      <c r="B1952">
        <v>17547</v>
      </c>
      <c r="C1952">
        <v>40225</v>
      </c>
      <c r="D1952">
        <v>19565</v>
      </c>
      <c r="E1952">
        <v>10249</v>
      </c>
      <c r="F1952">
        <v>85</v>
      </c>
      <c r="G1952" t="s">
        <v>9</v>
      </c>
      <c r="H1952" t="str" cm="1">
        <f t="array" ref="H1952">_xlfn.IFS(Grammys[[#This Row],[date]] &gt;= DATE(2022,2,1),"Grammys",TRUE,"Grammys TRA")</f>
        <v>Grammys</v>
      </c>
      <c r="I1952">
        <f>_xlfn.XLOOKUP(Grammys[[#This Row],[date]],mobile_visits[date],mobile_visits[mobile_visitors],0)</f>
        <v>10272</v>
      </c>
    </row>
    <row r="1953" spans="1:9">
      <c r="A1953" s="1">
        <v>44687</v>
      </c>
      <c r="B1953">
        <v>17715</v>
      </c>
      <c r="C1953">
        <v>39910</v>
      </c>
      <c r="D1953">
        <v>19867</v>
      </c>
      <c r="E1953">
        <v>10997</v>
      </c>
      <c r="F1953">
        <v>80</v>
      </c>
      <c r="G1953" t="s">
        <v>9</v>
      </c>
      <c r="H1953" t="str" cm="1">
        <f t="array" ref="H1953">_xlfn.IFS(Grammys[[#This Row],[date]] &gt;= DATE(2022,2,1),"Grammys",TRUE,"Grammys TRA")</f>
        <v>Grammys</v>
      </c>
      <c r="I1953">
        <f>_xlfn.XLOOKUP(Grammys[[#This Row],[date]],mobile_visits[date],mobile_visits[mobile_visitors],0)</f>
        <v>11848</v>
      </c>
    </row>
    <row r="1954" spans="1:9">
      <c r="A1954" s="1">
        <v>44688</v>
      </c>
      <c r="B1954">
        <v>16185</v>
      </c>
      <c r="C1954">
        <v>35937</v>
      </c>
      <c r="D1954">
        <v>17731</v>
      </c>
      <c r="E1954">
        <v>9701</v>
      </c>
      <c r="F1954">
        <v>78</v>
      </c>
      <c r="G1954" t="s">
        <v>9</v>
      </c>
      <c r="H1954" t="str" cm="1">
        <f t="array" ref="H1954">_xlfn.IFS(Grammys[[#This Row],[date]] &gt;= DATE(2022,2,1),"Grammys",TRUE,"Grammys TRA")</f>
        <v>Grammys</v>
      </c>
      <c r="I1954">
        <f>_xlfn.XLOOKUP(Grammys[[#This Row],[date]],mobile_visits[date],mobile_visits[mobile_visitors],0)</f>
        <v>11987</v>
      </c>
    </row>
    <row r="1955" spans="1:9">
      <c r="A1955" s="1">
        <v>44689</v>
      </c>
      <c r="B1955">
        <v>16968</v>
      </c>
      <c r="C1955">
        <v>38904</v>
      </c>
      <c r="D1955">
        <v>19149</v>
      </c>
      <c r="E1955">
        <v>10506</v>
      </c>
      <c r="F1955">
        <v>77</v>
      </c>
      <c r="G1955" t="s">
        <v>9</v>
      </c>
      <c r="H1955" t="str" cm="1">
        <f t="array" ref="H1955">_xlfn.IFS(Grammys[[#This Row],[date]] &gt;= DATE(2022,2,1),"Grammys",TRUE,"Grammys TRA")</f>
        <v>Grammys</v>
      </c>
      <c r="I1955">
        <f>_xlfn.XLOOKUP(Grammys[[#This Row],[date]],mobile_visits[date],mobile_visits[mobile_visitors],0)</f>
        <v>11988</v>
      </c>
    </row>
    <row r="1956" spans="1:9">
      <c r="A1956" s="1">
        <v>44690</v>
      </c>
      <c r="B1956">
        <v>17829</v>
      </c>
      <c r="C1956">
        <v>39983</v>
      </c>
      <c r="D1956">
        <v>19931</v>
      </c>
      <c r="E1956">
        <v>10971</v>
      </c>
      <c r="F1956">
        <v>87</v>
      </c>
      <c r="G1956" t="s">
        <v>9</v>
      </c>
      <c r="H1956" t="str" cm="1">
        <f t="array" ref="H1956">_xlfn.IFS(Grammys[[#This Row],[date]] &gt;= DATE(2022,2,1),"Grammys",TRUE,"Grammys TRA")</f>
        <v>Grammys</v>
      </c>
      <c r="I1956">
        <f>_xlfn.XLOOKUP(Grammys[[#This Row],[date]],mobile_visits[date],mobile_visits[mobile_visitors],0)</f>
        <v>10033</v>
      </c>
    </row>
    <row r="1957" spans="1:9">
      <c r="A1957" s="1">
        <v>44691</v>
      </c>
      <c r="B1957">
        <v>16427</v>
      </c>
      <c r="C1957">
        <v>37711</v>
      </c>
      <c r="D1957">
        <v>18798</v>
      </c>
      <c r="E1957">
        <v>10465</v>
      </c>
      <c r="F1957">
        <v>87</v>
      </c>
      <c r="G1957" t="s">
        <v>9</v>
      </c>
      <c r="H1957" t="str" cm="1">
        <f t="array" ref="H1957">_xlfn.IFS(Grammys[[#This Row],[date]] &gt;= DATE(2022,2,1),"Grammys",TRUE,"Grammys TRA")</f>
        <v>Grammys</v>
      </c>
      <c r="I1957">
        <f>_xlfn.XLOOKUP(Grammys[[#This Row],[date]],mobile_visits[date],mobile_visits[mobile_visitors],0)</f>
        <v>8265</v>
      </c>
    </row>
    <row r="1958" spans="1:9">
      <c r="A1958" s="1">
        <v>44692</v>
      </c>
      <c r="B1958">
        <v>16426</v>
      </c>
      <c r="C1958">
        <v>36679</v>
      </c>
      <c r="D1958">
        <v>18727</v>
      </c>
      <c r="E1958">
        <v>10373</v>
      </c>
      <c r="F1958">
        <v>84</v>
      </c>
      <c r="G1958" t="s">
        <v>9</v>
      </c>
      <c r="H1958" t="str" cm="1">
        <f t="array" ref="H1958">_xlfn.IFS(Grammys[[#This Row],[date]] &gt;= DATE(2022,2,1),"Grammys",TRUE,"Grammys TRA")</f>
        <v>Grammys</v>
      </c>
      <c r="I1958">
        <f>_xlfn.XLOOKUP(Grammys[[#This Row],[date]],mobile_visits[date],mobile_visits[mobile_visitors],0)</f>
        <v>9151</v>
      </c>
    </row>
    <row r="1959" spans="1:9">
      <c r="A1959" s="1">
        <v>44693</v>
      </c>
      <c r="B1959">
        <v>17904</v>
      </c>
      <c r="C1959">
        <v>40027</v>
      </c>
      <c r="D1959">
        <v>20075</v>
      </c>
      <c r="E1959">
        <v>10791</v>
      </c>
      <c r="F1959">
        <v>84</v>
      </c>
      <c r="G1959" t="s">
        <v>9</v>
      </c>
      <c r="H1959" t="str" cm="1">
        <f t="array" ref="H1959">_xlfn.IFS(Grammys[[#This Row],[date]] &gt;= DATE(2022,2,1),"Grammys",TRUE,"Grammys TRA")</f>
        <v>Grammys</v>
      </c>
      <c r="I1959">
        <f>_xlfn.XLOOKUP(Grammys[[#This Row],[date]],mobile_visits[date],mobile_visits[mobile_visitors],0)</f>
        <v>10890</v>
      </c>
    </row>
    <row r="1960" spans="1:9">
      <c r="A1960" s="1">
        <v>44694</v>
      </c>
      <c r="B1960">
        <v>18736</v>
      </c>
      <c r="C1960">
        <v>42160</v>
      </c>
      <c r="D1960">
        <v>21086</v>
      </c>
      <c r="E1960">
        <v>11319</v>
      </c>
      <c r="F1960">
        <v>81</v>
      </c>
      <c r="G1960" t="s">
        <v>9</v>
      </c>
      <c r="H1960" t="str" cm="1">
        <f t="array" ref="H1960">_xlfn.IFS(Grammys[[#This Row],[date]] &gt;= DATE(2022,2,1),"Grammys",TRUE,"Grammys TRA")</f>
        <v>Grammys</v>
      </c>
      <c r="I1960">
        <f>_xlfn.XLOOKUP(Grammys[[#This Row],[date]],mobile_visits[date],mobile_visits[mobile_visitors],0)</f>
        <v>11956</v>
      </c>
    </row>
    <row r="1961" spans="1:9">
      <c r="A1961" s="1">
        <v>44695</v>
      </c>
      <c r="B1961">
        <v>17024</v>
      </c>
      <c r="C1961">
        <v>39169</v>
      </c>
      <c r="D1961">
        <v>19378</v>
      </c>
      <c r="E1961">
        <v>10312</v>
      </c>
      <c r="F1961">
        <v>73</v>
      </c>
      <c r="G1961" t="s">
        <v>9</v>
      </c>
      <c r="H1961" t="str" cm="1">
        <f t="array" ref="H1961">_xlfn.IFS(Grammys[[#This Row],[date]] &gt;= DATE(2022,2,1),"Grammys",TRUE,"Grammys TRA")</f>
        <v>Grammys</v>
      </c>
      <c r="I1961">
        <f>_xlfn.XLOOKUP(Grammys[[#This Row],[date]],mobile_visits[date],mobile_visits[mobile_visitors],0)</f>
        <v>12357</v>
      </c>
    </row>
    <row r="1962" spans="1:9">
      <c r="A1962" s="1">
        <v>44696</v>
      </c>
      <c r="B1962">
        <v>17735</v>
      </c>
      <c r="C1962">
        <v>40322</v>
      </c>
      <c r="D1962">
        <v>19962</v>
      </c>
      <c r="E1962">
        <v>10764</v>
      </c>
      <c r="F1962">
        <v>79</v>
      </c>
      <c r="G1962" t="s">
        <v>9</v>
      </c>
      <c r="H1962" t="str" cm="1">
        <f t="array" ref="H1962">_xlfn.IFS(Grammys[[#This Row],[date]] &gt;= DATE(2022,2,1),"Grammys",TRUE,"Grammys TRA")</f>
        <v>Grammys</v>
      </c>
      <c r="I1962">
        <f>_xlfn.XLOOKUP(Grammys[[#This Row],[date]],mobile_visits[date],mobile_visits[mobile_visitors],0)</f>
        <v>12572</v>
      </c>
    </row>
    <row r="1963" spans="1:9">
      <c r="A1963" s="1">
        <v>44697</v>
      </c>
      <c r="B1963">
        <v>18330</v>
      </c>
      <c r="C1963">
        <v>41167</v>
      </c>
      <c r="D1963">
        <v>20329</v>
      </c>
      <c r="E1963">
        <v>11169</v>
      </c>
      <c r="F1963">
        <v>86</v>
      </c>
      <c r="G1963" t="s">
        <v>9</v>
      </c>
      <c r="H1963" t="str" cm="1">
        <f t="array" ref="H1963">_xlfn.IFS(Grammys[[#This Row],[date]] &gt;= DATE(2022,2,1),"Grammys",TRUE,"Grammys TRA")</f>
        <v>Grammys</v>
      </c>
      <c r="I1963">
        <f>_xlfn.XLOOKUP(Grammys[[#This Row],[date]],mobile_visits[date],mobile_visits[mobile_visitors],0)</f>
        <v>10794</v>
      </c>
    </row>
    <row r="1964" spans="1:9">
      <c r="A1964" s="1">
        <v>44698</v>
      </c>
      <c r="B1964">
        <v>16759</v>
      </c>
      <c r="C1964">
        <v>37590</v>
      </c>
      <c r="D1964">
        <v>18778</v>
      </c>
      <c r="E1964">
        <v>10218</v>
      </c>
      <c r="F1964">
        <v>91</v>
      </c>
      <c r="G1964" t="s">
        <v>9</v>
      </c>
      <c r="H1964" t="str" cm="1">
        <f t="array" ref="H1964">_xlfn.IFS(Grammys[[#This Row],[date]] &gt;= DATE(2022,2,1),"Grammys",TRUE,"Grammys TRA")</f>
        <v>Grammys</v>
      </c>
      <c r="I1964">
        <f>_xlfn.XLOOKUP(Grammys[[#This Row],[date]],mobile_visits[date],mobile_visits[mobile_visitors],0)</f>
        <v>9797</v>
      </c>
    </row>
    <row r="1965" spans="1:9">
      <c r="A1965" s="1">
        <v>44699</v>
      </c>
      <c r="B1965">
        <v>16373</v>
      </c>
      <c r="C1965">
        <v>37459</v>
      </c>
      <c r="D1965">
        <v>18609</v>
      </c>
      <c r="E1965">
        <v>10215</v>
      </c>
      <c r="F1965">
        <v>96</v>
      </c>
      <c r="G1965" t="s">
        <v>9</v>
      </c>
      <c r="H1965" t="str" cm="1">
        <f t="array" ref="H1965">_xlfn.IFS(Grammys[[#This Row],[date]] &gt;= DATE(2022,2,1),"Grammys",TRUE,"Grammys TRA")</f>
        <v>Grammys</v>
      </c>
      <c r="I1965">
        <f>_xlfn.XLOOKUP(Grammys[[#This Row],[date]],mobile_visits[date],mobile_visits[mobile_visitors],0)</f>
        <v>9463</v>
      </c>
    </row>
    <row r="1966" spans="1:9">
      <c r="A1966" s="1">
        <v>44700</v>
      </c>
      <c r="B1966">
        <v>20000</v>
      </c>
      <c r="C1966">
        <v>43958</v>
      </c>
      <c r="D1966">
        <v>22813</v>
      </c>
      <c r="E1966">
        <v>13417</v>
      </c>
      <c r="F1966">
        <v>79</v>
      </c>
      <c r="G1966" t="s">
        <v>9</v>
      </c>
      <c r="H1966" t="str" cm="1">
        <f t="array" ref="H1966">_xlfn.IFS(Grammys[[#This Row],[date]] &gt;= DATE(2022,2,1),"Grammys",TRUE,"Grammys TRA")</f>
        <v>Grammys</v>
      </c>
      <c r="I1966">
        <f>_xlfn.XLOOKUP(Grammys[[#This Row],[date]],mobile_visits[date],mobile_visits[mobile_visitors],0)</f>
        <v>12308</v>
      </c>
    </row>
    <row r="1967" spans="1:9">
      <c r="A1967" s="1">
        <v>44701</v>
      </c>
      <c r="B1967">
        <v>17920</v>
      </c>
      <c r="C1967">
        <v>39785</v>
      </c>
      <c r="D1967">
        <v>20034</v>
      </c>
      <c r="E1967">
        <v>11017</v>
      </c>
      <c r="F1967">
        <v>87</v>
      </c>
      <c r="G1967" t="s">
        <v>9</v>
      </c>
      <c r="H1967" t="str" cm="1">
        <f t="array" ref="H1967">_xlfn.IFS(Grammys[[#This Row],[date]] &gt;= DATE(2022,2,1),"Grammys",TRUE,"Grammys TRA")</f>
        <v>Grammys</v>
      </c>
      <c r="I1967">
        <f>_xlfn.XLOOKUP(Grammys[[#This Row],[date]],mobile_visits[date],mobile_visits[mobile_visitors],0)</f>
        <v>11140</v>
      </c>
    </row>
    <row r="1968" spans="1:9">
      <c r="A1968" s="1">
        <v>44702</v>
      </c>
      <c r="B1968">
        <v>15453</v>
      </c>
      <c r="C1968">
        <v>35273</v>
      </c>
      <c r="D1968">
        <v>17393</v>
      </c>
      <c r="E1968">
        <v>9363</v>
      </c>
      <c r="F1968">
        <v>74</v>
      </c>
      <c r="G1968" t="s">
        <v>9</v>
      </c>
      <c r="H1968" t="str" cm="1">
        <f t="array" ref="H1968">_xlfn.IFS(Grammys[[#This Row],[date]] &gt;= DATE(2022,2,1),"Grammys",TRUE,"Grammys TRA")</f>
        <v>Grammys</v>
      </c>
      <c r="I1968">
        <f>_xlfn.XLOOKUP(Grammys[[#This Row],[date]],mobile_visits[date],mobile_visits[mobile_visitors],0)</f>
        <v>11411</v>
      </c>
    </row>
    <row r="1969" spans="1:9">
      <c r="A1969" s="1">
        <v>44703</v>
      </c>
      <c r="B1969">
        <v>16225</v>
      </c>
      <c r="C1969">
        <v>37405</v>
      </c>
      <c r="D1969">
        <v>18342</v>
      </c>
      <c r="E1969">
        <v>9707</v>
      </c>
      <c r="F1969">
        <v>77</v>
      </c>
      <c r="G1969" t="s">
        <v>9</v>
      </c>
      <c r="H1969" t="str" cm="1">
        <f t="array" ref="H1969">_xlfn.IFS(Grammys[[#This Row],[date]] &gt;= DATE(2022,2,1),"Grammys",TRUE,"Grammys TRA")</f>
        <v>Grammys</v>
      </c>
      <c r="I1969">
        <f>_xlfn.XLOOKUP(Grammys[[#This Row],[date]],mobile_visits[date],mobile_visits[mobile_visitors],0)</f>
        <v>11219</v>
      </c>
    </row>
    <row r="1970" spans="1:9">
      <c r="A1970" s="1">
        <v>44704</v>
      </c>
      <c r="B1970">
        <v>16740</v>
      </c>
      <c r="C1970">
        <v>36342</v>
      </c>
      <c r="D1970">
        <v>18850</v>
      </c>
      <c r="E1970">
        <v>10764</v>
      </c>
      <c r="F1970">
        <v>83</v>
      </c>
      <c r="G1970" t="s">
        <v>9</v>
      </c>
      <c r="H1970" t="str" cm="1">
        <f t="array" ref="H1970">_xlfn.IFS(Grammys[[#This Row],[date]] &gt;= DATE(2022,2,1),"Grammys",TRUE,"Grammys TRA")</f>
        <v>Grammys</v>
      </c>
      <c r="I1970">
        <f>_xlfn.XLOOKUP(Grammys[[#This Row],[date]],mobile_visits[date],mobile_visits[mobile_visitors],0)</f>
        <v>9882</v>
      </c>
    </row>
    <row r="1971" spans="1:9">
      <c r="A1971" s="1">
        <v>44705</v>
      </c>
      <c r="B1971">
        <v>16516</v>
      </c>
      <c r="C1971">
        <v>35444</v>
      </c>
      <c r="D1971">
        <v>18241</v>
      </c>
      <c r="E1971">
        <v>10378</v>
      </c>
      <c r="F1971">
        <v>89</v>
      </c>
      <c r="G1971" t="s">
        <v>9</v>
      </c>
      <c r="H1971" t="str" cm="1">
        <f t="array" ref="H1971">_xlfn.IFS(Grammys[[#This Row],[date]] &gt;= DATE(2022,2,1),"Grammys",TRUE,"Grammys TRA")</f>
        <v>Grammys</v>
      </c>
      <c r="I1971">
        <f>_xlfn.XLOOKUP(Grammys[[#This Row],[date]],mobile_visits[date],mobile_visits[mobile_visitors],0)</f>
        <v>10101</v>
      </c>
    </row>
    <row r="1972" spans="1:9">
      <c r="A1972" s="1">
        <v>44706</v>
      </c>
      <c r="B1972">
        <v>16286</v>
      </c>
      <c r="C1972">
        <v>36436</v>
      </c>
      <c r="D1972">
        <v>17908</v>
      </c>
      <c r="E1972">
        <v>9556</v>
      </c>
      <c r="F1972">
        <v>88</v>
      </c>
      <c r="G1972" t="s">
        <v>9</v>
      </c>
      <c r="H1972" t="str" cm="1">
        <f t="array" ref="H1972">_xlfn.IFS(Grammys[[#This Row],[date]] &gt;= DATE(2022,2,1),"Grammys",TRUE,"Grammys TRA")</f>
        <v>Grammys</v>
      </c>
      <c r="I1972">
        <f>_xlfn.XLOOKUP(Grammys[[#This Row],[date]],mobile_visits[date],mobile_visits[mobile_visitors],0)</f>
        <v>10184</v>
      </c>
    </row>
    <row r="1973" spans="1:9">
      <c r="A1973" s="1">
        <v>44707</v>
      </c>
      <c r="B1973">
        <v>16047</v>
      </c>
      <c r="C1973">
        <v>36196</v>
      </c>
      <c r="D1973">
        <v>18021</v>
      </c>
      <c r="E1973">
        <v>9793</v>
      </c>
      <c r="F1973">
        <v>90</v>
      </c>
      <c r="G1973" t="s">
        <v>9</v>
      </c>
      <c r="H1973" t="str" cm="1">
        <f t="array" ref="H1973">_xlfn.IFS(Grammys[[#This Row],[date]] &gt;= DATE(2022,2,1),"Grammys",TRUE,"Grammys TRA")</f>
        <v>Grammys</v>
      </c>
      <c r="I1973">
        <f>_xlfn.XLOOKUP(Grammys[[#This Row],[date]],mobile_visits[date],mobile_visits[mobile_visitors],0)</f>
        <v>10467</v>
      </c>
    </row>
    <row r="1974" spans="1:9">
      <c r="A1974" s="1">
        <v>44708</v>
      </c>
      <c r="B1974">
        <v>19071</v>
      </c>
      <c r="C1974">
        <v>43271</v>
      </c>
      <c r="D1974">
        <v>24195</v>
      </c>
      <c r="E1974">
        <v>15287</v>
      </c>
      <c r="F1974">
        <v>70</v>
      </c>
      <c r="G1974" t="s">
        <v>9</v>
      </c>
      <c r="H1974" t="str" cm="1">
        <f t="array" ref="H1974">_xlfn.IFS(Grammys[[#This Row],[date]] &gt;= DATE(2022,2,1),"Grammys",TRUE,"Grammys TRA")</f>
        <v>Grammys</v>
      </c>
      <c r="I1974">
        <f>_xlfn.XLOOKUP(Grammys[[#This Row],[date]],mobile_visits[date],mobile_visits[mobile_visitors],0)</f>
        <v>13647</v>
      </c>
    </row>
    <row r="1975" spans="1:9">
      <c r="A1975" s="1">
        <v>44709</v>
      </c>
      <c r="B1975">
        <v>13187</v>
      </c>
      <c r="C1975">
        <v>29792</v>
      </c>
      <c r="D1975">
        <v>15101</v>
      </c>
      <c r="E1975">
        <v>8591</v>
      </c>
      <c r="F1975">
        <v>77</v>
      </c>
      <c r="G1975" t="s">
        <v>9</v>
      </c>
      <c r="H1975" t="str" cm="1">
        <f t="array" ref="H1975">_xlfn.IFS(Grammys[[#This Row],[date]] &gt;= DATE(2022,2,1),"Grammys",TRUE,"Grammys TRA")</f>
        <v>Grammys</v>
      </c>
      <c r="I1975">
        <f>_xlfn.XLOOKUP(Grammys[[#This Row],[date]],mobile_visits[date],mobile_visits[mobile_visitors],0)</f>
        <v>9615</v>
      </c>
    </row>
    <row r="1976" spans="1:9">
      <c r="A1976" s="1">
        <v>44710</v>
      </c>
      <c r="B1976">
        <v>13145</v>
      </c>
      <c r="C1976">
        <v>29366</v>
      </c>
      <c r="D1976">
        <v>14712</v>
      </c>
      <c r="E1976">
        <v>8145</v>
      </c>
      <c r="F1976">
        <v>80</v>
      </c>
      <c r="G1976" t="s">
        <v>9</v>
      </c>
      <c r="H1976" t="str" cm="1">
        <f t="array" ref="H1976">_xlfn.IFS(Grammys[[#This Row],[date]] &gt;= DATE(2022,2,1),"Grammys",TRUE,"Grammys TRA")</f>
        <v>Grammys</v>
      </c>
      <c r="I1976">
        <f>_xlfn.XLOOKUP(Grammys[[#This Row],[date]],mobile_visits[date],mobile_visits[mobile_visitors],0)</f>
        <v>8738</v>
      </c>
    </row>
    <row r="1977" spans="1:9">
      <c r="A1977" s="1">
        <v>44711</v>
      </c>
      <c r="B1977">
        <v>14439</v>
      </c>
      <c r="C1977">
        <v>32368</v>
      </c>
      <c r="D1977">
        <v>16675</v>
      </c>
      <c r="E1977">
        <v>9525</v>
      </c>
      <c r="F1977">
        <v>75</v>
      </c>
      <c r="G1977" t="s">
        <v>9</v>
      </c>
      <c r="H1977" t="str" cm="1">
        <f t="array" ref="H1977">_xlfn.IFS(Grammys[[#This Row],[date]] &gt;= DATE(2022,2,1),"Grammys",TRUE,"Grammys TRA")</f>
        <v>Grammys</v>
      </c>
      <c r="I1977">
        <f>_xlfn.XLOOKUP(Grammys[[#This Row],[date]],mobile_visits[date],mobile_visits[mobile_visitors],0)</f>
        <v>9641</v>
      </c>
    </row>
    <row r="1978" spans="1:9">
      <c r="A1978" s="1">
        <v>44712</v>
      </c>
      <c r="B1978">
        <v>13836</v>
      </c>
      <c r="C1978">
        <v>30743</v>
      </c>
      <c r="D1978">
        <v>15518</v>
      </c>
      <c r="E1978">
        <v>8602</v>
      </c>
      <c r="F1978">
        <v>86</v>
      </c>
      <c r="G1978" t="s">
        <v>9</v>
      </c>
      <c r="H1978" t="str" cm="1">
        <f t="array" ref="H1978">_xlfn.IFS(Grammys[[#This Row],[date]] &gt;= DATE(2022,2,1),"Grammys",TRUE,"Grammys TRA")</f>
        <v>Grammys</v>
      </c>
      <c r="I1978">
        <f>_xlfn.XLOOKUP(Grammys[[#This Row],[date]],mobile_visits[date],mobile_visits[mobile_visitors],0)</f>
        <v>8517</v>
      </c>
    </row>
    <row r="1979" spans="1:9">
      <c r="A1979" s="1">
        <v>44713</v>
      </c>
      <c r="B1979">
        <v>14341</v>
      </c>
      <c r="C1979">
        <v>32659</v>
      </c>
      <c r="D1979">
        <v>16180</v>
      </c>
      <c r="E1979">
        <v>8778</v>
      </c>
      <c r="F1979">
        <v>85</v>
      </c>
      <c r="G1979" t="s">
        <v>9</v>
      </c>
      <c r="H1979" t="str" cm="1">
        <f t="array" ref="H1979">_xlfn.IFS(Grammys[[#This Row],[date]] &gt;= DATE(2022,2,1),"Grammys",TRUE,"Grammys TRA")</f>
        <v>Grammys</v>
      </c>
      <c r="I1979">
        <f>_xlfn.XLOOKUP(Grammys[[#This Row],[date]],mobile_visits[date],mobile_visits[mobile_visitors],0)</f>
        <v>9204</v>
      </c>
    </row>
    <row r="1980" spans="1:9">
      <c r="A1980" s="1">
        <v>44714</v>
      </c>
      <c r="B1980">
        <v>14193</v>
      </c>
      <c r="C1980">
        <v>32029</v>
      </c>
      <c r="D1980">
        <v>16129</v>
      </c>
      <c r="E1980">
        <v>8755</v>
      </c>
      <c r="F1980">
        <v>84</v>
      </c>
      <c r="G1980" t="s">
        <v>9</v>
      </c>
      <c r="H1980" t="str" cm="1">
        <f t="array" ref="H1980">_xlfn.IFS(Grammys[[#This Row],[date]] &gt;= DATE(2022,2,1),"Grammys",TRUE,"Grammys TRA")</f>
        <v>Grammys</v>
      </c>
      <c r="I1980">
        <f>_xlfn.XLOOKUP(Grammys[[#This Row],[date]],mobile_visits[date],mobile_visits[mobile_visitors],0)</f>
        <v>9134</v>
      </c>
    </row>
    <row r="1981" spans="1:9">
      <c r="A1981" s="1">
        <v>44715</v>
      </c>
      <c r="B1981">
        <v>13029</v>
      </c>
      <c r="C1981">
        <v>29514</v>
      </c>
      <c r="D1981">
        <v>14818</v>
      </c>
      <c r="E1981">
        <v>8205</v>
      </c>
      <c r="F1981">
        <v>78</v>
      </c>
      <c r="G1981" t="s">
        <v>9</v>
      </c>
      <c r="H1981" t="str" cm="1">
        <f t="array" ref="H1981">_xlfn.IFS(Grammys[[#This Row],[date]] &gt;= DATE(2022,2,1),"Grammys",TRUE,"Grammys TRA")</f>
        <v>Grammys</v>
      </c>
      <c r="I1981">
        <f>_xlfn.XLOOKUP(Grammys[[#This Row],[date]],mobile_visits[date],mobile_visits[mobile_visitors],0)</f>
        <v>7944</v>
      </c>
    </row>
    <row r="1982" spans="1:9">
      <c r="A1982" s="1">
        <v>44716</v>
      </c>
      <c r="B1982">
        <v>11962</v>
      </c>
      <c r="C1982">
        <v>27349</v>
      </c>
      <c r="D1982">
        <v>13160</v>
      </c>
      <c r="E1982">
        <v>6945</v>
      </c>
      <c r="F1982">
        <v>83</v>
      </c>
      <c r="G1982" t="s">
        <v>9</v>
      </c>
      <c r="H1982" t="str" cm="1">
        <f t="array" ref="H1982">_xlfn.IFS(Grammys[[#This Row],[date]] &gt;= DATE(2022,2,1),"Grammys",TRUE,"Grammys TRA")</f>
        <v>Grammys</v>
      </c>
      <c r="I1982">
        <f>_xlfn.XLOOKUP(Grammys[[#This Row],[date]],mobile_visits[date],mobile_visits[mobile_visitors],0)</f>
        <v>8937</v>
      </c>
    </row>
    <row r="1983" spans="1:9">
      <c r="A1983" s="1">
        <v>44717</v>
      </c>
      <c r="B1983">
        <v>12620</v>
      </c>
      <c r="C1983">
        <v>28516</v>
      </c>
      <c r="D1983">
        <v>13880</v>
      </c>
      <c r="E1983">
        <v>7629</v>
      </c>
      <c r="F1983">
        <v>85</v>
      </c>
      <c r="G1983" t="s">
        <v>9</v>
      </c>
      <c r="H1983" t="str" cm="1">
        <f t="array" ref="H1983">_xlfn.IFS(Grammys[[#This Row],[date]] &gt;= DATE(2022,2,1),"Grammys",TRUE,"Grammys TRA")</f>
        <v>Grammys</v>
      </c>
      <c r="I1983">
        <f>_xlfn.XLOOKUP(Grammys[[#This Row],[date]],mobile_visits[date],mobile_visits[mobile_visitors],0)</f>
        <v>8709</v>
      </c>
    </row>
    <row r="1984" spans="1:9">
      <c r="A1984" s="1">
        <v>44718</v>
      </c>
      <c r="B1984">
        <v>12713</v>
      </c>
      <c r="C1984">
        <v>29847</v>
      </c>
      <c r="D1984">
        <v>14340</v>
      </c>
      <c r="E1984">
        <v>7616</v>
      </c>
      <c r="F1984">
        <v>87</v>
      </c>
      <c r="G1984" t="s">
        <v>9</v>
      </c>
      <c r="H1984" t="str" cm="1">
        <f t="array" ref="H1984">_xlfn.IFS(Grammys[[#This Row],[date]] &gt;= DATE(2022,2,1),"Grammys",TRUE,"Grammys TRA")</f>
        <v>Grammys</v>
      </c>
      <c r="I1984">
        <f>_xlfn.XLOOKUP(Grammys[[#This Row],[date]],mobile_visits[date],mobile_visits[mobile_visitors],0)</f>
        <v>7237</v>
      </c>
    </row>
    <row r="1985" spans="1:9">
      <c r="A1985" s="1">
        <v>44719</v>
      </c>
      <c r="B1985">
        <v>12716</v>
      </c>
      <c r="C1985">
        <v>29405</v>
      </c>
      <c r="D1985">
        <v>14333</v>
      </c>
      <c r="E1985">
        <v>7528</v>
      </c>
      <c r="F1985">
        <v>86</v>
      </c>
      <c r="G1985" t="s">
        <v>9</v>
      </c>
      <c r="H1985" t="str" cm="1">
        <f t="array" ref="H1985">_xlfn.IFS(Grammys[[#This Row],[date]] &gt;= DATE(2022,2,1),"Grammys",TRUE,"Grammys TRA")</f>
        <v>Grammys</v>
      </c>
      <c r="I1985">
        <f>_xlfn.XLOOKUP(Grammys[[#This Row],[date]],mobile_visits[date],mobile_visits[mobile_visitors],0)</f>
        <v>7657</v>
      </c>
    </row>
    <row r="1986" spans="1:9">
      <c r="A1986" s="1">
        <v>44720</v>
      </c>
      <c r="B1986">
        <v>18533</v>
      </c>
      <c r="C1986">
        <v>43318</v>
      </c>
      <c r="D1986">
        <v>20685</v>
      </c>
      <c r="E1986">
        <v>10258</v>
      </c>
      <c r="F1986">
        <v>86</v>
      </c>
      <c r="G1986" t="s">
        <v>9</v>
      </c>
      <c r="H1986" t="str" cm="1">
        <f t="array" ref="H1986">_xlfn.IFS(Grammys[[#This Row],[date]] &gt;= DATE(2022,2,1),"Grammys",TRUE,"Grammys TRA")</f>
        <v>Grammys</v>
      </c>
      <c r="I1986">
        <f>_xlfn.XLOOKUP(Grammys[[#This Row],[date]],mobile_visits[date],mobile_visits[mobile_visitors],0)</f>
        <v>13109</v>
      </c>
    </row>
    <row r="1987" spans="1:9">
      <c r="A1987" s="1">
        <v>44721</v>
      </c>
      <c r="B1987">
        <v>26238</v>
      </c>
      <c r="C1987">
        <v>58460</v>
      </c>
      <c r="D1987">
        <v>30134</v>
      </c>
      <c r="E1987">
        <v>15956</v>
      </c>
      <c r="F1987">
        <v>70</v>
      </c>
      <c r="G1987" t="s">
        <v>9</v>
      </c>
      <c r="H1987" t="str" cm="1">
        <f t="array" ref="H1987">_xlfn.IFS(Grammys[[#This Row],[date]] &gt;= DATE(2022,2,1),"Grammys",TRUE,"Grammys TRA")</f>
        <v>Grammys</v>
      </c>
      <c r="I1987">
        <f>_xlfn.XLOOKUP(Grammys[[#This Row],[date]],mobile_visits[date],mobile_visits[mobile_visitors],0)</f>
        <v>18442</v>
      </c>
    </row>
    <row r="1988" spans="1:9">
      <c r="A1988" s="1">
        <v>44722</v>
      </c>
      <c r="B1988">
        <v>45469</v>
      </c>
      <c r="C1988">
        <v>82355</v>
      </c>
      <c r="D1988">
        <v>49172</v>
      </c>
      <c r="E1988">
        <v>31731</v>
      </c>
      <c r="F1988">
        <v>64</v>
      </c>
      <c r="G1988" t="s">
        <v>9</v>
      </c>
      <c r="H1988" t="str" cm="1">
        <f t="array" ref="H1988">_xlfn.IFS(Grammys[[#This Row],[date]] &gt;= DATE(2022,2,1),"Grammys",TRUE,"Grammys TRA")</f>
        <v>Grammys</v>
      </c>
      <c r="I1988">
        <f>_xlfn.XLOOKUP(Grammys[[#This Row],[date]],mobile_visits[date],mobile_visits[mobile_visitors],0)</f>
        <v>22236</v>
      </c>
    </row>
    <row r="1989" spans="1:9">
      <c r="A1989" s="1">
        <v>44723</v>
      </c>
      <c r="B1989">
        <v>37018</v>
      </c>
      <c r="C1989">
        <v>64873</v>
      </c>
      <c r="D1989">
        <v>39899</v>
      </c>
      <c r="E1989">
        <v>26888</v>
      </c>
      <c r="F1989">
        <v>62</v>
      </c>
      <c r="G1989" t="s">
        <v>9</v>
      </c>
      <c r="H1989" t="str" cm="1">
        <f t="array" ref="H1989">_xlfn.IFS(Grammys[[#This Row],[date]] &gt;= DATE(2022,2,1),"Grammys",TRUE,"Grammys TRA")</f>
        <v>Grammys</v>
      </c>
      <c r="I1989">
        <f>_xlfn.XLOOKUP(Grammys[[#This Row],[date]],mobile_visits[date],mobile_visits[mobile_visitors],0)</f>
        <v>15349</v>
      </c>
    </row>
    <row r="1990" spans="1:9">
      <c r="A1990" s="1">
        <v>44724</v>
      </c>
      <c r="B1990">
        <v>17783</v>
      </c>
      <c r="C1990">
        <v>39700</v>
      </c>
      <c r="D1990">
        <v>19679</v>
      </c>
      <c r="E1990">
        <v>10157</v>
      </c>
      <c r="F1990">
        <v>79</v>
      </c>
      <c r="G1990" t="s">
        <v>9</v>
      </c>
      <c r="H1990" t="str" cm="1">
        <f t="array" ref="H1990">_xlfn.IFS(Grammys[[#This Row],[date]] &gt;= DATE(2022,2,1),"Grammys",TRUE,"Grammys TRA")</f>
        <v>Grammys</v>
      </c>
      <c r="I1990">
        <f>_xlfn.XLOOKUP(Grammys[[#This Row],[date]],mobile_visits[date],mobile_visits[mobile_visitors],0)</f>
        <v>11890</v>
      </c>
    </row>
    <row r="1991" spans="1:9">
      <c r="A1991" s="1">
        <v>44725</v>
      </c>
      <c r="B1991">
        <v>16613</v>
      </c>
      <c r="C1991">
        <v>37355</v>
      </c>
      <c r="D1991">
        <v>18723</v>
      </c>
      <c r="E1991">
        <v>10023</v>
      </c>
      <c r="F1991">
        <v>85</v>
      </c>
      <c r="G1991" t="s">
        <v>9</v>
      </c>
      <c r="H1991" t="str" cm="1">
        <f t="array" ref="H1991">_xlfn.IFS(Grammys[[#This Row],[date]] &gt;= DATE(2022,2,1),"Grammys",TRUE,"Grammys TRA")</f>
        <v>Grammys</v>
      </c>
      <c r="I1991">
        <f>_xlfn.XLOOKUP(Grammys[[#This Row],[date]],mobile_visits[date],mobile_visits[mobile_visitors],0)</f>
        <v>10433</v>
      </c>
    </row>
    <row r="1992" spans="1:9">
      <c r="A1992" s="1">
        <v>44726</v>
      </c>
      <c r="B1992">
        <v>17487</v>
      </c>
      <c r="C1992">
        <v>39628</v>
      </c>
      <c r="D1992">
        <v>19717</v>
      </c>
      <c r="E1992">
        <v>10736</v>
      </c>
      <c r="F1992">
        <v>78</v>
      </c>
      <c r="G1992" t="s">
        <v>9</v>
      </c>
      <c r="H1992" t="str" cm="1">
        <f t="array" ref="H1992">_xlfn.IFS(Grammys[[#This Row],[date]] &gt;= DATE(2022,2,1),"Grammys",TRUE,"Grammys TRA")</f>
        <v>Grammys</v>
      </c>
      <c r="I1992">
        <f>_xlfn.XLOOKUP(Grammys[[#This Row],[date]],mobile_visits[date],mobile_visits[mobile_visitors],0)</f>
        <v>10968</v>
      </c>
    </row>
    <row r="1993" spans="1:9">
      <c r="A1993" s="1">
        <v>44727</v>
      </c>
      <c r="B1993">
        <v>15027</v>
      </c>
      <c r="C1993">
        <v>35065</v>
      </c>
      <c r="D1993">
        <v>17297</v>
      </c>
      <c r="E1993">
        <v>9241</v>
      </c>
      <c r="F1993">
        <v>82</v>
      </c>
      <c r="G1993" t="s">
        <v>9</v>
      </c>
      <c r="H1993" t="str" cm="1">
        <f t="array" ref="H1993">_xlfn.IFS(Grammys[[#This Row],[date]] &gt;= DATE(2022,2,1),"Grammys",TRUE,"Grammys TRA")</f>
        <v>Grammys</v>
      </c>
      <c r="I1993">
        <f>_xlfn.XLOOKUP(Grammys[[#This Row],[date]],mobile_visits[date],mobile_visits[mobile_visitors],0)</f>
        <v>8899</v>
      </c>
    </row>
    <row r="1994" spans="1:9">
      <c r="A1994" s="1">
        <v>44728</v>
      </c>
      <c r="B1994">
        <v>17098</v>
      </c>
      <c r="C1994">
        <v>38634</v>
      </c>
      <c r="D1994">
        <v>19083</v>
      </c>
      <c r="E1994">
        <v>10109</v>
      </c>
      <c r="F1994">
        <v>75</v>
      </c>
      <c r="G1994" t="s">
        <v>9</v>
      </c>
      <c r="H1994" t="str" cm="1">
        <f t="array" ref="H1994">_xlfn.IFS(Grammys[[#This Row],[date]] &gt;= DATE(2022,2,1),"Grammys",TRUE,"Grammys TRA")</f>
        <v>Grammys</v>
      </c>
      <c r="I1994">
        <f>_xlfn.XLOOKUP(Grammys[[#This Row],[date]],mobile_visits[date],mobile_visits[mobile_visitors],0)</f>
        <v>11492</v>
      </c>
    </row>
    <row r="1995" spans="1:9">
      <c r="A1995" s="1">
        <v>44729</v>
      </c>
      <c r="B1995">
        <v>16714</v>
      </c>
      <c r="C1995">
        <v>37291</v>
      </c>
      <c r="D1995">
        <v>18581</v>
      </c>
      <c r="E1995">
        <v>9778</v>
      </c>
      <c r="F1995">
        <v>76</v>
      </c>
      <c r="G1995" t="s">
        <v>9</v>
      </c>
      <c r="H1995" t="str" cm="1">
        <f t="array" ref="H1995">_xlfn.IFS(Grammys[[#This Row],[date]] &gt;= DATE(2022,2,1),"Grammys",TRUE,"Grammys TRA")</f>
        <v>Grammys</v>
      </c>
      <c r="I1995">
        <f>_xlfn.XLOOKUP(Grammys[[#This Row],[date]],mobile_visits[date],mobile_visits[mobile_visitors],0)</f>
        <v>12255</v>
      </c>
    </row>
    <row r="1996" spans="1:9">
      <c r="A1996" s="1">
        <v>44730</v>
      </c>
      <c r="B1996">
        <v>13139</v>
      </c>
      <c r="C1996">
        <v>31116</v>
      </c>
      <c r="D1996">
        <v>14523</v>
      </c>
      <c r="E1996">
        <v>7265</v>
      </c>
      <c r="F1996">
        <v>85</v>
      </c>
      <c r="G1996" t="s">
        <v>9</v>
      </c>
      <c r="H1996" t="str" cm="1">
        <f t="array" ref="H1996">_xlfn.IFS(Grammys[[#This Row],[date]] &gt;= DATE(2022,2,1),"Grammys",TRUE,"Grammys TRA")</f>
        <v>Grammys</v>
      </c>
      <c r="I1996">
        <f>_xlfn.XLOOKUP(Grammys[[#This Row],[date]],mobile_visits[date],mobile_visits[mobile_visitors],0)</f>
        <v>9358</v>
      </c>
    </row>
    <row r="1997" spans="1:9">
      <c r="A1997" s="1">
        <v>44731</v>
      </c>
      <c r="B1997">
        <v>13386</v>
      </c>
      <c r="C1997">
        <v>31183</v>
      </c>
      <c r="D1997">
        <v>15013</v>
      </c>
      <c r="E1997">
        <v>7582</v>
      </c>
      <c r="F1997">
        <v>74</v>
      </c>
      <c r="G1997" t="s">
        <v>9</v>
      </c>
      <c r="H1997" t="str" cm="1">
        <f t="array" ref="H1997">_xlfn.IFS(Grammys[[#This Row],[date]] &gt;= DATE(2022,2,1),"Grammys",TRUE,"Grammys TRA")</f>
        <v>Grammys</v>
      </c>
      <c r="I1997">
        <f>_xlfn.XLOOKUP(Grammys[[#This Row],[date]],mobile_visits[date],mobile_visits[mobile_visitors],0)</f>
        <v>9579</v>
      </c>
    </row>
    <row r="1998" spans="1:9">
      <c r="A1998" s="1">
        <v>44732</v>
      </c>
      <c r="B1998">
        <v>14666</v>
      </c>
      <c r="C1998">
        <v>32816</v>
      </c>
      <c r="D1998">
        <v>16194</v>
      </c>
      <c r="E1998">
        <v>8114</v>
      </c>
      <c r="F1998">
        <v>81</v>
      </c>
      <c r="G1998" t="s">
        <v>9</v>
      </c>
      <c r="H1998" t="str" cm="1">
        <f t="array" ref="H1998">_xlfn.IFS(Grammys[[#This Row],[date]] &gt;= DATE(2022,2,1),"Grammys",TRUE,"Grammys TRA")</f>
        <v>Grammys</v>
      </c>
      <c r="I1998">
        <f>_xlfn.XLOOKUP(Grammys[[#This Row],[date]],mobile_visits[date],mobile_visits[mobile_visitors],0)</f>
        <v>9868</v>
      </c>
    </row>
    <row r="1999" spans="1:9">
      <c r="A1999" s="1">
        <v>44733</v>
      </c>
      <c r="B1999">
        <v>13925</v>
      </c>
      <c r="C1999">
        <v>31781</v>
      </c>
      <c r="D1999">
        <v>15843</v>
      </c>
      <c r="E1999">
        <v>8366</v>
      </c>
      <c r="F1999">
        <v>88</v>
      </c>
      <c r="G1999" t="s">
        <v>9</v>
      </c>
      <c r="H1999" t="str" cm="1">
        <f t="array" ref="H1999">_xlfn.IFS(Grammys[[#This Row],[date]] &gt;= DATE(2022,2,1),"Grammys",TRUE,"Grammys TRA")</f>
        <v>Grammys</v>
      </c>
      <c r="I1999">
        <f>_xlfn.XLOOKUP(Grammys[[#This Row],[date]],mobile_visits[date],mobile_visits[mobile_visitors],0)</f>
        <v>9075</v>
      </c>
    </row>
    <row r="2000" spans="1:9">
      <c r="A2000" s="1">
        <v>44734</v>
      </c>
      <c r="B2000">
        <v>13454</v>
      </c>
      <c r="C2000">
        <v>30214</v>
      </c>
      <c r="D2000">
        <v>15169</v>
      </c>
      <c r="E2000">
        <v>8122</v>
      </c>
      <c r="F2000">
        <v>90</v>
      </c>
      <c r="G2000" t="s">
        <v>9</v>
      </c>
      <c r="H2000" t="str" cm="1">
        <f t="array" ref="H2000">_xlfn.IFS(Grammys[[#This Row],[date]] &gt;= DATE(2022,2,1),"Grammys",TRUE,"Grammys TRA")</f>
        <v>Grammys</v>
      </c>
      <c r="I2000">
        <f>_xlfn.XLOOKUP(Grammys[[#This Row],[date]],mobile_visits[date],mobile_visits[mobile_visitors],0)</f>
        <v>8343</v>
      </c>
    </row>
    <row r="2001" spans="1:9">
      <c r="A2001" s="1">
        <v>44735</v>
      </c>
      <c r="B2001">
        <v>12772</v>
      </c>
      <c r="C2001">
        <v>29122</v>
      </c>
      <c r="D2001">
        <v>14493</v>
      </c>
      <c r="E2001">
        <v>7763</v>
      </c>
      <c r="F2001">
        <v>90</v>
      </c>
      <c r="G2001" t="s">
        <v>9</v>
      </c>
      <c r="H2001" t="str" cm="1">
        <f t="array" ref="H2001">_xlfn.IFS(Grammys[[#This Row],[date]] &gt;= DATE(2022,2,1),"Grammys",TRUE,"Grammys TRA")</f>
        <v>Grammys</v>
      </c>
      <c r="I2001">
        <f>_xlfn.XLOOKUP(Grammys[[#This Row],[date]],mobile_visits[date],mobile_visits[mobile_visitors],0)</f>
        <v>8078</v>
      </c>
    </row>
    <row r="2002" spans="1:9">
      <c r="A2002" s="1">
        <v>44736</v>
      </c>
      <c r="B2002">
        <v>11694</v>
      </c>
      <c r="C2002">
        <v>26523</v>
      </c>
      <c r="D2002">
        <v>12962</v>
      </c>
      <c r="E2002">
        <v>6786</v>
      </c>
      <c r="F2002">
        <v>87</v>
      </c>
      <c r="G2002" t="s">
        <v>9</v>
      </c>
      <c r="H2002" t="str" cm="1">
        <f t="array" ref="H2002">_xlfn.IFS(Grammys[[#This Row],[date]] &gt;= DATE(2022,2,1),"Grammys",TRUE,"Grammys TRA")</f>
        <v>Grammys</v>
      </c>
      <c r="I2002">
        <f>_xlfn.XLOOKUP(Grammys[[#This Row],[date]],mobile_visits[date],mobile_visits[mobile_visitors],0)</f>
        <v>8148</v>
      </c>
    </row>
    <row r="2003" spans="1:9">
      <c r="A2003" s="1">
        <v>44737</v>
      </c>
      <c r="B2003">
        <v>10238</v>
      </c>
      <c r="C2003">
        <v>23664</v>
      </c>
      <c r="D2003">
        <v>11298</v>
      </c>
      <c r="E2003">
        <v>5971</v>
      </c>
      <c r="F2003">
        <v>86</v>
      </c>
      <c r="G2003" t="s">
        <v>9</v>
      </c>
      <c r="H2003" t="str" cm="1">
        <f t="array" ref="H2003">_xlfn.IFS(Grammys[[#This Row],[date]] &gt;= DATE(2022,2,1),"Grammys",TRUE,"Grammys TRA")</f>
        <v>Grammys</v>
      </c>
      <c r="I2003">
        <f>_xlfn.XLOOKUP(Grammys[[#This Row],[date]],mobile_visits[date],mobile_visits[mobile_visitors],0)</f>
        <v>7657</v>
      </c>
    </row>
    <row r="2004" spans="1:9">
      <c r="A2004" s="1">
        <v>44738</v>
      </c>
      <c r="B2004">
        <v>11475</v>
      </c>
      <c r="C2004">
        <v>26986</v>
      </c>
      <c r="D2004">
        <v>12581</v>
      </c>
      <c r="E2004">
        <v>6599</v>
      </c>
      <c r="F2004">
        <v>80</v>
      </c>
      <c r="G2004" t="s">
        <v>9</v>
      </c>
      <c r="H2004" t="str" cm="1">
        <f t="array" ref="H2004">_xlfn.IFS(Grammys[[#This Row],[date]] &gt;= DATE(2022,2,1),"Grammys",TRUE,"Grammys TRA")</f>
        <v>Grammys</v>
      </c>
      <c r="I2004">
        <f>_xlfn.XLOOKUP(Grammys[[#This Row],[date]],mobile_visits[date],mobile_visits[mobile_visitors],0)</f>
        <v>8268</v>
      </c>
    </row>
    <row r="2005" spans="1:9">
      <c r="A2005" s="1">
        <v>44739</v>
      </c>
      <c r="B2005">
        <v>12283</v>
      </c>
      <c r="C2005">
        <v>28034</v>
      </c>
      <c r="D2005">
        <v>13568</v>
      </c>
      <c r="E2005">
        <v>7243</v>
      </c>
      <c r="F2005">
        <v>85</v>
      </c>
      <c r="G2005" t="s">
        <v>9</v>
      </c>
      <c r="H2005" t="str" cm="1">
        <f t="array" ref="H2005">_xlfn.IFS(Grammys[[#This Row],[date]] &gt;= DATE(2022,2,1),"Grammys",TRUE,"Grammys TRA")</f>
        <v>Grammys</v>
      </c>
      <c r="I2005">
        <f>_xlfn.XLOOKUP(Grammys[[#This Row],[date]],mobile_visits[date],mobile_visits[mobile_visitors],0)</f>
        <v>7772</v>
      </c>
    </row>
    <row r="2006" spans="1:9">
      <c r="A2006" s="1">
        <v>44740</v>
      </c>
      <c r="B2006">
        <v>11902</v>
      </c>
      <c r="C2006">
        <v>27279</v>
      </c>
      <c r="D2006">
        <v>13372</v>
      </c>
      <c r="E2006">
        <v>7066</v>
      </c>
      <c r="F2006">
        <v>92</v>
      </c>
      <c r="G2006" t="s">
        <v>9</v>
      </c>
      <c r="H2006" t="str" cm="1">
        <f t="array" ref="H2006">_xlfn.IFS(Grammys[[#This Row],[date]] &gt;= DATE(2022,2,1),"Grammys",TRUE,"Grammys TRA")</f>
        <v>Grammys</v>
      </c>
      <c r="I2006">
        <f>_xlfn.XLOOKUP(Grammys[[#This Row],[date]],mobile_visits[date],mobile_visits[mobile_visitors],0)</f>
        <v>7860</v>
      </c>
    </row>
    <row r="2007" spans="1:9">
      <c r="A2007" s="1">
        <v>44741</v>
      </c>
      <c r="B2007">
        <v>26488</v>
      </c>
      <c r="C2007">
        <v>57994</v>
      </c>
      <c r="D2007">
        <v>28865</v>
      </c>
      <c r="E2007">
        <v>13512</v>
      </c>
      <c r="F2007">
        <v>125</v>
      </c>
      <c r="G2007" t="s">
        <v>9</v>
      </c>
      <c r="H2007" t="str" cm="1">
        <f t="array" ref="H2007">_xlfn.IFS(Grammys[[#This Row],[date]] &gt;= DATE(2022,2,1),"Grammys",TRUE,"Grammys TRA")</f>
        <v>Grammys</v>
      </c>
      <c r="I2007">
        <f>_xlfn.XLOOKUP(Grammys[[#This Row],[date]],mobile_visits[date],mobile_visits[mobile_visitors],0)</f>
        <v>20986</v>
      </c>
    </row>
    <row r="2008" spans="1:9">
      <c r="A2008" s="1">
        <v>44742</v>
      </c>
      <c r="B2008">
        <v>16166</v>
      </c>
      <c r="C2008">
        <v>35566</v>
      </c>
      <c r="D2008">
        <v>18078</v>
      </c>
      <c r="E2008">
        <v>9323</v>
      </c>
      <c r="F2008">
        <v>96</v>
      </c>
      <c r="G2008" t="s">
        <v>9</v>
      </c>
      <c r="H2008" t="str" cm="1">
        <f t="array" ref="H2008">_xlfn.IFS(Grammys[[#This Row],[date]] &gt;= DATE(2022,2,1),"Grammys",TRUE,"Grammys TRA")</f>
        <v>Grammys</v>
      </c>
      <c r="I2008">
        <f>_xlfn.XLOOKUP(Grammys[[#This Row],[date]],mobile_visits[date],mobile_visits[mobile_visitors],0)</f>
        <v>11811</v>
      </c>
    </row>
    <row r="2009" spans="1:9">
      <c r="A2009" s="1">
        <v>44743</v>
      </c>
      <c r="B2009">
        <v>13709</v>
      </c>
      <c r="C2009">
        <v>30283</v>
      </c>
      <c r="D2009">
        <v>15104</v>
      </c>
      <c r="E2009">
        <v>7580</v>
      </c>
      <c r="F2009">
        <v>88</v>
      </c>
      <c r="G2009" t="s">
        <v>9</v>
      </c>
      <c r="H2009" t="str" cm="1">
        <f t="array" ref="H2009">_xlfn.IFS(Grammys[[#This Row],[date]] &gt;= DATE(2022,2,1),"Grammys",TRUE,"Grammys TRA")</f>
        <v>Grammys</v>
      </c>
      <c r="I2009">
        <f>_xlfn.XLOOKUP(Grammys[[#This Row],[date]],mobile_visits[date],mobile_visits[mobile_visitors],0)</f>
        <v>10215</v>
      </c>
    </row>
    <row r="2010" spans="1:9">
      <c r="A2010" s="1">
        <v>44744</v>
      </c>
      <c r="B2010">
        <v>14755</v>
      </c>
      <c r="C2010">
        <v>32510</v>
      </c>
      <c r="D2010">
        <v>16195</v>
      </c>
      <c r="E2010">
        <v>8469</v>
      </c>
      <c r="F2010">
        <v>84</v>
      </c>
      <c r="G2010" t="s">
        <v>9</v>
      </c>
      <c r="H2010" t="str" cm="1">
        <f t="array" ref="H2010">_xlfn.IFS(Grammys[[#This Row],[date]] &gt;= DATE(2022,2,1),"Grammys",TRUE,"Grammys TRA")</f>
        <v>Grammys</v>
      </c>
      <c r="I2010">
        <f>_xlfn.XLOOKUP(Grammys[[#This Row],[date]],mobile_visits[date],mobile_visits[mobile_visitors],0)</f>
        <v>11704</v>
      </c>
    </row>
    <row r="2011" spans="1:9">
      <c r="A2011" s="1">
        <v>44745</v>
      </c>
      <c r="B2011">
        <v>13397</v>
      </c>
      <c r="C2011">
        <v>30864</v>
      </c>
      <c r="D2011">
        <v>14895</v>
      </c>
      <c r="E2011">
        <v>7371</v>
      </c>
      <c r="F2011">
        <v>81</v>
      </c>
      <c r="G2011" t="s">
        <v>9</v>
      </c>
      <c r="H2011" t="str" cm="1">
        <f t="array" ref="H2011">_xlfn.IFS(Grammys[[#This Row],[date]] &gt;= DATE(2022,2,1),"Grammys",TRUE,"Grammys TRA")</f>
        <v>Grammys</v>
      </c>
      <c r="I2011">
        <f>_xlfn.XLOOKUP(Grammys[[#This Row],[date]],mobile_visits[date],mobile_visits[mobile_visitors],0)</f>
        <v>10138</v>
      </c>
    </row>
    <row r="2012" spans="1:9">
      <c r="A2012" s="1">
        <v>44746</v>
      </c>
      <c r="B2012">
        <v>12725</v>
      </c>
      <c r="C2012">
        <v>28977</v>
      </c>
      <c r="D2012">
        <v>13978</v>
      </c>
      <c r="E2012">
        <v>7078</v>
      </c>
      <c r="F2012">
        <v>77</v>
      </c>
      <c r="G2012" t="s">
        <v>9</v>
      </c>
      <c r="H2012" t="str" cm="1">
        <f t="array" ref="H2012">_xlfn.IFS(Grammys[[#This Row],[date]] &gt;= DATE(2022,2,1),"Grammys",TRUE,"Grammys TRA")</f>
        <v>Grammys</v>
      </c>
      <c r="I2012">
        <f>_xlfn.XLOOKUP(Grammys[[#This Row],[date]],mobile_visits[date],mobile_visits[mobile_visitors],0)</f>
        <v>9361</v>
      </c>
    </row>
    <row r="2013" spans="1:9">
      <c r="A2013" s="1">
        <v>44747</v>
      </c>
      <c r="B2013">
        <v>16349</v>
      </c>
      <c r="C2013">
        <v>38460</v>
      </c>
      <c r="D2013">
        <v>18443</v>
      </c>
      <c r="E2013">
        <v>9194</v>
      </c>
      <c r="F2013">
        <v>89</v>
      </c>
      <c r="G2013" t="s">
        <v>9</v>
      </c>
      <c r="H2013" t="str" cm="1">
        <f t="array" ref="H2013">_xlfn.IFS(Grammys[[#This Row],[date]] &gt;= DATE(2022,2,1),"Grammys",TRUE,"Grammys TRA")</f>
        <v>Grammys</v>
      </c>
      <c r="I2013">
        <f>_xlfn.XLOOKUP(Grammys[[#This Row],[date]],mobile_visits[date],mobile_visits[mobile_visitors],0)</f>
        <v>11760</v>
      </c>
    </row>
    <row r="2014" spans="1:9">
      <c r="A2014" s="1">
        <v>44748</v>
      </c>
      <c r="B2014">
        <v>15172</v>
      </c>
      <c r="C2014">
        <v>36118</v>
      </c>
      <c r="D2014">
        <v>16887</v>
      </c>
      <c r="E2014">
        <v>8373</v>
      </c>
      <c r="F2014">
        <v>85</v>
      </c>
      <c r="G2014" t="s">
        <v>9</v>
      </c>
      <c r="H2014" t="str" cm="1">
        <f t="array" ref="H2014">_xlfn.IFS(Grammys[[#This Row],[date]] &gt;= DATE(2022,2,1),"Grammys",TRUE,"Grammys TRA")</f>
        <v>Grammys</v>
      </c>
      <c r="I2014">
        <f>_xlfn.XLOOKUP(Grammys[[#This Row],[date]],mobile_visits[date],mobile_visits[mobile_visitors],0)</f>
        <v>10296</v>
      </c>
    </row>
    <row r="2015" spans="1:9">
      <c r="A2015" s="1">
        <v>44749</v>
      </c>
      <c r="B2015">
        <v>14743</v>
      </c>
      <c r="C2015">
        <v>33813</v>
      </c>
      <c r="D2015">
        <v>15902</v>
      </c>
      <c r="E2015">
        <v>7614</v>
      </c>
      <c r="F2015">
        <v>90</v>
      </c>
      <c r="G2015" t="s">
        <v>9</v>
      </c>
      <c r="H2015" t="str" cm="1">
        <f t="array" ref="H2015">_xlfn.IFS(Grammys[[#This Row],[date]] &gt;= DATE(2022,2,1),"Grammys",TRUE,"Grammys TRA")</f>
        <v>Grammys</v>
      </c>
      <c r="I2015">
        <f>_xlfn.XLOOKUP(Grammys[[#This Row],[date]],mobile_visits[date],mobile_visits[mobile_visitors],0)</f>
        <v>10806</v>
      </c>
    </row>
    <row r="2016" spans="1:9">
      <c r="A2016" s="1">
        <v>44750</v>
      </c>
      <c r="B2016">
        <v>13523</v>
      </c>
      <c r="C2016">
        <v>30984</v>
      </c>
      <c r="D2016">
        <v>14655</v>
      </c>
      <c r="E2016">
        <v>7288</v>
      </c>
      <c r="F2016">
        <v>85</v>
      </c>
      <c r="G2016" t="s">
        <v>9</v>
      </c>
      <c r="H2016" t="str" cm="1">
        <f t="array" ref="H2016">_xlfn.IFS(Grammys[[#This Row],[date]] &gt;= DATE(2022,2,1),"Grammys",TRUE,"Grammys TRA")</f>
        <v>Grammys</v>
      </c>
      <c r="I2016">
        <f>_xlfn.XLOOKUP(Grammys[[#This Row],[date]],mobile_visits[date],mobile_visits[mobile_visitors],0)</f>
        <v>9690</v>
      </c>
    </row>
    <row r="2017" spans="1:9">
      <c r="A2017" s="1">
        <v>44751</v>
      </c>
      <c r="B2017">
        <v>11128</v>
      </c>
      <c r="C2017">
        <v>25615</v>
      </c>
      <c r="D2017">
        <v>12309</v>
      </c>
      <c r="E2017">
        <v>6276</v>
      </c>
      <c r="F2017">
        <v>83</v>
      </c>
      <c r="G2017" t="s">
        <v>9</v>
      </c>
      <c r="H2017" t="str" cm="1">
        <f t="array" ref="H2017">_xlfn.IFS(Grammys[[#This Row],[date]] &gt;= DATE(2022,2,1),"Grammys",TRUE,"Grammys TRA")</f>
        <v>Grammys</v>
      </c>
      <c r="I2017">
        <f>_xlfn.XLOOKUP(Grammys[[#This Row],[date]],mobile_visits[date],mobile_visits[mobile_visitors],0)</f>
        <v>8807</v>
      </c>
    </row>
    <row r="2018" spans="1:9">
      <c r="A2018" s="1">
        <v>44752</v>
      </c>
      <c r="B2018">
        <v>10700</v>
      </c>
      <c r="C2018">
        <v>24668</v>
      </c>
      <c r="D2018">
        <v>11843</v>
      </c>
      <c r="E2018">
        <v>6083</v>
      </c>
      <c r="F2018">
        <v>83</v>
      </c>
      <c r="G2018" t="s">
        <v>9</v>
      </c>
      <c r="H2018" t="str" cm="1">
        <f t="array" ref="H2018">_xlfn.IFS(Grammys[[#This Row],[date]] &gt;= DATE(2022,2,1),"Grammys",TRUE,"Grammys TRA")</f>
        <v>Grammys</v>
      </c>
      <c r="I2018">
        <f>_xlfn.XLOOKUP(Grammys[[#This Row],[date]],mobile_visits[date],mobile_visits[mobile_visitors],0)</f>
        <v>7675</v>
      </c>
    </row>
    <row r="2019" spans="1:9">
      <c r="A2019" s="1">
        <v>44753</v>
      </c>
      <c r="B2019">
        <v>14960</v>
      </c>
      <c r="C2019">
        <v>34317</v>
      </c>
      <c r="D2019">
        <v>16525</v>
      </c>
      <c r="E2019">
        <v>7822</v>
      </c>
      <c r="F2019">
        <v>106</v>
      </c>
      <c r="G2019" t="s">
        <v>9</v>
      </c>
      <c r="H2019" t="str" cm="1">
        <f t="array" ref="H2019">_xlfn.IFS(Grammys[[#This Row],[date]] &gt;= DATE(2022,2,1),"Grammys",TRUE,"Grammys TRA")</f>
        <v>Grammys</v>
      </c>
      <c r="I2019">
        <f>_xlfn.XLOOKUP(Grammys[[#This Row],[date]],mobile_visits[date],mobile_visits[mobile_visitors],0)</f>
        <v>9797</v>
      </c>
    </row>
    <row r="2020" spans="1:9">
      <c r="A2020" s="1">
        <v>44754</v>
      </c>
      <c r="B2020">
        <v>15789</v>
      </c>
      <c r="C2020">
        <v>35827</v>
      </c>
      <c r="D2020">
        <v>17508</v>
      </c>
      <c r="E2020">
        <v>8371</v>
      </c>
      <c r="F2020">
        <v>95</v>
      </c>
      <c r="G2020" t="s">
        <v>9</v>
      </c>
      <c r="H2020" t="str" cm="1">
        <f t="array" ref="H2020">_xlfn.IFS(Grammys[[#This Row],[date]] &gt;= DATE(2022,2,1),"Grammys",TRUE,"Grammys TRA")</f>
        <v>Grammys</v>
      </c>
      <c r="I2020">
        <f>_xlfn.XLOOKUP(Grammys[[#This Row],[date]],mobile_visits[date],mobile_visits[mobile_visitors],0)</f>
        <v>10548</v>
      </c>
    </row>
    <row r="2021" spans="1:9">
      <c r="A2021" s="1">
        <v>44755</v>
      </c>
      <c r="B2021">
        <v>14306</v>
      </c>
      <c r="C2021">
        <v>32762</v>
      </c>
      <c r="D2021">
        <v>15766</v>
      </c>
      <c r="E2021">
        <v>7688</v>
      </c>
      <c r="F2021">
        <v>95</v>
      </c>
      <c r="G2021" t="s">
        <v>9</v>
      </c>
      <c r="H2021" t="str" cm="1">
        <f t="array" ref="H2021">_xlfn.IFS(Grammys[[#This Row],[date]] &gt;= DATE(2022,2,1),"Grammys",TRUE,"Grammys TRA")</f>
        <v>Grammys</v>
      </c>
      <c r="I2021">
        <f>_xlfn.XLOOKUP(Grammys[[#This Row],[date]],mobile_visits[date],mobile_visits[mobile_visitors],0)</f>
        <v>9586</v>
      </c>
    </row>
    <row r="2022" spans="1:9">
      <c r="A2022" s="1">
        <v>44756</v>
      </c>
      <c r="B2022">
        <v>15147</v>
      </c>
      <c r="C2022">
        <v>33933</v>
      </c>
      <c r="D2022">
        <v>16743</v>
      </c>
      <c r="E2022">
        <v>8411</v>
      </c>
      <c r="F2022">
        <v>87</v>
      </c>
      <c r="G2022" t="s">
        <v>9</v>
      </c>
      <c r="H2022" t="str" cm="1">
        <f t="array" ref="H2022">_xlfn.IFS(Grammys[[#This Row],[date]] &gt;= DATE(2022,2,1),"Grammys",TRUE,"Grammys TRA")</f>
        <v>Grammys</v>
      </c>
      <c r="I2022">
        <f>_xlfn.XLOOKUP(Grammys[[#This Row],[date]],mobile_visits[date],mobile_visits[mobile_visitors],0)</f>
        <v>10245</v>
      </c>
    </row>
    <row r="2023" spans="1:9">
      <c r="A2023" s="1">
        <v>44757</v>
      </c>
      <c r="B2023">
        <v>21402</v>
      </c>
      <c r="C2023">
        <v>43295</v>
      </c>
      <c r="D2023">
        <v>23258</v>
      </c>
      <c r="E2023">
        <v>13358</v>
      </c>
      <c r="F2023">
        <v>80</v>
      </c>
      <c r="G2023" t="s">
        <v>9</v>
      </c>
      <c r="H2023" t="str" cm="1">
        <f t="array" ref="H2023">_xlfn.IFS(Grammys[[#This Row],[date]] &gt;= DATE(2022,2,1),"Grammys",TRUE,"Grammys TRA")</f>
        <v>Grammys</v>
      </c>
      <c r="I2023">
        <f>_xlfn.XLOOKUP(Grammys[[#This Row],[date]],mobile_visits[date],mobile_visits[mobile_visitors],0)</f>
        <v>13501</v>
      </c>
    </row>
    <row r="2024" spans="1:9">
      <c r="A2024" s="1">
        <v>44758</v>
      </c>
      <c r="B2024">
        <v>19870</v>
      </c>
      <c r="C2024">
        <v>38393</v>
      </c>
      <c r="D2024">
        <v>21469</v>
      </c>
      <c r="E2024">
        <v>13019</v>
      </c>
      <c r="F2024">
        <v>67</v>
      </c>
      <c r="G2024" t="s">
        <v>9</v>
      </c>
      <c r="H2024" t="str" cm="1">
        <f t="array" ref="H2024">_xlfn.IFS(Grammys[[#This Row],[date]] &gt;= DATE(2022,2,1),"Grammys",TRUE,"Grammys TRA")</f>
        <v>Grammys</v>
      </c>
      <c r="I2024">
        <f>_xlfn.XLOOKUP(Grammys[[#This Row],[date]],mobile_visits[date],mobile_visits[mobile_visitors],0)</f>
        <v>11995</v>
      </c>
    </row>
    <row r="2025" spans="1:9">
      <c r="A2025" s="1">
        <v>44759</v>
      </c>
      <c r="B2025">
        <v>15648</v>
      </c>
      <c r="C2025">
        <v>34175</v>
      </c>
      <c r="D2025">
        <v>16805</v>
      </c>
      <c r="E2025">
        <v>8512</v>
      </c>
      <c r="F2025">
        <v>84</v>
      </c>
      <c r="G2025" t="s">
        <v>9</v>
      </c>
      <c r="H2025" t="str" cm="1">
        <f t="array" ref="H2025">_xlfn.IFS(Grammys[[#This Row],[date]] &gt;= DATE(2022,2,1),"Grammys",TRUE,"Grammys TRA")</f>
        <v>Grammys</v>
      </c>
      <c r="I2025">
        <f>_xlfn.XLOOKUP(Grammys[[#This Row],[date]],mobile_visits[date],mobile_visits[mobile_visitors],0)</f>
        <v>12154</v>
      </c>
    </row>
    <row r="2026" spans="1:9">
      <c r="A2026" s="1">
        <v>44760</v>
      </c>
      <c r="B2026">
        <v>12023</v>
      </c>
      <c r="C2026">
        <v>23667</v>
      </c>
      <c r="D2026">
        <v>13171</v>
      </c>
      <c r="E2026">
        <v>7363</v>
      </c>
      <c r="F2026">
        <v>80</v>
      </c>
      <c r="G2026" t="s">
        <v>9</v>
      </c>
      <c r="H2026" t="str" cm="1">
        <f t="array" ref="H2026">_xlfn.IFS(Grammys[[#This Row],[date]] &gt;= DATE(2022,2,1),"Grammys",TRUE,"Grammys TRA")</f>
        <v>Grammys</v>
      </c>
      <c r="I2026">
        <f>_xlfn.XLOOKUP(Grammys[[#This Row],[date]],mobile_visits[date],mobile_visits[mobile_visitors],0)</f>
        <v>8633</v>
      </c>
    </row>
    <row r="2027" spans="1:9">
      <c r="A2027" s="1">
        <v>44761</v>
      </c>
      <c r="B2027">
        <v>7554</v>
      </c>
      <c r="C2027">
        <v>13952</v>
      </c>
      <c r="D2027">
        <v>8438</v>
      </c>
      <c r="E2027">
        <v>5262</v>
      </c>
      <c r="F2027">
        <v>86</v>
      </c>
      <c r="G2027" t="s">
        <v>9</v>
      </c>
      <c r="H2027" t="str" cm="1">
        <f t="array" ref="H2027">_xlfn.IFS(Grammys[[#This Row],[date]] &gt;= DATE(2022,2,1),"Grammys",TRUE,"Grammys TRA")</f>
        <v>Grammys</v>
      </c>
      <c r="I2027">
        <f>_xlfn.XLOOKUP(Grammys[[#This Row],[date]],mobile_visits[date],mobile_visits[mobile_visitors],0)</f>
        <v>4581</v>
      </c>
    </row>
    <row r="2028" spans="1:9">
      <c r="A2028" s="1">
        <v>44762</v>
      </c>
      <c r="B2028">
        <v>7749</v>
      </c>
      <c r="C2028">
        <v>14172</v>
      </c>
      <c r="D2028">
        <v>8693</v>
      </c>
      <c r="E2028">
        <v>5499</v>
      </c>
      <c r="F2028">
        <v>92</v>
      </c>
      <c r="G2028" t="s">
        <v>9</v>
      </c>
      <c r="H2028" t="str" cm="1">
        <f t="array" ref="H2028">_xlfn.IFS(Grammys[[#This Row],[date]] &gt;= DATE(2022,2,1),"Grammys",TRUE,"Grammys TRA")</f>
        <v>Grammys</v>
      </c>
      <c r="I2028">
        <f>_xlfn.XLOOKUP(Grammys[[#This Row],[date]],mobile_visits[date],mobile_visits[mobile_visitors],0)</f>
        <v>4698</v>
      </c>
    </row>
    <row r="2029" spans="1:9">
      <c r="A2029" s="1">
        <v>44763</v>
      </c>
      <c r="B2029">
        <v>10785</v>
      </c>
      <c r="C2029">
        <v>21857</v>
      </c>
      <c r="D2029">
        <v>11718</v>
      </c>
      <c r="E2029">
        <v>6518</v>
      </c>
      <c r="F2029">
        <v>86</v>
      </c>
      <c r="G2029" t="s">
        <v>9</v>
      </c>
      <c r="H2029" t="str" cm="1">
        <f t="array" ref="H2029">_xlfn.IFS(Grammys[[#This Row],[date]] &gt;= DATE(2022,2,1),"Grammys",TRUE,"Grammys TRA")</f>
        <v>Grammys</v>
      </c>
      <c r="I2029">
        <f>_xlfn.XLOOKUP(Grammys[[#This Row],[date]],mobile_visits[date],mobile_visits[mobile_visitors],0)</f>
        <v>7134</v>
      </c>
    </row>
    <row r="2030" spans="1:9">
      <c r="A2030" s="1">
        <v>44764</v>
      </c>
      <c r="B2030">
        <v>13596</v>
      </c>
      <c r="C2030">
        <v>31363</v>
      </c>
      <c r="D2030">
        <v>15203</v>
      </c>
      <c r="E2030">
        <v>7745</v>
      </c>
      <c r="F2030">
        <v>90</v>
      </c>
      <c r="G2030" t="s">
        <v>9</v>
      </c>
      <c r="H2030" t="str" cm="1">
        <f t="array" ref="H2030">_xlfn.IFS(Grammys[[#This Row],[date]] &gt;= DATE(2022,2,1),"Grammys",TRUE,"Grammys TRA")</f>
        <v>Grammys</v>
      </c>
      <c r="I2030">
        <f>_xlfn.XLOOKUP(Grammys[[#This Row],[date]],mobile_visits[date],mobile_visits[mobile_visitors],0)</f>
        <v>8850</v>
      </c>
    </row>
    <row r="2031" spans="1:9">
      <c r="A2031" s="1">
        <v>44765</v>
      </c>
      <c r="B2031">
        <v>12225</v>
      </c>
      <c r="C2031">
        <v>27433</v>
      </c>
      <c r="D2031">
        <v>13258</v>
      </c>
      <c r="E2031">
        <v>6827</v>
      </c>
      <c r="F2031">
        <v>78</v>
      </c>
      <c r="G2031" t="s">
        <v>9</v>
      </c>
      <c r="H2031" t="str" cm="1">
        <f t="array" ref="H2031">_xlfn.IFS(Grammys[[#This Row],[date]] &gt;= DATE(2022,2,1),"Grammys",TRUE,"Grammys TRA")</f>
        <v>Grammys</v>
      </c>
      <c r="I2031">
        <f>_xlfn.XLOOKUP(Grammys[[#This Row],[date]],mobile_visits[date],mobile_visits[mobile_visitors],0)</f>
        <v>8627</v>
      </c>
    </row>
    <row r="2032" spans="1:9">
      <c r="A2032" s="1">
        <v>44766</v>
      </c>
      <c r="B2032">
        <v>11431</v>
      </c>
      <c r="C2032">
        <v>26081</v>
      </c>
      <c r="D2032">
        <v>12432</v>
      </c>
      <c r="E2032">
        <v>6149</v>
      </c>
      <c r="F2032">
        <v>84</v>
      </c>
      <c r="G2032" t="s">
        <v>9</v>
      </c>
      <c r="H2032" t="str" cm="1">
        <f t="array" ref="H2032">_xlfn.IFS(Grammys[[#This Row],[date]] &gt;= DATE(2022,2,1),"Grammys",TRUE,"Grammys TRA")</f>
        <v>Grammys</v>
      </c>
      <c r="I2032">
        <f>_xlfn.XLOOKUP(Grammys[[#This Row],[date]],mobile_visits[date],mobile_visits[mobile_visitors],0)</f>
        <v>8119</v>
      </c>
    </row>
    <row r="2033" spans="1:9">
      <c r="A2033" s="1">
        <v>44767</v>
      </c>
      <c r="B2033">
        <v>11959</v>
      </c>
      <c r="C2033">
        <v>26890</v>
      </c>
      <c r="D2033">
        <v>13238</v>
      </c>
      <c r="E2033">
        <v>6859</v>
      </c>
      <c r="F2033">
        <v>84</v>
      </c>
      <c r="G2033" t="s">
        <v>9</v>
      </c>
      <c r="H2033" t="str" cm="1">
        <f t="array" ref="H2033">_xlfn.IFS(Grammys[[#This Row],[date]] &gt;= DATE(2022,2,1),"Grammys",TRUE,"Grammys TRA")</f>
        <v>Grammys</v>
      </c>
      <c r="I2033">
        <f>_xlfn.XLOOKUP(Grammys[[#This Row],[date]],mobile_visits[date],mobile_visits[mobile_visitors],0)</f>
        <v>7526</v>
      </c>
    </row>
    <row r="2034" spans="1:9">
      <c r="A2034" s="1">
        <v>44768</v>
      </c>
      <c r="B2034">
        <v>12474</v>
      </c>
      <c r="C2034">
        <v>28876</v>
      </c>
      <c r="D2034">
        <v>13900</v>
      </c>
      <c r="E2034">
        <v>7035</v>
      </c>
      <c r="F2034">
        <v>84</v>
      </c>
      <c r="G2034" t="s">
        <v>9</v>
      </c>
      <c r="H2034" t="str" cm="1">
        <f t="array" ref="H2034">_xlfn.IFS(Grammys[[#This Row],[date]] &gt;= DATE(2022,2,1),"Grammys",TRUE,"Grammys TRA")</f>
        <v>Grammys</v>
      </c>
      <c r="I2034">
        <f>_xlfn.XLOOKUP(Grammys[[#This Row],[date]],mobile_visits[date],mobile_visits[mobile_visitors],0)</f>
        <v>8198</v>
      </c>
    </row>
    <row r="2035" spans="1:9">
      <c r="A2035" s="1">
        <v>44769</v>
      </c>
      <c r="B2035">
        <v>21822</v>
      </c>
      <c r="C2035">
        <v>58870</v>
      </c>
      <c r="D2035">
        <v>23379</v>
      </c>
      <c r="E2035">
        <v>8122</v>
      </c>
      <c r="F2035">
        <v>85</v>
      </c>
      <c r="G2035" t="s">
        <v>9</v>
      </c>
      <c r="H2035" t="str" cm="1">
        <f t="array" ref="H2035">_xlfn.IFS(Grammys[[#This Row],[date]] &gt;= DATE(2022,2,1),"Grammys",TRUE,"Grammys TRA")</f>
        <v>Grammys</v>
      </c>
      <c r="I2035">
        <f>_xlfn.XLOOKUP(Grammys[[#This Row],[date]],mobile_visits[date],mobile_visits[mobile_visitors],0)</f>
        <v>17024</v>
      </c>
    </row>
    <row r="2036" spans="1:9">
      <c r="A2036" s="1">
        <v>44770</v>
      </c>
      <c r="B2036">
        <v>19871</v>
      </c>
      <c r="C2036">
        <v>50883</v>
      </c>
      <c r="D2036">
        <v>21362</v>
      </c>
      <c r="E2036">
        <v>8391</v>
      </c>
      <c r="F2036">
        <v>84</v>
      </c>
      <c r="G2036" t="s">
        <v>9</v>
      </c>
      <c r="H2036" t="str" cm="1">
        <f t="array" ref="H2036">_xlfn.IFS(Grammys[[#This Row],[date]] &gt;= DATE(2022,2,1),"Grammys",TRUE,"Grammys TRA")</f>
        <v>Grammys</v>
      </c>
      <c r="I2036">
        <f>_xlfn.XLOOKUP(Grammys[[#This Row],[date]],mobile_visits[date],mobile_visits[mobile_visitors],0)</f>
        <v>14734</v>
      </c>
    </row>
    <row r="2037" spans="1:9">
      <c r="A2037" s="1">
        <v>44771</v>
      </c>
      <c r="B2037">
        <v>13088</v>
      </c>
      <c r="C2037">
        <v>30358</v>
      </c>
      <c r="D2037">
        <v>14370</v>
      </c>
      <c r="E2037">
        <v>7102</v>
      </c>
      <c r="F2037">
        <v>83</v>
      </c>
      <c r="G2037" t="s">
        <v>9</v>
      </c>
      <c r="H2037" t="str" cm="1">
        <f t="array" ref="H2037">_xlfn.IFS(Grammys[[#This Row],[date]] &gt;= DATE(2022,2,1),"Grammys",TRUE,"Grammys TRA")</f>
        <v>Grammys</v>
      </c>
      <c r="I2037">
        <f>_xlfn.XLOOKUP(Grammys[[#This Row],[date]],mobile_visits[date],mobile_visits[mobile_visitors],0)</f>
        <v>8994</v>
      </c>
    </row>
    <row r="2038" spans="1:9">
      <c r="A2038" s="1">
        <v>44772</v>
      </c>
      <c r="B2038">
        <v>11719</v>
      </c>
      <c r="C2038">
        <v>26386</v>
      </c>
      <c r="D2038">
        <v>12656</v>
      </c>
      <c r="E2038">
        <v>6336</v>
      </c>
      <c r="F2038">
        <v>76</v>
      </c>
      <c r="G2038" t="s">
        <v>9</v>
      </c>
      <c r="H2038" t="str" cm="1">
        <f t="array" ref="H2038">_xlfn.IFS(Grammys[[#This Row],[date]] &gt;= DATE(2022,2,1),"Grammys",TRUE,"Grammys TRA")</f>
        <v>Grammys</v>
      </c>
      <c r="I2038">
        <f>_xlfn.XLOOKUP(Grammys[[#This Row],[date]],mobile_visits[date],mobile_visits[mobile_visitors],0)</f>
        <v>8694</v>
      </c>
    </row>
    <row r="2039" spans="1:9">
      <c r="A2039" s="1">
        <v>44773</v>
      </c>
      <c r="B2039">
        <v>12228</v>
      </c>
      <c r="C2039">
        <v>27681</v>
      </c>
      <c r="D2039">
        <v>13154</v>
      </c>
      <c r="E2039">
        <v>6546</v>
      </c>
      <c r="F2039">
        <v>82</v>
      </c>
      <c r="G2039" t="s">
        <v>9</v>
      </c>
      <c r="H2039" t="str" cm="1">
        <f t="array" ref="H2039">_xlfn.IFS(Grammys[[#This Row],[date]] &gt;= DATE(2022,2,1),"Grammys",TRUE,"Grammys TRA")</f>
        <v>Grammys</v>
      </c>
      <c r="I2039">
        <f>_xlfn.XLOOKUP(Grammys[[#This Row],[date]],mobile_visits[date],mobile_visits[mobile_visitors],0)</f>
        <v>9151</v>
      </c>
    </row>
    <row r="2040" spans="1:9">
      <c r="A2040" s="1">
        <v>44774</v>
      </c>
      <c r="B2040">
        <v>12316</v>
      </c>
      <c r="C2040">
        <v>28465</v>
      </c>
      <c r="D2040">
        <v>13607</v>
      </c>
      <c r="E2040">
        <v>6698</v>
      </c>
      <c r="F2040">
        <v>83</v>
      </c>
      <c r="G2040" t="s">
        <v>9</v>
      </c>
      <c r="H2040" t="str" cm="1">
        <f t="array" ref="H2040">_xlfn.IFS(Grammys[[#This Row],[date]] &gt;= DATE(2022,2,1),"Grammys",TRUE,"Grammys TRA")</f>
        <v>Grammys</v>
      </c>
      <c r="I2040">
        <f>_xlfn.XLOOKUP(Grammys[[#This Row],[date]],mobile_visits[date],mobile_visits[mobile_visitors],0)</f>
        <v>8274</v>
      </c>
    </row>
    <row r="2041" spans="1:9">
      <c r="A2041" s="1">
        <v>44775</v>
      </c>
      <c r="B2041">
        <v>12952</v>
      </c>
      <c r="C2041">
        <v>29553</v>
      </c>
      <c r="D2041">
        <v>14369</v>
      </c>
      <c r="E2041">
        <v>7211</v>
      </c>
      <c r="F2041">
        <v>86</v>
      </c>
      <c r="G2041" t="s">
        <v>9</v>
      </c>
      <c r="H2041" t="str" cm="1">
        <f t="array" ref="H2041">_xlfn.IFS(Grammys[[#This Row],[date]] &gt;= DATE(2022,2,1),"Grammys",TRUE,"Grammys TRA")</f>
        <v>Grammys</v>
      </c>
      <c r="I2041">
        <f>_xlfn.XLOOKUP(Grammys[[#This Row],[date]],mobile_visits[date],mobile_visits[mobile_visitors],0)</f>
        <v>8624</v>
      </c>
    </row>
    <row r="2042" spans="1:9">
      <c r="A2042" s="1">
        <v>44776</v>
      </c>
      <c r="B2042">
        <v>13172</v>
      </c>
      <c r="C2042">
        <v>30852</v>
      </c>
      <c r="D2042">
        <v>14770</v>
      </c>
      <c r="E2042">
        <v>7455</v>
      </c>
      <c r="F2042">
        <v>87</v>
      </c>
      <c r="G2042" t="s">
        <v>9</v>
      </c>
      <c r="H2042" t="str" cm="1">
        <f t="array" ref="H2042">_xlfn.IFS(Grammys[[#This Row],[date]] &gt;= DATE(2022,2,1),"Grammys",TRUE,"Grammys TRA")</f>
        <v>Grammys</v>
      </c>
      <c r="I2042">
        <f>_xlfn.XLOOKUP(Grammys[[#This Row],[date]],mobile_visits[date],mobile_visits[mobile_visitors],0)</f>
        <v>8557</v>
      </c>
    </row>
    <row r="2043" spans="1:9">
      <c r="A2043" s="1">
        <v>44777</v>
      </c>
      <c r="B2043">
        <v>13603</v>
      </c>
      <c r="C2043">
        <v>30836</v>
      </c>
      <c r="D2043">
        <v>15061</v>
      </c>
      <c r="E2043">
        <v>7655</v>
      </c>
      <c r="F2043">
        <v>77</v>
      </c>
      <c r="G2043" t="s">
        <v>9</v>
      </c>
      <c r="H2043" t="str" cm="1">
        <f t="array" ref="H2043">_xlfn.IFS(Grammys[[#This Row],[date]] &gt;= DATE(2022,2,1),"Grammys",TRUE,"Grammys TRA")</f>
        <v>Grammys</v>
      </c>
      <c r="I2043">
        <f>_xlfn.XLOOKUP(Grammys[[#This Row],[date]],mobile_visits[date],mobile_visits[mobile_visitors],0)</f>
        <v>8857</v>
      </c>
    </row>
    <row r="2044" spans="1:9">
      <c r="A2044" s="1">
        <v>44778</v>
      </c>
      <c r="B2044">
        <v>13386</v>
      </c>
      <c r="C2044">
        <v>30885</v>
      </c>
      <c r="D2044">
        <v>14688</v>
      </c>
      <c r="E2044">
        <v>7418</v>
      </c>
      <c r="F2044">
        <v>81</v>
      </c>
      <c r="G2044" t="s">
        <v>9</v>
      </c>
      <c r="H2044" t="str" cm="1">
        <f t="array" ref="H2044">_xlfn.IFS(Grammys[[#This Row],[date]] &gt;= DATE(2022,2,1),"Grammys",TRUE,"Grammys TRA")</f>
        <v>Grammys</v>
      </c>
      <c r="I2044">
        <f>_xlfn.XLOOKUP(Grammys[[#This Row],[date]],mobile_visits[date],mobile_visits[mobile_visitors],0)</f>
        <v>9058</v>
      </c>
    </row>
    <row r="2045" spans="1:9">
      <c r="A2045" s="1">
        <v>44779</v>
      </c>
      <c r="B2045">
        <v>12694</v>
      </c>
      <c r="C2045">
        <v>29087</v>
      </c>
      <c r="D2045">
        <v>13819</v>
      </c>
      <c r="E2045">
        <v>6972</v>
      </c>
      <c r="F2045">
        <v>81</v>
      </c>
      <c r="G2045" t="s">
        <v>9</v>
      </c>
      <c r="H2045" t="str" cm="1">
        <f t="array" ref="H2045">_xlfn.IFS(Grammys[[#This Row],[date]] &gt;= DATE(2022,2,1),"Grammys",TRUE,"Grammys TRA")</f>
        <v>Grammys</v>
      </c>
      <c r="I2045">
        <f>_xlfn.XLOOKUP(Grammys[[#This Row],[date]],mobile_visits[date],mobile_visits[mobile_visitors],0)</f>
        <v>9409</v>
      </c>
    </row>
    <row r="2046" spans="1:9">
      <c r="A2046" s="1">
        <v>44780</v>
      </c>
      <c r="B2046">
        <v>14196</v>
      </c>
      <c r="C2046">
        <v>33043</v>
      </c>
      <c r="D2046">
        <v>15174</v>
      </c>
      <c r="E2046">
        <v>7155</v>
      </c>
      <c r="F2046">
        <v>75</v>
      </c>
      <c r="G2046" t="s">
        <v>9</v>
      </c>
      <c r="H2046" t="str" cm="1">
        <f t="array" ref="H2046">_xlfn.IFS(Grammys[[#This Row],[date]] &gt;= DATE(2022,2,1),"Grammys",TRUE,"Grammys TRA")</f>
        <v>Grammys</v>
      </c>
      <c r="I2046">
        <f>_xlfn.XLOOKUP(Grammys[[#This Row],[date]],mobile_visits[date],mobile_visits[mobile_visitors],0)</f>
        <v>10702</v>
      </c>
    </row>
    <row r="2047" spans="1:9">
      <c r="A2047" s="1">
        <v>44781</v>
      </c>
      <c r="B2047">
        <v>15694</v>
      </c>
      <c r="C2047">
        <v>38040</v>
      </c>
      <c r="D2047">
        <v>16847</v>
      </c>
      <c r="E2047">
        <v>8050</v>
      </c>
      <c r="F2047">
        <v>81</v>
      </c>
      <c r="G2047" t="s">
        <v>9</v>
      </c>
      <c r="H2047" t="str" cm="1">
        <f t="array" ref="H2047">_xlfn.IFS(Grammys[[#This Row],[date]] &gt;= DATE(2022,2,1),"Grammys",TRUE,"Grammys TRA")</f>
        <v>Grammys</v>
      </c>
      <c r="I2047">
        <f>_xlfn.XLOOKUP(Grammys[[#This Row],[date]],mobile_visits[date],mobile_visits[mobile_visitors],0)</f>
        <v>10088</v>
      </c>
    </row>
    <row r="2048" spans="1:9">
      <c r="A2048" s="1">
        <v>44782</v>
      </c>
      <c r="B2048">
        <v>15516</v>
      </c>
      <c r="C2048">
        <v>37196</v>
      </c>
      <c r="D2048">
        <v>17068</v>
      </c>
      <c r="E2048">
        <v>8497</v>
      </c>
      <c r="F2048">
        <v>83</v>
      </c>
      <c r="G2048" t="s">
        <v>9</v>
      </c>
      <c r="H2048" t="str" cm="1">
        <f t="array" ref="H2048">_xlfn.IFS(Grammys[[#This Row],[date]] &gt;= DATE(2022,2,1),"Grammys",TRUE,"Grammys TRA")</f>
        <v>Grammys</v>
      </c>
      <c r="I2048">
        <f>_xlfn.XLOOKUP(Grammys[[#This Row],[date]],mobile_visits[date],mobile_visits[mobile_visitors],0)</f>
        <v>10171</v>
      </c>
    </row>
    <row r="2049" spans="1:9">
      <c r="A2049" s="1">
        <v>44783</v>
      </c>
      <c r="B2049">
        <v>12616</v>
      </c>
      <c r="C2049">
        <v>28181</v>
      </c>
      <c r="D2049">
        <v>13765</v>
      </c>
      <c r="E2049">
        <v>7135</v>
      </c>
      <c r="F2049">
        <v>91</v>
      </c>
      <c r="G2049" t="s">
        <v>9</v>
      </c>
      <c r="H2049" t="str" cm="1">
        <f t="array" ref="H2049">_xlfn.IFS(Grammys[[#This Row],[date]] &gt;= DATE(2022,2,1),"Grammys",TRUE,"Grammys TRA")</f>
        <v>Grammys</v>
      </c>
      <c r="I2049">
        <f>_xlfn.XLOOKUP(Grammys[[#This Row],[date]],mobile_visits[date],mobile_visits[mobile_visitors],0)</f>
        <v>7844</v>
      </c>
    </row>
    <row r="2050" spans="1:9">
      <c r="A2050" s="1">
        <v>44784</v>
      </c>
      <c r="B2050">
        <v>13488</v>
      </c>
      <c r="C2050">
        <v>29614</v>
      </c>
      <c r="D2050">
        <v>14667</v>
      </c>
      <c r="E2050">
        <v>7655</v>
      </c>
      <c r="F2050">
        <v>90</v>
      </c>
      <c r="G2050" t="s">
        <v>9</v>
      </c>
      <c r="H2050" t="str" cm="1">
        <f t="array" ref="H2050">_xlfn.IFS(Grammys[[#This Row],[date]] &gt;= DATE(2022,2,1),"Grammys",TRUE,"Grammys TRA")</f>
        <v>Grammys</v>
      </c>
      <c r="I2050">
        <f>_xlfn.XLOOKUP(Grammys[[#This Row],[date]],mobile_visits[date],mobile_visits[mobile_visitors],0)</f>
        <v>8586</v>
      </c>
    </row>
    <row r="2051" spans="1:9">
      <c r="A2051" s="1">
        <v>44785</v>
      </c>
      <c r="B2051">
        <v>16914</v>
      </c>
      <c r="C2051">
        <v>37303</v>
      </c>
      <c r="D2051">
        <v>18306</v>
      </c>
      <c r="E2051">
        <v>9415</v>
      </c>
      <c r="F2051">
        <v>85</v>
      </c>
      <c r="G2051" t="s">
        <v>9</v>
      </c>
      <c r="H2051" t="str" cm="1">
        <f t="array" ref="H2051">_xlfn.IFS(Grammys[[#This Row],[date]] &gt;= DATE(2022,2,1),"Grammys",TRUE,"Grammys TRA")</f>
        <v>Grammys</v>
      </c>
      <c r="I2051">
        <f>_xlfn.XLOOKUP(Grammys[[#This Row],[date]],mobile_visits[date],mobile_visits[mobile_visitors],0)</f>
        <v>12142</v>
      </c>
    </row>
    <row r="2052" spans="1:9">
      <c r="A2052" s="1">
        <v>44786</v>
      </c>
      <c r="B2052">
        <v>14944</v>
      </c>
      <c r="C2052">
        <v>34538</v>
      </c>
      <c r="D2052">
        <v>16161</v>
      </c>
      <c r="E2052">
        <v>8094</v>
      </c>
      <c r="F2052">
        <v>84</v>
      </c>
      <c r="G2052" t="s">
        <v>9</v>
      </c>
      <c r="H2052" t="str" cm="1">
        <f t="array" ref="H2052">_xlfn.IFS(Grammys[[#This Row],[date]] &gt;= DATE(2022,2,1),"Grammys",TRUE,"Grammys TRA")</f>
        <v>Grammys</v>
      </c>
      <c r="I2052">
        <f>_xlfn.XLOOKUP(Grammys[[#This Row],[date]],mobile_visits[date],mobile_visits[mobile_visitors],0)</f>
        <v>10824</v>
      </c>
    </row>
    <row r="2053" spans="1:9">
      <c r="A2053" s="1">
        <v>44787</v>
      </c>
      <c r="B2053">
        <v>13311</v>
      </c>
      <c r="C2053">
        <v>29417</v>
      </c>
      <c r="D2053">
        <v>14329</v>
      </c>
      <c r="E2053">
        <v>7278</v>
      </c>
      <c r="F2053">
        <v>74</v>
      </c>
      <c r="G2053" t="s">
        <v>9</v>
      </c>
      <c r="H2053" t="str" cm="1">
        <f t="array" ref="H2053">_xlfn.IFS(Grammys[[#This Row],[date]] &gt;= DATE(2022,2,1),"Grammys",TRUE,"Grammys TRA")</f>
        <v>Grammys</v>
      </c>
      <c r="I2053">
        <f>_xlfn.XLOOKUP(Grammys[[#This Row],[date]],mobile_visits[date],mobile_visits[mobile_visitors],0)</f>
        <v>10521</v>
      </c>
    </row>
    <row r="2054" spans="1:9">
      <c r="A2054" s="1">
        <v>44788</v>
      </c>
      <c r="B2054">
        <v>19371</v>
      </c>
      <c r="C2054">
        <v>43773</v>
      </c>
      <c r="D2054">
        <v>20777</v>
      </c>
      <c r="E2054">
        <v>9735</v>
      </c>
      <c r="F2054">
        <v>101</v>
      </c>
      <c r="G2054" t="s">
        <v>9</v>
      </c>
      <c r="H2054" t="str" cm="1">
        <f t="array" ref="H2054">_xlfn.IFS(Grammys[[#This Row],[date]] &gt;= DATE(2022,2,1),"Grammys",TRUE,"Grammys TRA")</f>
        <v>Grammys</v>
      </c>
      <c r="I2054">
        <f>_xlfn.XLOOKUP(Grammys[[#This Row],[date]],mobile_visits[date],mobile_visits[mobile_visitors],0)</f>
        <v>14312</v>
      </c>
    </row>
    <row r="2055" spans="1:9">
      <c r="A2055" s="1">
        <v>44789</v>
      </c>
      <c r="B2055">
        <v>15829</v>
      </c>
      <c r="C2055">
        <v>36501</v>
      </c>
      <c r="D2055">
        <v>17394</v>
      </c>
      <c r="E2055">
        <v>8584</v>
      </c>
      <c r="F2055">
        <v>94</v>
      </c>
      <c r="G2055" t="s">
        <v>9</v>
      </c>
      <c r="H2055" t="str" cm="1">
        <f t="array" ref="H2055">_xlfn.IFS(Grammys[[#This Row],[date]] &gt;= DATE(2022,2,1),"Grammys",TRUE,"Grammys TRA")</f>
        <v>Grammys</v>
      </c>
      <c r="I2055">
        <f>_xlfn.XLOOKUP(Grammys[[#This Row],[date]],mobile_visits[date],mobile_visits[mobile_visitors],0)</f>
        <v>10770</v>
      </c>
    </row>
    <row r="2056" spans="1:9">
      <c r="A2056" s="1">
        <v>44790</v>
      </c>
      <c r="B2056">
        <v>14771</v>
      </c>
      <c r="C2056">
        <v>33625</v>
      </c>
      <c r="D2056">
        <v>16333</v>
      </c>
      <c r="E2056">
        <v>8381</v>
      </c>
      <c r="F2056">
        <v>91</v>
      </c>
      <c r="G2056" t="s">
        <v>9</v>
      </c>
      <c r="H2056" t="str" cm="1">
        <f t="array" ref="H2056">_xlfn.IFS(Grammys[[#This Row],[date]] &gt;= DATE(2022,2,1),"Grammys",TRUE,"Grammys TRA")</f>
        <v>Grammys</v>
      </c>
      <c r="I2056">
        <f>_xlfn.XLOOKUP(Grammys[[#This Row],[date]],mobile_visits[date],mobile_visits[mobile_visitors],0)</f>
        <v>9347</v>
      </c>
    </row>
    <row r="2057" spans="1:9">
      <c r="A2057" s="1">
        <v>44791</v>
      </c>
      <c r="B2057">
        <v>14224</v>
      </c>
      <c r="C2057">
        <v>32375</v>
      </c>
      <c r="D2057">
        <v>15799</v>
      </c>
      <c r="E2057">
        <v>8194</v>
      </c>
      <c r="F2057">
        <v>85</v>
      </c>
      <c r="G2057" t="s">
        <v>9</v>
      </c>
      <c r="H2057" t="str" cm="1">
        <f t="array" ref="H2057">_xlfn.IFS(Grammys[[#This Row],[date]] &gt;= DATE(2022,2,1),"Grammys",TRUE,"Grammys TRA")</f>
        <v>Grammys</v>
      </c>
      <c r="I2057">
        <f>_xlfn.XLOOKUP(Grammys[[#This Row],[date]],mobile_visits[date],mobile_visits[mobile_visitors],0)</f>
        <v>9270</v>
      </c>
    </row>
    <row r="2058" spans="1:9">
      <c r="A2058" s="1">
        <v>44792</v>
      </c>
      <c r="B2058">
        <v>15151</v>
      </c>
      <c r="C2058">
        <v>33882</v>
      </c>
      <c r="D2058">
        <v>16484</v>
      </c>
      <c r="E2058">
        <v>8538</v>
      </c>
      <c r="F2058">
        <v>80</v>
      </c>
      <c r="G2058" t="s">
        <v>9</v>
      </c>
      <c r="H2058" t="str" cm="1">
        <f t="array" ref="H2058">_xlfn.IFS(Grammys[[#This Row],[date]] &gt;= DATE(2022,2,1),"Grammys",TRUE,"Grammys TRA")</f>
        <v>Grammys</v>
      </c>
      <c r="I2058">
        <f>_xlfn.XLOOKUP(Grammys[[#This Row],[date]],mobile_visits[date],mobile_visits[mobile_visitors],0)</f>
        <v>10770</v>
      </c>
    </row>
    <row r="2059" spans="1:9">
      <c r="A2059" s="1">
        <v>44793</v>
      </c>
      <c r="B2059">
        <v>13505</v>
      </c>
      <c r="C2059">
        <v>30359</v>
      </c>
      <c r="D2059">
        <v>14454</v>
      </c>
      <c r="E2059">
        <v>7514</v>
      </c>
      <c r="F2059">
        <v>73</v>
      </c>
      <c r="G2059" t="s">
        <v>9</v>
      </c>
      <c r="H2059" t="str" cm="1">
        <f t="array" ref="H2059">_xlfn.IFS(Grammys[[#This Row],[date]] &gt;= DATE(2022,2,1),"Grammys",TRUE,"Grammys TRA")</f>
        <v>Grammys</v>
      </c>
      <c r="I2059">
        <f>_xlfn.XLOOKUP(Grammys[[#This Row],[date]],mobile_visits[date],mobile_visits[mobile_visitors],0)</f>
        <v>10141</v>
      </c>
    </row>
    <row r="2060" spans="1:9">
      <c r="A2060" s="1">
        <v>44794</v>
      </c>
      <c r="B2060">
        <v>12725</v>
      </c>
      <c r="C2060">
        <v>29389</v>
      </c>
      <c r="D2060">
        <v>13832</v>
      </c>
      <c r="E2060">
        <v>7123</v>
      </c>
      <c r="F2060">
        <v>79</v>
      </c>
      <c r="G2060" t="s">
        <v>9</v>
      </c>
      <c r="H2060" t="str" cm="1">
        <f t="array" ref="H2060">_xlfn.IFS(Grammys[[#This Row],[date]] &gt;= DATE(2022,2,1),"Grammys",TRUE,"Grammys TRA")</f>
        <v>Grammys</v>
      </c>
      <c r="I2060">
        <f>_xlfn.XLOOKUP(Grammys[[#This Row],[date]],mobile_visits[date],mobile_visits[mobile_visitors],0)</f>
        <v>8996</v>
      </c>
    </row>
    <row r="2061" spans="1:9">
      <c r="A2061" s="1">
        <v>44795</v>
      </c>
      <c r="B2061">
        <v>14104</v>
      </c>
      <c r="C2061">
        <v>33078</v>
      </c>
      <c r="D2061">
        <v>15577</v>
      </c>
      <c r="E2061">
        <v>7605</v>
      </c>
      <c r="F2061">
        <v>91</v>
      </c>
      <c r="G2061" t="s">
        <v>9</v>
      </c>
      <c r="H2061" t="str" cm="1">
        <f t="array" ref="H2061">_xlfn.IFS(Grammys[[#This Row],[date]] &gt;= DATE(2022,2,1),"Grammys",TRUE,"Grammys TRA")</f>
        <v>Grammys</v>
      </c>
      <c r="I2061">
        <f>_xlfn.XLOOKUP(Grammys[[#This Row],[date]],mobile_visits[date],mobile_visits[mobile_visitors],0)</f>
        <v>8941</v>
      </c>
    </row>
    <row r="2062" spans="1:9">
      <c r="A2062" s="1">
        <v>44796</v>
      </c>
      <c r="B2062">
        <v>14076</v>
      </c>
      <c r="C2062">
        <v>30045</v>
      </c>
      <c r="D2062">
        <v>15732</v>
      </c>
      <c r="E2062">
        <v>9430</v>
      </c>
      <c r="F2062">
        <v>88</v>
      </c>
      <c r="G2062" t="s">
        <v>9</v>
      </c>
      <c r="H2062" t="str" cm="1">
        <f t="array" ref="H2062">_xlfn.IFS(Grammys[[#This Row],[date]] &gt;= DATE(2022,2,1),"Grammys",TRUE,"Grammys TRA")</f>
        <v>Grammys</v>
      </c>
      <c r="I2062">
        <f>_xlfn.XLOOKUP(Grammys[[#This Row],[date]],mobile_visits[date],mobile_visits[mobile_visitors],0)</f>
        <v>8600</v>
      </c>
    </row>
    <row r="2063" spans="1:9">
      <c r="A2063" s="1">
        <v>44797</v>
      </c>
      <c r="B2063">
        <v>23193</v>
      </c>
      <c r="C2063">
        <v>53721</v>
      </c>
      <c r="D2063">
        <v>25271</v>
      </c>
      <c r="E2063">
        <v>12896</v>
      </c>
      <c r="F2063">
        <v>121</v>
      </c>
      <c r="G2063" t="s">
        <v>9</v>
      </c>
      <c r="H2063" t="str" cm="1">
        <f t="array" ref="H2063">_xlfn.IFS(Grammys[[#This Row],[date]] &gt;= DATE(2022,2,1),"Grammys",TRUE,"Grammys TRA")</f>
        <v>Grammys</v>
      </c>
      <c r="I2063">
        <f>_xlfn.XLOOKUP(Grammys[[#This Row],[date]],mobile_visits[date],mobile_visits[mobile_visitors],0)</f>
        <v>16935</v>
      </c>
    </row>
    <row r="2064" spans="1:9">
      <c r="A2064" s="1">
        <v>44798</v>
      </c>
      <c r="B2064">
        <v>19653</v>
      </c>
      <c r="C2064">
        <v>44169</v>
      </c>
      <c r="D2064">
        <v>21482</v>
      </c>
      <c r="E2064">
        <v>11180</v>
      </c>
      <c r="F2064">
        <v>98</v>
      </c>
      <c r="G2064" t="s">
        <v>9</v>
      </c>
      <c r="H2064" t="str" cm="1">
        <f t="array" ref="H2064">_xlfn.IFS(Grammys[[#This Row],[date]] &gt;= DATE(2022,2,1),"Grammys",TRUE,"Grammys TRA")</f>
        <v>Grammys</v>
      </c>
      <c r="I2064">
        <f>_xlfn.XLOOKUP(Grammys[[#This Row],[date]],mobile_visits[date],mobile_visits[mobile_visitors],0)</f>
        <v>13291</v>
      </c>
    </row>
    <row r="2065" spans="1:9">
      <c r="A2065" s="1">
        <v>44799</v>
      </c>
      <c r="B2065">
        <v>18555</v>
      </c>
      <c r="C2065">
        <v>41191</v>
      </c>
      <c r="D2065">
        <v>20307</v>
      </c>
      <c r="E2065">
        <v>10375</v>
      </c>
      <c r="F2065">
        <v>98</v>
      </c>
      <c r="G2065" t="s">
        <v>9</v>
      </c>
      <c r="H2065" t="str" cm="1">
        <f t="array" ref="H2065">_xlfn.IFS(Grammys[[#This Row],[date]] &gt;= DATE(2022,2,1),"Grammys",TRUE,"Grammys TRA")</f>
        <v>Grammys</v>
      </c>
      <c r="I2065">
        <f>_xlfn.XLOOKUP(Grammys[[#This Row],[date]],mobile_visits[date],mobile_visits[mobile_visitors],0)</f>
        <v>12975</v>
      </c>
    </row>
    <row r="2066" spans="1:9">
      <c r="A2066" s="1">
        <v>44800</v>
      </c>
      <c r="B2066">
        <v>16368</v>
      </c>
      <c r="C2066">
        <v>37216</v>
      </c>
      <c r="D2066">
        <v>17866</v>
      </c>
      <c r="E2066">
        <v>9182</v>
      </c>
      <c r="F2066">
        <v>81</v>
      </c>
      <c r="G2066" t="s">
        <v>9</v>
      </c>
      <c r="H2066" t="str" cm="1">
        <f t="array" ref="H2066">_xlfn.IFS(Grammys[[#This Row],[date]] &gt;= DATE(2022,2,1),"Grammys",TRUE,"Grammys TRA")</f>
        <v>Grammys</v>
      </c>
      <c r="I2066">
        <f>_xlfn.XLOOKUP(Grammys[[#This Row],[date]],mobile_visits[date],mobile_visits[mobile_visitors],0)</f>
        <v>12040</v>
      </c>
    </row>
    <row r="2067" spans="1:9">
      <c r="A2067" s="1">
        <v>44801</v>
      </c>
      <c r="B2067">
        <v>18079</v>
      </c>
      <c r="C2067">
        <v>41662</v>
      </c>
      <c r="D2067">
        <v>19417</v>
      </c>
      <c r="E2067">
        <v>9655</v>
      </c>
      <c r="F2067">
        <v>77</v>
      </c>
      <c r="G2067" t="s">
        <v>9</v>
      </c>
      <c r="H2067" t="str" cm="1">
        <f t="array" ref="H2067">_xlfn.IFS(Grammys[[#This Row],[date]] &gt;= DATE(2022,2,1),"Grammys",TRUE,"Grammys TRA")</f>
        <v>Grammys</v>
      </c>
      <c r="I2067">
        <f>_xlfn.XLOOKUP(Grammys[[#This Row],[date]],mobile_visits[date],mobile_visits[mobile_visitors],0)</f>
        <v>14455</v>
      </c>
    </row>
    <row r="2068" spans="1:9">
      <c r="A2068" s="1">
        <v>44802</v>
      </c>
      <c r="B2068">
        <v>19023</v>
      </c>
      <c r="C2068">
        <v>45154</v>
      </c>
      <c r="D2068">
        <v>20832</v>
      </c>
      <c r="E2068">
        <v>10062</v>
      </c>
      <c r="F2068">
        <v>85</v>
      </c>
      <c r="G2068" t="s">
        <v>9</v>
      </c>
      <c r="H2068" t="str" cm="1">
        <f t="array" ref="H2068">_xlfn.IFS(Grammys[[#This Row],[date]] &gt;= DATE(2022,2,1),"Grammys",TRUE,"Grammys TRA")</f>
        <v>Grammys</v>
      </c>
      <c r="I2068">
        <f>_xlfn.XLOOKUP(Grammys[[#This Row],[date]],mobile_visits[date],mobile_visits[mobile_visitors],0)</f>
        <v>12556</v>
      </c>
    </row>
    <row r="2069" spans="1:9">
      <c r="A2069" s="1">
        <v>44803</v>
      </c>
      <c r="B2069">
        <v>16726</v>
      </c>
      <c r="C2069">
        <v>38697</v>
      </c>
      <c r="D2069">
        <v>18511</v>
      </c>
      <c r="E2069">
        <v>9158</v>
      </c>
      <c r="F2069">
        <v>92</v>
      </c>
      <c r="G2069" t="s">
        <v>9</v>
      </c>
      <c r="H2069" t="str" cm="1">
        <f t="array" ref="H2069">_xlfn.IFS(Grammys[[#This Row],[date]] &gt;= DATE(2022,2,1),"Grammys",TRUE,"Grammys TRA")</f>
        <v>Grammys</v>
      </c>
      <c r="I2069">
        <f>_xlfn.XLOOKUP(Grammys[[#This Row],[date]],mobile_visits[date],mobile_visits[mobile_visitors],0)</f>
        <v>10963</v>
      </c>
    </row>
    <row r="2070" spans="1:9">
      <c r="A2070" s="1">
        <v>44804</v>
      </c>
      <c r="B2070">
        <v>15906</v>
      </c>
      <c r="C2070">
        <v>35815</v>
      </c>
      <c r="D2070">
        <v>17452</v>
      </c>
      <c r="E2070">
        <v>8849</v>
      </c>
      <c r="F2070">
        <v>86</v>
      </c>
      <c r="G2070" t="s">
        <v>9</v>
      </c>
      <c r="H2070" t="str" cm="1">
        <f t="array" ref="H2070">_xlfn.IFS(Grammys[[#This Row],[date]] &gt;= DATE(2022,2,1),"Grammys",TRUE,"Grammys TRA")</f>
        <v>Grammys</v>
      </c>
      <c r="I2070">
        <f>_xlfn.XLOOKUP(Grammys[[#This Row],[date]],mobile_visits[date],mobile_visits[mobile_visitors],0)</f>
        <v>9804</v>
      </c>
    </row>
    <row r="2071" spans="1:9">
      <c r="A2071" s="1">
        <v>44805</v>
      </c>
      <c r="B2071">
        <v>14717</v>
      </c>
      <c r="C2071">
        <v>34183</v>
      </c>
      <c r="D2071">
        <v>16162</v>
      </c>
      <c r="E2071">
        <v>8348</v>
      </c>
      <c r="F2071">
        <v>84</v>
      </c>
      <c r="G2071" t="s">
        <v>9</v>
      </c>
      <c r="H2071" t="str" cm="1">
        <f t="array" ref="H2071">_xlfn.IFS(Grammys[[#This Row],[date]] &gt;= DATE(2022,2,1),"Grammys",TRUE,"Grammys TRA")</f>
        <v>Grammys</v>
      </c>
      <c r="I2071">
        <f>_xlfn.XLOOKUP(Grammys[[#This Row],[date]],mobile_visits[date],mobile_visits[mobile_visitors],0)</f>
        <v>9398</v>
      </c>
    </row>
    <row r="2072" spans="1:9">
      <c r="A2072" s="1">
        <v>44806</v>
      </c>
      <c r="B2072">
        <v>13537</v>
      </c>
      <c r="C2072">
        <v>32010</v>
      </c>
      <c r="D2072">
        <v>14926</v>
      </c>
      <c r="E2072">
        <v>7489</v>
      </c>
      <c r="F2072">
        <v>85</v>
      </c>
      <c r="G2072" t="s">
        <v>9</v>
      </c>
      <c r="H2072" t="str" cm="1">
        <f t="array" ref="H2072">_xlfn.IFS(Grammys[[#This Row],[date]] &gt;= DATE(2022,2,1),"Grammys",TRUE,"Grammys TRA")</f>
        <v>Grammys</v>
      </c>
      <c r="I2072">
        <f>_xlfn.XLOOKUP(Grammys[[#This Row],[date]],mobile_visits[date],mobile_visits[mobile_visitors],0)</f>
        <v>9469</v>
      </c>
    </row>
    <row r="2073" spans="1:9">
      <c r="A2073" s="1">
        <v>44807</v>
      </c>
      <c r="B2073">
        <v>12640</v>
      </c>
      <c r="C2073">
        <v>29167</v>
      </c>
      <c r="D2073">
        <v>13564</v>
      </c>
      <c r="E2073">
        <v>6712</v>
      </c>
      <c r="F2073">
        <v>84</v>
      </c>
      <c r="G2073" t="s">
        <v>9</v>
      </c>
      <c r="H2073" t="str" cm="1">
        <f t="array" ref="H2073">_xlfn.IFS(Grammys[[#This Row],[date]] &gt;= DATE(2022,2,1),"Grammys",TRUE,"Grammys TRA")</f>
        <v>Grammys</v>
      </c>
      <c r="I2073">
        <f>_xlfn.XLOOKUP(Grammys[[#This Row],[date]],mobile_visits[date],mobile_visits[mobile_visitors],0)</f>
        <v>9615</v>
      </c>
    </row>
    <row r="2074" spans="1:9">
      <c r="A2074" s="1">
        <v>44808</v>
      </c>
      <c r="B2074">
        <v>16173</v>
      </c>
      <c r="C2074">
        <v>38673</v>
      </c>
      <c r="D2074">
        <v>17332</v>
      </c>
      <c r="E2074">
        <v>7762</v>
      </c>
      <c r="F2074">
        <v>80</v>
      </c>
      <c r="G2074" t="s">
        <v>9</v>
      </c>
      <c r="H2074" t="str" cm="1">
        <f t="array" ref="H2074">_xlfn.IFS(Grammys[[#This Row],[date]] &gt;= DATE(2022,2,1),"Grammys",TRUE,"Grammys TRA")</f>
        <v>Grammys</v>
      </c>
      <c r="I2074">
        <f>_xlfn.XLOOKUP(Grammys[[#This Row],[date]],mobile_visits[date],mobile_visits[mobile_visitors],0)</f>
        <v>12314</v>
      </c>
    </row>
    <row r="2075" spans="1:9">
      <c r="A2075" s="1">
        <v>44809</v>
      </c>
      <c r="B2075">
        <v>14463</v>
      </c>
      <c r="C2075">
        <v>35491</v>
      </c>
      <c r="D2075">
        <v>15808</v>
      </c>
      <c r="E2075">
        <v>7609</v>
      </c>
      <c r="F2075">
        <v>88</v>
      </c>
      <c r="G2075" t="s">
        <v>9</v>
      </c>
      <c r="H2075" t="str" cm="1">
        <f t="array" ref="H2075">_xlfn.IFS(Grammys[[#This Row],[date]] &gt;= DATE(2022,2,1),"Grammys",TRUE,"Grammys TRA")</f>
        <v>Grammys</v>
      </c>
      <c r="I2075">
        <f>_xlfn.XLOOKUP(Grammys[[#This Row],[date]],mobile_visits[date],mobile_visits[mobile_visitors],0)</f>
        <v>10552</v>
      </c>
    </row>
    <row r="2076" spans="1:9">
      <c r="A2076" s="1">
        <v>44810</v>
      </c>
      <c r="B2076">
        <v>14006</v>
      </c>
      <c r="C2076">
        <v>33333</v>
      </c>
      <c r="D2076">
        <v>15649</v>
      </c>
      <c r="E2076">
        <v>7916</v>
      </c>
      <c r="F2076">
        <v>90</v>
      </c>
      <c r="G2076" t="s">
        <v>9</v>
      </c>
      <c r="H2076" t="str" cm="1">
        <f t="array" ref="H2076">_xlfn.IFS(Grammys[[#This Row],[date]] &gt;= DATE(2022,2,1),"Grammys",TRUE,"Grammys TRA")</f>
        <v>Grammys</v>
      </c>
      <c r="I2076">
        <f>_xlfn.XLOOKUP(Grammys[[#This Row],[date]],mobile_visits[date],mobile_visits[mobile_visitors],0)</f>
        <v>7878</v>
      </c>
    </row>
    <row r="2077" spans="1:9">
      <c r="A2077" s="1">
        <v>44811</v>
      </c>
      <c r="B2077">
        <v>13985</v>
      </c>
      <c r="C2077">
        <v>32380</v>
      </c>
      <c r="D2077">
        <v>15478</v>
      </c>
      <c r="E2077">
        <v>7972</v>
      </c>
      <c r="F2077">
        <v>84</v>
      </c>
      <c r="G2077" t="s">
        <v>9</v>
      </c>
      <c r="H2077" t="str" cm="1">
        <f t="array" ref="H2077">_xlfn.IFS(Grammys[[#This Row],[date]] &gt;= DATE(2022,2,1),"Grammys",TRUE,"Grammys TRA")</f>
        <v>Grammys</v>
      </c>
      <c r="I2077">
        <f>_xlfn.XLOOKUP(Grammys[[#This Row],[date]],mobile_visits[date],mobile_visits[mobile_visitors],0)</f>
        <v>8822</v>
      </c>
    </row>
    <row r="2078" spans="1:9">
      <c r="A2078" s="1">
        <v>44812</v>
      </c>
      <c r="B2078">
        <v>12302</v>
      </c>
      <c r="C2078">
        <v>28366</v>
      </c>
      <c r="D2078">
        <v>13848</v>
      </c>
      <c r="E2078">
        <v>7470</v>
      </c>
      <c r="F2078">
        <v>85</v>
      </c>
      <c r="G2078" t="s">
        <v>9</v>
      </c>
      <c r="H2078" t="str" cm="1">
        <f t="array" ref="H2078">_xlfn.IFS(Grammys[[#This Row],[date]] &gt;= DATE(2022,2,1),"Grammys",TRUE,"Grammys TRA")</f>
        <v>Grammys</v>
      </c>
      <c r="I2078">
        <f>_xlfn.XLOOKUP(Grammys[[#This Row],[date]],mobile_visits[date],mobile_visits[mobile_visitors],0)</f>
        <v>8182</v>
      </c>
    </row>
    <row r="2079" spans="1:9">
      <c r="A2079" s="1">
        <v>44813</v>
      </c>
      <c r="B2079">
        <v>13770</v>
      </c>
      <c r="C2079">
        <v>31668</v>
      </c>
      <c r="D2079">
        <v>15120</v>
      </c>
      <c r="E2079">
        <v>7837</v>
      </c>
      <c r="F2079">
        <v>86</v>
      </c>
      <c r="G2079" t="s">
        <v>9</v>
      </c>
      <c r="H2079" t="str" cm="1">
        <f t="array" ref="H2079">_xlfn.IFS(Grammys[[#This Row],[date]] &gt;= DATE(2022,2,1),"Grammys",TRUE,"Grammys TRA")</f>
        <v>Grammys</v>
      </c>
      <c r="I2079">
        <f>_xlfn.XLOOKUP(Grammys[[#This Row],[date]],mobile_visits[date],mobile_visits[mobile_visitors],0)</f>
        <v>8529</v>
      </c>
    </row>
    <row r="2080" spans="1:9">
      <c r="A2080" s="1">
        <v>44814</v>
      </c>
      <c r="B2080">
        <v>12699</v>
      </c>
      <c r="C2080">
        <v>29441</v>
      </c>
      <c r="D2080">
        <v>13744</v>
      </c>
      <c r="E2080">
        <v>6981</v>
      </c>
      <c r="F2080">
        <v>95</v>
      </c>
      <c r="G2080" t="s">
        <v>9</v>
      </c>
      <c r="H2080" t="str" cm="1">
        <f t="array" ref="H2080">_xlfn.IFS(Grammys[[#This Row],[date]] &gt;= DATE(2022,2,1),"Grammys",TRUE,"Grammys TRA")</f>
        <v>Grammys</v>
      </c>
      <c r="I2080">
        <f>_xlfn.XLOOKUP(Grammys[[#This Row],[date]],mobile_visits[date],mobile_visits[mobile_visitors],0)</f>
        <v>9648</v>
      </c>
    </row>
    <row r="2081" spans="1:9">
      <c r="A2081" s="1">
        <v>44815</v>
      </c>
      <c r="B2081">
        <v>12298</v>
      </c>
      <c r="C2081">
        <v>30299</v>
      </c>
      <c r="D2081">
        <v>13473</v>
      </c>
      <c r="E2081">
        <v>6531</v>
      </c>
      <c r="F2081">
        <v>94</v>
      </c>
      <c r="G2081" t="s">
        <v>9</v>
      </c>
      <c r="H2081" t="str" cm="1">
        <f t="array" ref="H2081">_xlfn.IFS(Grammys[[#This Row],[date]] &gt;= DATE(2022,2,1),"Grammys",TRUE,"Grammys TRA")</f>
        <v>Grammys</v>
      </c>
      <c r="I2081">
        <f>_xlfn.XLOOKUP(Grammys[[#This Row],[date]],mobile_visits[date],mobile_visits[mobile_visitors],0)</f>
        <v>8152</v>
      </c>
    </row>
    <row r="2082" spans="1:9">
      <c r="A2082" s="1">
        <v>44816</v>
      </c>
      <c r="B2082">
        <v>15940</v>
      </c>
      <c r="C2082">
        <v>36708</v>
      </c>
      <c r="D2082">
        <v>17339</v>
      </c>
      <c r="E2082">
        <v>9084</v>
      </c>
      <c r="F2082">
        <v>78</v>
      </c>
      <c r="G2082" t="s">
        <v>9</v>
      </c>
      <c r="H2082" t="str" cm="1">
        <f t="array" ref="H2082">_xlfn.IFS(Grammys[[#This Row],[date]] &gt;= DATE(2022,2,1),"Grammys",TRUE,"Grammys TRA")</f>
        <v>Grammys</v>
      </c>
      <c r="I2082">
        <f>_xlfn.XLOOKUP(Grammys[[#This Row],[date]],mobile_visits[date],mobile_visits[mobile_visitors],0)</f>
        <v>9604</v>
      </c>
    </row>
    <row r="2083" spans="1:9">
      <c r="A2083" s="1">
        <v>44817</v>
      </c>
      <c r="B2083">
        <v>17884</v>
      </c>
      <c r="C2083">
        <v>42043</v>
      </c>
      <c r="D2083">
        <v>19440</v>
      </c>
      <c r="E2083">
        <v>9860</v>
      </c>
      <c r="F2083">
        <v>75</v>
      </c>
      <c r="G2083" t="s">
        <v>9</v>
      </c>
      <c r="H2083" t="str" cm="1">
        <f t="array" ref="H2083">_xlfn.IFS(Grammys[[#This Row],[date]] &gt;= DATE(2022,2,1),"Grammys",TRUE,"Grammys TRA")</f>
        <v>Grammys</v>
      </c>
      <c r="I2083">
        <f>_xlfn.XLOOKUP(Grammys[[#This Row],[date]],mobile_visits[date],mobile_visits[mobile_visitors],0)</f>
        <v>10922</v>
      </c>
    </row>
    <row r="2084" spans="1:9">
      <c r="A2084" s="1">
        <v>44818</v>
      </c>
      <c r="B2084">
        <v>14750</v>
      </c>
      <c r="C2084">
        <v>33644</v>
      </c>
      <c r="D2084">
        <v>16105</v>
      </c>
      <c r="E2084">
        <v>8398</v>
      </c>
      <c r="F2084">
        <v>86</v>
      </c>
      <c r="G2084" t="s">
        <v>9</v>
      </c>
      <c r="H2084" t="str" cm="1">
        <f t="array" ref="H2084">_xlfn.IFS(Grammys[[#This Row],[date]] &gt;= DATE(2022,2,1),"Grammys",TRUE,"Grammys TRA")</f>
        <v>Grammys</v>
      </c>
      <c r="I2084">
        <f>_xlfn.XLOOKUP(Grammys[[#This Row],[date]],mobile_visits[date],mobile_visits[mobile_visitors],0)</f>
        <v>8701</v>
      </c>
    </row>
    <row r="2085" spans="1:9">
      <c r="A2085" s="1">
        <v>44819</v>
      </c>
      <c r="B2085">
        <v>15206</v>
      </c>
      <c r="C2085">
        <v>34872</v>
      </c>
      <c r="D2085">
        <v>17144</v>
      </c>
      <c r="E2085">
        <v>9075</v>
      </c>
      <c r="F2085">
        <v>86</v>
      </c>
      <c r="G2085" t="s">
        <v>9</v>
      </c>
      <c r="H2085" t="str" cm="1">
        <f t="array" ref="H2085">_xlfn.IFS(Grammys[[#This Row],[date]] &gt;= DATE(2022,2,1),"Grammys",TRUE,"Grammys TRA")</f>
        <v>Grammys</v>
      </c>
      <c r="I2085">
        <f>_xlfn.XLOOKUP(Grammys[[#This Row],[date]],mobile_visits[date],mobile_visits[mobile_visitors],0)</f>
        <v>9365</v>
      </c>
    </row>
    <row r="2086" spans="1:9">
      <c r="A2086" s="1">
        <v>44820</v>
      </c>
      <c r="B2086">
        <v>14188</v>
      </c>
      <c r="C2086">
        <v>32761</v>
      </c>
      <c r="D2086">
        <v>15767</v>
      </c>
      <c r="E2086">
        <v>8259</v>
      </c>
      <c r="F2086">
        <v>79</v>
      </c>
      <c r="G2086" t="s">
        <v>9</v>
      </c>
      <c r="H2086" t="str" cm="1">
        <f t="array" ref="H2086">_xlfn.IFS(Grammys[[#This Row],[date]] &gt;= DATE(2022,2,1),"Grammys",TRUE,"Grammys TRA")</f>
        <v>Grammys</v>
      </c>
      <c r="I2086">
        <f>_xlfn.XLOOKUP(Grammys[[#This Row],[date]],mobile_visits[date],mobile_visits[mobile_visitors],0)</f>
        <v>9416</v>
      </c>
    </row>
    <row r="2087" spans="1:9">
      <c r="A2087" s="1">
        <v>44821</v>
      </c>
      <c r="B2087">
        <v>13156</v>
      </c>
      <c r="C2087">
        <v>30360</v>
      </c>
      <c r="D2087">
        <v>14330</v>
      </c>
      <c r="E2087">
        <v>7005</v>
      </c>
      <c r="F2087">
        <v>82</v>
      </c>
      <c r="G2087" t="s">
        <v>9</v>
      </c>
      <c r="H2087" t="str" cm="1">
        <f t="array" ref="H2087">_xlfn.IFS(Grammys[[#This Row],[date]] &gt;= DATE(2022,2,1),"Grammys",TRUE,"Grammys TRA")</f>
        <v>Grammys</v>
      </c>
      <c r="I2087">
        <f>_xlfn.XLOOKUP(Grammys[[#This Row],[date]],mobile_visits[date],mobile_visits[mobile_visitors],0)</f>
        <v>9792</v>
      </c>
    </row>
    <row r="2088" spans="1:9">
      <c r="A2088" s="1">
        <v>44822</v>
      </c>
      <c r="B2088">
        <v>12928</v>
      </c>
      <c r="C2088">
        <v>30167</v>
      </c>
      <c r="D2088">
        <v>13997</v>
      </c>
      <c r="E2088">
        <v>6832</v>
      </c>
      <c r="F2088">
        <v>75</v>
      </c>
      <c r="G2088" t="s">
        <v>9</v>
      </c>
      <c r="H2088" t="str" cm="1">
        <f t="array" ref="H2088">_xlfn.IFS(Grammys[[#This Row],[date]] &gt;= DATE(2022,2,1),"Grammys",TRUE,"Grammys TRA")</f>
        <v>Grammys</v>
      </c>
      <c r="I2088">
        <f>_xlfn.XLOOKUP(Grammys[[#This Row],[date]],mobile_visits[date],mobile_visits[mobile_visitors],0)</f>
        <v>9434</v>
      </c>
    </row>
    <row r="2089" spans="1:9">
      <c r="A2089" s="1">
        <v>44823</v>
      </c>
      <c r="B2089">
        <v>15726</v>
      </c>
      <c r="C2089">
        <v>35402</v>
      </c>
      <c r="D2089">
        <v>17245</v>
      </c>
      <c r="E2089">
        <v>8664</v>
      </c>
      <c r="F2089">
        <v>83</v>
      </c>
      <c r="G2089" t="s">
        <v>9</v>
      </c>
      <c r="H2089" t="str" cm="1">
        <f t="array" ref="H2089">_xlfn.IFS(Grammys[[#This Row],[date]] &gt;= DATE(2022,2,1),"Grammys",TRUE,"Grammys TRA")</f>
        <v>Grammys</v>
      </c>
      <c r="I2089">
        <f>_xlfn.XLOOKUP(Grammys[[#This Row],[date]],mobile_visits[date],mobile_visits[mobile_visitors],0)</f>
        <v>10224</v>
      </c>
    </row>
    <row r="2090" spans="1:9">
      <c r="A2090" s="1">
        <v>44824</v>
      </c>
      <c r="B2090">
        <v>28219</v>
      </c>
      <c r="C2090">
        <v>74195</v>
      </c>
      <c r="D2090">
        <v>31193</v>
      </c>
      <c r="E2090">
        <v>12952</v>
      </c>
      <c r="F2090">
        <v>87</v>
      </c>
      <c r="G2090" t="s">
        <v>9</v>
      </c>
      <c r="H2090" t="str" cm="1">
        <f t="array" ref="H2090">_xlfn.IFS(Grammys[[#This Row],[date]] &gt;= DATE(2022,2,1),"Grammys",TRUE,"Grammys TRA")</f>
        <v>Grammys</v>
      </c>
      <c r="I2090">
        <f>_xlfn.XLOOKUP(Grammys[[#This Row],[date]],mobile_visits[date],mobile_visits[mobile_visitors],0)</f>
        <v>20136</v>
      </c>
    </row>
    <row r="2091" spans="1:9">
      <c r="A2091" s="1">
        <v>44825</v>
      </c>
      <c r="B2091">
        <v>22555</v>
      </c>
      <c r="C2091">
        <v>59741</v>
      </c>
      <c r="D2091">
        <v>25163</v>
      </c>
      <c r="E2091">
        <v>11445</v>
      </c>
      <c r="F2091">
        <v>87</v>
      </c>
      <c r="G2091" t="s">
        <v>9</v>
      </c>
      <c r="H2091" t="str" cm="1">
        <f t="array" ref="H2091">_xlfn.IFS(Grammys[[#This Row],[date]] &gt;= DATE(2022,2,1),"Grammys",TRUE,"Grammys TRA")</f>
        <v>Grammys</v>
      </c>
      <c r="I2091">
        <f>_xlfn.XLOOKUP(Grammys[[#This Row],[date]],mobile_visits[date],mobile_visits[mobile_visitors],0)</f>
        <v>15984</v>
      </c>
    </row>
    <row r="2092" spans="1:9">
      <c r="A2092" s="1">
        <v>44826</v>
      </c>
      <c r="B2092">
        <v>17196</v>
      </c>
      <c r="C2092">
        <v>42621</v>
      </c>
      <c r="D2092">
        <v>19107</v>
      </c>
      <c r="E2092">
        <v>9181</v>
      </c>
      <c r="F2092">
        <v>87</v>
      </c>
      <c r="G2092" t="s">
        <v>9</v>
      </c>
      <c r="H2092" t="str" cm="1">
        <f t="array" ref="H2092">_xlfn.IFS(Grammys[[#This Row],[date]] &gt;= DATE(2022,2,1),"Grammys",TRUE,"Grammys TRA")</f>
        <v>Grammys</v>
      </c>
      <c r="I2092">
        <f>_xlfn.XLOOKUP(Grammys[[#This Row],[date]],mobile_visits[date],mobile_visits[mobile_visitors],0)</f>
        <v>11225</v>
      </c>
    </row>
    <row r="2093" spans="1:9">
      <c r="A2093" s="1">
        <v>44827</v>
      </c>
      <c r="B2093">
        <v>15413</v>
      </c>
      <c r="C2093">
        <v>37637</v>
      </c>
      <c r="D2093">
        <v>17088</v>
      </c>
      <c r="E2093">
        <v>8473</v>
      </c>
      <c r="F2093">
        <v>99</v>
      </c>
      <c r="G2093" t="s">
        <v>9</v>
      </c>
      <c r="H2093" t="str" cm="1">
        <f t="array" ref="H2093">_xlfn.IFS(Grammys[[#This Row],[date]] &gt;= DATE(2022,2,1),"Grammys",TRUE,"Grammys TRA")</f>
        <v>Grammys</v>
      </c>
      <c r="I2093">
        <f>_xlfn.XLOOKUP(Grammys[[#This Row],[date]],mobile_visits[date],mobile_visits[mobile_visitors],0)</f>
        <v>10328</v>
      </c>
    </row>
    <row r="2094" spans="1:9">
      <c r="A2094" s="1">
        <v>44828</v>
      </c>
      <c r="B2094">
        <v>20170</v>
      </c>
      <c r="C2094">
        <v>46625</v>
      </c>
      <c r="D2094">
        <v>21667</v>
      </c>
      <c r="E2094">
        <v>9829</v>
      </c>
      <c r="F2094">
        <v>90</v>
      </c>
      <c r="G2094" t="s">
        <v>9</v>
      </c>
      <c r="H2094" t="str" cm="1">
        <f t="array" ref="H2094">_xlfn.IFS(Grammys[[#This Row],[date]] &gt;= DATE(2022,2,1),"Grammys",TRUE,"Grammys TRA")</f>
        <v>Grammys</v>
      </c>
      <c r="I2094">
        <f>_xlfn.XLOOKUP(Grammys[[#This Row],[date]],mobile_visits[date],mobile_visits[mobile_visitors],0)</f>
        <v>14799</v>
      </c>
    </row>
    <row r="2095" spans="1:9">
      <c r="A2095" s="1">
        <v>44829</v>
      </c>
      <c r="B2095">
        <v>23476</v>
      </c>
      <c r="C2095">
        <v>53094</v>
      </c>
      <c r="D2095">
        <v>25057</v>
      </c>
      <c r="E2095">
        <v>11604</v>
      </c>
      <c r="F2095">
        <v>91</v>
      </c>
      <c r="G2095" t="s">
        <v>9</v>
      </c>
      <c r="H2095" t="str" cm="1">
        <f t="array" ref="H2095">_xlfn.IFS(Grammys[[#This Row],[date]] &gt;= DATE(2022,2,1),"Grammys",TRUE,"Grammys TRA")</f>
        <v>Grammys</v>
      </c>
      <c r="I2095">
        <f>_xlfn.XLOOKUP(Grammys[[#This Row],[date]],mobile_visits[date],mobile_visits[mobile_visitors],0)</f>
        <v>17766</v>
      </c>
    </row>
    <row r="2096" spans="1:9">
      <c r="A2096" s="1">
        <v>44830</v>
      </c>
      <c r="B2096">
        <v>23366</v>
      </c>
      <c r="C2096">
        <v>51900</v>
      </c>
      <c r="D2096">
        <v>25167</v>
      </c>
      <c r="E2096">
        <v>12894</v>
      </c>
      <c r="F2096">
        <v>91</v>
      </c>
      <c r="G2096" t="s">
        <v>9</v>
      </c>
      <c r="H2096" t="str" cm="1">
        <f t="array" ref="H2096">_xlfn.IFS(Grammys[[#This Row],[date]] &gt;= DATE(2022,2,1),"Grammys",TRUE,"Grammys TRA")</f>
        <v>Grammys</v>
      </c>
      <c r="I2096">
        <f>_xlfn.XLOOKUP(Grammys[[#This Row],[date]],mobile_visits[date],mobile_visits[mobile_visitors],0)</f>
        <v>16404</v>
      </c>
    </row>
    <row r="2097" spans="1:9">
      <c r="A2097" s="1">
        <v>44831</v>
      </c>
      <c r="B2097">
        <v>19241</v>
      </c>
      <c r="C2097">
        <v>44098</v>
      </c>
      <c r="D2097">
        <v>21410</v>
      </c>
      <c r="E2097">
        <v>11018</v>
      </c>
      <c r="F2097">
        <v>91</v>
      </c>
      <c r="G2097" t="s">
        <v>9</v>
      </c>
      <c r="H2097" t="str" cm="1">
        <f t="array" ref="H2097">_xlfn.IFS(Grammys[[#This Row],[date]] &gt;= DATE(2022,2,1),"Grammys",TRUE,"Grammys TRA")</f>
        <v>Grammys</v>
      </c>
      <c r="I2097">
        <f>_xlfn.XLOOKUP(Grammys[[#This Row],[date]],mobile_visits[date],mobile_visits[mobile_visitors],0)</f>
        <v>13765</v>
      </c>
    </row>
    <row r="2098" spans="1:9">
      <c r="A2098" s="1">
        <v>44832</v>
      </c>
      <c r="B2098">
        <v>17284</v>
      </c>
      <c r="C2098">
        <v>39640</v>
      </c>
      <c r="D2098">
        <v>19179</v>
      </c>
      <c r="E2098">
        <v>10014</v>
      </c>
      <c r="F2098">
        <v>88</v>
      </c>
      <c r="G2098" t="s">
        <v>9</v>
      </c>
      <c r="H2098" t="str" cm="1">
        <f t="array" ref="H2098">_xlfn.IFS(Grammys[[#This Row],[date]] &gt;= DATE(2022,2,1),"Grammys",TRUE,"Grammys TRA")</f>
        <v>Grammys</v>
      </c>
      <c r="I2098">
        <f>_xlfn.XLOOKUP(Grammys[[#This Row],[date]],mobile_visits[date],mobile_visits[mobile_visitors],0)</f>
        <v>11078</v>
      </c>
    </row>
    <row r="2099" spans="1:9">
      <c r="A2099" s="1">
        <v>44833</v>
      </c>
      <c r="B2099">
        <v>16730</v>
      </c>
      <c r="C2099">
        <v>39594</v>
      </c>
      <c r="D2099">
        <v>18873</v>
      </c>
      <c r="E2099">
        <v>9769</v>
      </c>
      <c r="F2099">
        <v>86</v>
      </c>
      <c r="G2099" t="s">
        <v>9</v>
      </c>
      <c r="H2099" t="str" cm="1">
        <f t="array" ref="H2099">_xlfn.IFS(Grammys[[#This Row],[date]] &gt;= DATE(2022,2,1),"Grammys",TRUE,"Grammys TRA")</f>
        <v>Grammys</v>
      </c>
      <c r="I2099">
        <f>_xlfn.XLOOKUP(Grammys[[#This Row],[date]],mobile_visits[date],mobile_visits[mobile_visitors],0)</f>
        <v>10707</v>
      </c>
    </row>
    <row r="2100" spans="1:9">
      <c r="A2100" s="1">
        <v>44834</v>
      </c>
      <c r="B2100">
        <v>15226</v>
      </c>
      <c r="C2100">
        <v>35978</v>
      </c>
      <c r="D2100">
        <v>17018</v>
      </c>
      <c r="E2100">
        <v>8766</v>
      </c>
      <c r="F2100">
        <v>87</v>
      </c>
      <c r="G2100" t="s">
        <v>9</v>
      </c>
      <c r="H2100" t="str" cm="1">
        <f t="array" ref="H2100">_xlfn.IFS(Grammys[[#This Row],[date]] &gt;= DATE(2022,2,1),"Grammys",TRUE,"Grammys TRA")</f>
        <v>Grammys</v>
      </c>
      <c r="I2100">
        <f>_xlfn.XLOOKUP(Grammys[[#This Row],[date]],mobile_visits[date],mobile_visits[mobile_visitors],0)</f>
        <v>9724</v>
      </c>
    </row>
    <row r="2101" spans="1:9">
      <c r="A2101" s="1">
        <v>44835</v>
      </c>
      <c r="B2101">
        <v>13580</v>
      </c>
      <c r="C2101">
        <v>31322</v>
      </c>
      <c r="D2101">
        <v>14808</v>
      </c>
      <c r="E2101">
        <v>7458</v>
      </c>
      <c r="F2101">
        <v>74</v>
      </c>
      <c r="G2101" t="s">
        <v>9</v>
      </c>
      <c r="H2101" t="str" cm="1">
        <f t="array" ref="H2101">_xlfn.IFS(Grammys[[#This Row],[date]] &gt;= DATE(2022,2,1),"Grammys",TRUE,"Grammys TRA")</f>
        <v>Grammys</v>
      </c>
      <c r="I2101">
        <f>_xlfn.XLOOKUP(Grammys[[#This Row],[date]],mobile_visits[date],mobile_visits[mobile_visitors],0)</f>
        <v>10555</v>
      </c>
    </row>
    <row r="2102" spans="1:9">
      <c r="A2102" s="1">
        <v>44836</v>
      </c>
      <c r="B2102">
        <v>15936</v>
      </c>
      <c r="C2102">
        <v>37142</v>
      </c>
      <c r="D2102">
        <v>17322</v>
      </c>
      <c r="E2102">
        <v>8779</v>
      </c>
      <c r="F2102">
        <v>75</v>
      </c>
      <c r="G2102" t="s">
        <v>9</v>
      </c>
      <c r="H2102" t="str" cm="1">
        <f t="array" ref="H2102">_xlfn.IFS(Grammys[[#This Row],[date]] &gt;= DATE(2022,2,1),"Grammys",TRUE,"Grammys TRA")</f>
        <v>Grammys</v>
      </c>
      <c r="I2102">
        <f>_xlfn.XLOOKUP(Grammys[[#This Row],[date]],mobile_visits[date],mobile_visits[mobile_visitors],0)</f>
        <v>12155</v>
      </c>
    </row>
    <row r="2103" spans="1:9">
      <c r="A2103" s="1">
        <v>44837</v>
      </c>
      <c r="B2103">
        <v>15386</v>
      </c>
      <c r="C2103">
        <v>38577</v>
      </c>
      <c r="D2103">
        <v>17163</v>
      </c>
      <c r="E2103">
        <v>8520</v>
      </c>
      <c r="F2103">
        <v>88</v>
      </c>
      <c r="G2103" t="s">
        <v>9</v>
      </c>
      <c r="H2103" t="str" cm="1">
        <f t="array" ref="H2103">_xlfn.IFS(Grammys[[#This Row],[date]] &gt;= DATE(2022,2,1),"Grammys",TRUE,"Grammys TRA")</f>
        <v>Grammys</v>
      </c>
      <c r="I2103">
        <f>_xlfn.XLOOKUP(Grammys[[#This Row],[date]],mobile_visits[date],mobile_visits[mobile_visitors],0)</f>
        <v>9310</v>
      </c>
    </row>
    <row r="2104" spans="1:9">
      <c r="A2104" s="1">
        <v>44838</v>
      </c>
      <c r="B2104">
        <v>16843</v>
      </c>
      <c r="C2104">
        <v>39832</v>
      </c>
      <c r="D2104">
        <v>18769</v>
      </c>
      <c r="E2104">
        <v>9781</v>
      </c>
      <c r="F2104">
        <v>95</v>
      </c>
      <c r="G2104" t="s">
        <v>9</v>
      </c>
      <c r="H2104" t="str" cm="1">
        <f t="array" ref="H2104">_xlfn.IFS(Grammys[[#This Row],[date]] &gt;= DATE(2022,2,1),"Grammys",TRUE,"Grammys TRA")</f>
        <v>Grammys</v>
      </c>
      <c r="I2104">
        <f>_xlfn.XLOOKUP(Grammys[[#This Row],[date]],mobile_visits[date],mobile_visits[mobile_visitors],0)</f>
        <v>10402</v>
      </c>
    </row>
    <row r="2105" spans="1:9">
      <c r="A2105" s="1">
        <v>44839</v>
      </c>
      <c r="B2105">
        <v>16405</v>
      </c>
      <c r="C2105">
        <v>38588</v>
      </c>
      <c r="D2105">
        <v>18026</v>
      </c>
      <c r="E2105">
        <v>9098</v>
      </c>
      <c r="F2105">
        <v>94</v>
      </c>
      <c r="G2105" t="s">
        <v>9</v>
      </c>
      <c r="H2105" t="str" cm="1">
        <f t="array" ref="H2105">_xlfn.IFS(Grammys[[#This Row],[date]] &gt;= DATE(2022,2,1),"Grammys",TRUE,"Grammys TRA")</f>
        <v>Grammys</v>
      </c>
      <c r="I2105">
        <f>_xlfn.XLOOKUP(Grammys[[#This Row],[date]],mobile_visits[date],mobile_visits[mobile_visitors],0)</f>
        <v>10434</v>
      </c>
    </row>
    <row r="2106" spans="1:9">
      <c r="A2106" s="1">
        <v>44840</v>
      </c>
      <c r="B2106">
        <v>24494</v>
      </c>
      <c r="C2106">
        <v>55519</v>
      </c>
      <c r="D2106">
        <v>27301</v>
      </c>
      <c r="E2106">
        <v>14246</v>
      </c>
      <c r="F2106">
        <v>118</v>
      </c>
      <c r="G2106" t="s">
        <v>9</v>
      </c>
      <c r="H2106" t="str" cm="1">
        <f t="array" ref="H2106">_xlfn.IFS(Grammys[[#This Row],[date]] &gt;= DATE(2022,2,1),"Grammys",TRUE,"Grammys TRA")</f>
        <v>Grammys</v>
      </c>
      <c r="I2106">
        <f>_xlfn.XLOOKUP(Grammys[[#This Row],[date]],mobile_visits[date],mobile_visits[mobile_visitors],0)</f>
        <v>17845</v>
      </c>
    </row>
    <row r="2107" spans="1:9">
      <c r="A2107" s="1">
        <v>44841</v>
      </c>
      <c r="B2107">
        <v>20492</v>
      </c>
      <c r="C2107">
        <v>47255</v>
      </c>
      <c r="D2107">
        <v>22916</v>
      </c>
      <c r="E2107">
        <v>11903</v>
      </c>
      <c r="F2107">
        <v>107</v>
      </c>
      <c r="G2107" t="s">
        <v>9</v>
      </c>
      <c r="H2107" t="str" cm="1">
        <f t="array" ref="H2107">_xlfn.IFS(Grammys[[#This Row],[date]] &gt;= DATE(2022,2,1),"Grammys",TRUE,"Grammys TRA")</f>
        <v>Grammys</v>
      </c>
      <c r="I2107">
        <f>_xlfn.XLOOKUP(Grammys[[#This Row],[date]],mobile_visits[date],mobile_visits[mobile_visitors],0)</f>
        <v>14651</v>
      </c>
    </row>
    <row r="2108" spans="1:9">
      <c r="A2108" s="1">
        <v>44842</v>
      </c>
      <c r="B2108">
        <v>17795</v>
      </c>
      <c r="C2108">
        <v>40562</v>
      </c>
      <c r="D2108">
        <v>19528</v>
      </c>
      <c r="E2108">
        <v>9868</v>
      </c>
      <c r="F2108">
        <v>100</v>
      </c>
      <c r="G2108" t="s">
        <v>9</v>
      </c>
      <c r="H2108" t="str" cm="1">
        <f t="array" ref="H2108">_xlfn.IFS(Grammys[[#This Row],[date]] &gt;= DATE(2022,2,1),"Grammys",TRUE,"Grammys TRA")</f>
        <v>Grammys</v>
      </c>
      <c r="I2108">
        <f>_xlfn.XLOOKUP(Grammys[[#This Row],[date]],mobile_visits[date],mobile_visits[mobile_visitors],0)</f>
        <v>14275</v>
      </c>
    </row>
    <row r="2109" spans="1:9">
      <c r="A2109" s="1">
        <v>44843</v>
      </c>
      <c r="B2109">
        <v>18533</v>
      </c>
      <c r="C2109">
        <v>41338</v>
      </c>
      <c r="D2109">
        <v>20331</v>
      </c>
      <c r="E2109">
        <v>10493</v>
      </c>
      <c r="F2109">
        <v>102</v>
      </c>
      <c r="G2109" t="s">
        <v>9</v>
      </c>
      <c r="H2109" t="str" cm="1">
        <f t="array" ref="H2109">_xlfn.IFS(Grammys[[#This Row],[date]] &gt;= DATE(2022,2,1),"Grammys",TRUE,"Grammys TRA")</f>
        <v>Grammys</v>
      </c>
      <c r="I2109">
        <f>_xlfn.XLOOKUP(Grammys[[#This Row],[date]],mobile_visits[date],mobile_visits[mobile_visitors],0)</f>
        <v>14935</v>
      </c>
    </row>
    <row r="2110" spans="1:9">
      <c r="A2110" s="1">
        <v>44844</v>
      </c>
      <c r="B2110">
        <v>19853</v>
      </c>
      <c r="C2110">
        <v>47122</v>
      </c>
      <c r="D2110">
        <v>22109</v>
      </c>
      <c r="E2110">
        <v>10887</v>
      </c>
      <c r="F2110">
        <v>110</v>
      </c>
      <c r="G2110" t="s">
        <v>9</v>
      </c>
      <c r="H2110" t="str" cm="1">
        <f t="array" ref="H2110">_xlfn.IFS(Grammys[[#This Row],[date]] &gt;= DATE(2022,2,1),"Grammys",TRUE,"Grammys TRA")</f>
        <v>Grammys</v>
      </c>
      <c r="I2110">
        <f>_xlfn.XLOOKUP(Grammys[[#This Row],[date]],mobile_visits[date],mobile_visits[mobile_visitors],0)</f>
        <v>14169</v>
      </c>
    </row>
    <row r="2111" spans="1:9">
      <c r="A2111" s="1">
        <v>44845</v>
      </c>
      <c r="B2111">
        <v>35630</v>
      </c>
      <c r="C2111">
        <v>83584</v>
      </c>
      <c r="D2111">
        <v>39432</v>
      </c>
      <c r="E2111">
        <v>19267</v>
      </c>
      <c r="F2111">
        <v>133</v>
      </c>
      <c r="G2111" t="s">
        <v>9</v>
      </c>
      <c r="H2111" t="str" cm="1">
        <f t="array" ref="H2111">_xlfn.IFS(Grammys[[#This Row],[date]] &gt;= DATE(2022,2,1),"Grammys",TRUE,"Grammys TRA")</f>
        <v>Grammys</v>
      </c>
      <c r="I2111">
        <f>_xlfn.XLOOKUP(Grammys[[#This Row],[date]],mobile_visits[date],mobile_visits[mobile_visitors],0)</f>
        <v>27234</v>
      </c>
    </row>
    <row r="2112" spans="1:9">
      <c r="A2112" s="1">
        <v>44846</v>
      </c>
      <c r="B2112">
        <v>24908</v>
      </c>
      <c r="C2112">
        <v>59672</v>
      </c>
      <c r="D2112">
        <v>28137</v>
      </c>
      <c r="E2112">
        <v>13931</v>
      </c>
      <c r="F2112">
        <v>124</v>
      </c>
      <c r="G2112" t="s">
        <v>9</v>
      </c>
      <c r="H2112" t="str" cm="1">
        <f t="array" ref="H2112">_xlfn.IFS(Grammys[[#This Row],[date]] &gt;= DATE(2022,2,1),"Grammys",TRUE,"Grammys TRA")</f>
        <v>Grammys</v>
      </c>
      <c r="I2112">
        <f>_xlfn.XLOOKUP(Grammys[[#This Row],[date]],mobile_visits[date],mobile_visits[mobile_visitors],0)</f>
        <v>18076</v>
      </c>
    </row>
    <row r="2113" spans="1:9">
      <c r="A2113" s="1">
        <v>44847</v>
      </c>
      <c r="B2113">
        <v>51723</v>
      </c>
      <c r="C2113">
        <v>141745</v>
      </c>
      <c r="D2113">
        <v>57104</v>
      </c>
      <c r="E2113">
        <v>21991</v>
      </c>
      <c r="F2113">
        <v>114</v>
      </c>
      <c r="G2113" t="s">
        <v>9</v>
      </c>
      <c r="H2113" t="str" cm="1">
        <f t="array" ref="H2113">_xlfn.IFS(Grammys[[#This Row],[date]] &gt;= DATE(2022,2,1),"Grammys",TRUE,"Grammys TRA")</f>
        <v>Grammys</v>
      </c>
      <c r="I2113">
        <f>_xlfn.XLOOKUP(Grammys[[#This Row],[date]],mobile_visits[date],mobile_visits[mobile_visitors],0)</f>
        <v>42179</v>
      </c>
    </row>
    <row r="2114" spans="1:9">
      <c r="A2114" s="1">
        <v>44848</v>
      </c>
      <c r="B2114">
        <v>48989</v>
      </c>
      <c r="C2114">
        <v>143591</v>
      </c>
      <c r="D2114">
        <v>53532</v>
      </c>
      <c r="E2114">
        <v>19320</v>
      </c>
      <c r="F2114">
        <v>94</v>
      </c>
      <c r="G2114" t="s">
        <v>9</v>
      </c>
      <c r="H2114" t="str" cm="1">
        <f t="array" ref="H2114">_xlfn.IFS(Grammys[[#This Row],[date]] &gt;= DATE(2022,2,1),"Grammys",TRUE,"Grammys TRA")</f>
        <v>Grammys</v>
      </c>
      <c r="I2114">
        <f>_xlfn.XLOOKUP(Grammys[[#This Row],[date]],mobile_visits[date],mobile_visits[mobile_visitors],0)</f>
        <v>40045</v>
      </c>
    </row>
    <row r="2115" spans="1:9">
      <c r="A2115" s="1">
        <v>44849</v>
      </c>
      <c r="B2115">
        <v>23796</v>
      </c>
      <c r="C2115">
        <v>66405</v>
      </c>
      <c r="D2115">
        <v>25691</v>
      </c>
      <c r="E2115">
        <v>9876</v>
      </c>
      <c r="F2115">
        <v>66</v>
      </c>
      <c r="G2115" t="s">
        <v>9</v>
      </c>
      <c r="H2115" t="str" cm="1">
        <f t="array" ref="H2115">_xlfn.IFS(Grammys[[#This Row],[date]] &gt;= DATE(2022,2,1),"Grammys",TRUE,"Grammys TRA")</f>
        <v>Grammys</v>
      </c>
      <c r="I2115">
        <f>_xlfn.XLOOKUP(Grammys[[#This Row],[date]],mobile_visits[date],mobile_visits[mobile_visitors],0)</f>
        <v>19155</v>
      </c>
    </row>
    <row r="2116" spans="1:9">
      <c r="A2116" s="1">
        <v>44850</v>
      </c>
      <c r="B2116">
        <v>19642</v>
      </c>
      <c r="C2116">
        <v>52203</v>
      </c>
      <c r="D2116">
        <v>21007</v>
      </c>
      <c r="E2116">
        <v>8401</v>
      </c>
      <c r="F2116">
        <v>69</v>
      </c>
      <c r="G2116" t="s">
        <v>9</v>
      </c>
      <c r="H2116" t="str" cm="1">
        <f t="array" ref="H2116">_xlfn.IFS(Grammys[[#This Row],[date]] &gt;= DATE(2022,2,1),"Grammys",TRUE,"Grammys TRA")</f>
        <v>Grammys</v>
      </c>
      <c r="I2116">
        <f>_xlfn.XLOOKUP(Grammys[[#This Row],[date]],mobile_visits[date],mobile_visits[mobile_visitors],0)</f>
        <v>14896</v>
      </c>
    </row>
    <row r="2117" spans="1:9">
      <c r="A2117" s="1">
        <v>44851</v>
      </c>
      <c r="B2117">
        <v>21736</v>
      </c>
      <c r="C2117">
        <v>58032</v>
      </c>
      <c r="D2117">
        <v>23358</v>
      </c>
      <c r="E2117">
        <v>9341</v>
      </c>
      <c r="F2117">
        <v>71</v>
      </c>
      <c r="G2117" t="s">
        <v>9</v>
      </c>
      <c r="H2117" t="str" cm="1">
        <f t="array" ref="H2117">_xlfn.IFS(Grammys[[#This Row],[date]] &gt;= DATE(2022,2,1),"Grammys",TRUE,"Grammys TRA")</f>
        <v>Grammys</v>
      </c>
      <c r="I2117">
        <f>_xlfn.XLOOKUP(Grammys[[#This Row],[date]],mobile_visits[date],mobile_visits[mobile_visitors],0)</f>
        <v>15400</v>
      </c>
    </row>
    <row r="2118" spans="1:9">
      <c r="A2118" s="1">
        <v>44852</v>
      </c>
      <c r="B2118">
        <v>20802</v>
      </c>
      <c r="C2118">
        <v>54669</v>
      </c>
      <c r="D2118">
        <v>22518</v>
      </c>
      <c r="E2118">
        <v>9235</v>
      </c>
      <c r="F2118">
        <v>70</v>
      </c>
      <c r="G2118" t="s">
        <v>9</v>
      </c>
      <c r="H2118" t="str" cm="1">
        <f t="array" ref="H2118">_xlfn.IFS(Grammys[[#This Row],[date]] &gt;= DATE(2022,2,1),"Grammys",TRUE,"Grammys TRA")</f>
        <v>Grammys</v>
      </c>
      <c r="I2118">
        <f>_xlfn.XLOOKUP(Grammys[[#This Row],[date]],mobile_visits[date],mobile_visits[mobile_visitors],0)</f>
        <v>14205</v>
      </c>
    </row>
    <row r="2119" spans="1:9">
      <c r="A2119" s="1">
        <v>44853</v>
      </c>
      <c r="B2119">
        <v>20397</v>
      </c>
      <c r="C2119">
        <v>52953</v>
      </c>
      <c r="D2119">
        <v>21993</v>
      </c>
      <c r="E2119">
        <v>9216</v>
      </c>
      <c r="F2119">
        <v>69</v>
      </c>
      <c r="G2119" t="s">
        <v>9</v>
      </c>
      <c r="H2119" t="str" cm="1">
        <f t="array" ref="H2119">_xlfn.IFS(Grammys[[#This Row],[date]] &gt;= DATE(2022,2,1),"Grammys",TRUE,"Grammys TRA")</f>
        <v>Grammys</v>
      </c>
      <c r="I2119">
        <f>_xlfn.XLOOKUP(Grammys[[#This Row],[date]],mobile_visits[date],mobile_visits[mobile_visitors],0)</f>
        <v>13357</v>
      </c>
    </row>
    <row r="2120" spans="1:9">
      <c r="A2120" s="1">
        <v>44854</v>
      </c>
      <c r="B2120">
        <v>19405</v>
      </c>
      <c r="C2120">
        <v>48990</v>
      </c>
      <c r="D2120">
        <v>21035</v>
      </c>
      <c r="E2120">
        <v>9022</v>
      </c>
      <c r="F2120">
        <v>66</v>
      </c>
      <c r="G2120" t="s">
        <v>9</v>
      </c>
      <c r="H2120" t="str" cm="1">
        <f t="array" ref="H2120">_xlfn.IFS(Grammys[[#This Row],[date]] &gt;= DATE(2022,2,1),"Grammys",TRUE,"Grammys TRA")</f>
        <v>Grammys</v>
      </c>
      <c r="I2120">
        <f>_xlfn.XLOOKUP(Grammys[[#This Row],[date]],mobile_visits[date],mobile_visits[mobile_visitors],0)</f>
        <v>12704</v>
      </c>
    </row>
    <row r="2121" spans="1:9">
      <c r="A2121" s="1">
        <v>44855</v>
      </c>
      <c r="B2121">
        <v>19220</v>
      </c>
      <c r="C2121">
        <v>47998</v>
      </c>
      <c r="D2121">
        <v>20769</v>
      </c>
      <c r="E2121">
        <v>9002</v>
      </c>
      <c r="F2121">
        <v>70</v>
      </c>
      <c r="G2121" t="s">
        <v>9</v>
      </c>
      <c r="H2121" t="str" cm="1">
        <f t="array" ref="H2121">_xlfn.IFS(Grammys[[#This Row],[date]] &gt;= DATE(2022,2,1),"Grammys",TRUE,"Grammys TRA")</f>
        <v>Grammys</v>
      </c>
      <c r="I2121">
        <f>_xlfn.XLOOKUP(Grammys[[#This Row],[date]],mobile_visits[date],mobile_visits[mobile_visitors],0)</f>
        <v>13614</v>
      </c>
    </row>
    <row r="2122" spans="1:9">
      <c r="A2122" s="1">
        <v>44856</v>
      </c>
      <c r="B2122">
        <v>18182</v>
      </c>
      <c r="C2122">
        <v>46969</v>
      </c>
      <c r="D2122">
        <v>19635</v>
      </c>
      <c r="E2122">
        <v>8029</v>
      </c>
      <c r="F2122">
        <v>67</v>
      </c>
      <c r="G2122" t="s">
        <v>9</v>
      </c>
      <c r="H2122" t="str" cm="1">
        <f t="array" ref="H2122">_xlfn.IFS(Grammys[[#This Row],[date]] &gt;= DATE(2022,2,1),"Grammys",TRUE,"Grammys TRA")</f>
        <v>Grammys</v>
      </c>
      <c r="I2122">
        <f>_xlfn.XLOOKUP(Grammys[[#This Row],[date]],mobile_visits[date],mobile_visits[mobile_visitors],0)</f>
        <v>14062</v>
      </c>
    </row>
    <row r="2123" spans="1:9">
      <c r="A2123" s="1">
        <v>44857</v>
      </c>
      <c r="B2123">
        <v>20169</v>
      </c>
      <c r="C2123">
        <v>51782</v>
      </c>
      <c r="D2123">
        <v>21602</v>
      </c>
      <c r="E2123">
        <v>8468</v>
      </c>
      <c r="F2123">
        <v>68</v>
      </c>
      <c r="G2123" t="s">
        <v>9</v>
      </c>
      <c r="H2123" t="str" cm="1">
        <f t="array" ref="H2123">_xlfn.IFS(Grammys[[#This Row],[date]] &gt;= DATE(2022,2,1),"Grammys",TRUE,"Grammys TRA")</f>
        <v>Grammys</v>
      </c>
      <c r="I2123">
        <f>_xlfn.XLOOKUP(Grammys[[#This Row],[date]],mobile_visits[date],mobile_visits[mobile_visitors],0)</f>
        <v>15449</v>
      </c>
    </row>
    <row r="2124" spans="1:9">
      <c r="A2124" s="1">
        <v>44858</v>
      </c>
      <c r="B2124">
        <v>19076</v>
      </c>
      <c r="C2124">
        <v>47745</v>
      </c>
      <c r="D2124">
        <v>20753</v>
      </c>
      <c r="E2124">
        <v>9287</v>
      </c>
      <c r="F2124">
        <v>76</v>
      </c>
      <c r="G2124" t="s">
        <v>9</v>
      </c>
      <c r="H2124" t="str" cm="1">
        <f t="array" ref="H2124">_xlfn.IFS(Grammys[[#This Row],[date]] &gt;= DATE(2022,2,1),"Grammys",TRUE,"Grammys TRA")</f>
        <v>Grammys</v>
      </c>
      <c r="I2124">
        <f>_xlfn.XLOOKUP(Grammys[[#This Row],[date]],mobile_visits[date],mobile_visits[mobile_visitors],0)</f>
        <v>12948</v>
      </c>
    </row>
    <row r="2125" spans="1:9">
      <c r="A2125" s="1">
        <v>44859</v>
      </c>
      <c r="B2125">
        <v>20894</v>
      </c>
      <c r="C2125">
        <v>49519</v>
      </c>
      <c r="D2125">
        <v>22565</v>
      </c>
      <c r="E2125">
        <v>10489</v>
      </c>
      <c r="F2125">
        <v>93</v>
      </c>
      <c r="G2125" t="s">
        <v>9</v>
      </c>
      <c r="H2125" t="str" cm="1">
        <f t="array" ref="H2125">_xlfn.IFS(Grammys[[#This Row],[date]] &gt;= DATE(2022,2,1),"Grammys",TRUE,"Grammys TRA")</f>
        <v>Grammys</v>
      </c>
      <c r="I2125">
        <f>_xlfn.XLOOKUP(Grammys[[#This Row],[date]],mobile_visits[date],mobile_visits[mobile_visitors],0)</f>
        <v>13150</v>
      </c>
    </row>
    <row r="2126" spans="1:9">
      <c r="A2126" s="1">
        <v>44860</v>
      </c>
      <c r="B2126">
        <v>19227</v>
      </c>
      <c r="C2126">
        <v>45469</v>
      </c>
      <c r="D2126">
        <v>20934</v>
      </c>
      <c r="E2126">
        <v>9923</v>
      </c>
      <c r="F2126">
        <v>82</v>
      </c>
      <c r="G2126" t="s">
        <v>9</v>
      </c>
      <c r="H2126" t="str" cm="1">
        <f t="array" ref="H2126">_xlfn.IFS(Grammys[[#This Row],[date]] &gt;= DATE(2022,2,1),"Grammys",TRUE,"Grammys TRA")</f>
        <v>Grammys</v>
      </c>
      <c r="I2126">
        <f>_xlfn.XLOOKUP(Grammys[[#This Row],[date]],mobile_visits[date],mobile_visits[mobile_visitors],0)</f>
        <v>12604</v>
      </c>
    </row>
    <row r="2127" spans="1:9">
      <c r="A2127" s="1">
        <v>44861</v>
      </c>
      <c r="B2127">
        <v>19672</v>
      </c>
      <c r="C2127">
        <v>47746</v>
      </c>
      <c r="D2127">
        <v>21298</v>
      </c>
      <c r="E2127">
        <v>9312</v>
      </c>
      <c r="F2127">
        <v>72</v>
      </c>
      <c r="G2127" t="s">
        <v>9</v>
      </c>
      <c r="H2127" t="str" cm="1">
        <f t="array" ref="H2127">_xlfn.IFS(Grammys[[#This Row],[date]] &gt;= DATE(2022,2,1),"Grammys",TRUE,"Grammys TRA")</f>
        <v>Grammys</v>
      </c>
      <c r="I2127">
        <f>_xlfn.XLOOKUP(Grammys[[#This Row],[date]],mobile_visits[date],mobile_visits[mobile_visitors],0)</f>
        <v>13231</v>
      </c>
    </row>
    <row r="2128" spans="1:9">
      <c r="A2128" s="1">
        <v>44862</v>
      </c>
      <c r="B2128">
        <v>16749</v>
      </c>
      <c r="C2128">
        <v>39980</v>
      </c>
      <c r="D2128">
        <v>18189</v>
      </c>
      <c r="E2128">
        <v>8640</v>
      </c>
      <c r="F2128">
        <v>68</v>
      </c>
      <c r="G2128" t="s">
        <v>9</v>
      </c>
      <c r="H2128" t="str" cm="1">
        <f t="array" ref="H2128">_xlfn.IFS(Grammys[[#This Row],[date]] &gt;= DATE(2022,2,1),"Grammys",TRUE,"Grammys TRA")</f>
        <v>Grammys</v>
      </c>
      <c r="I2128">
        <f>_xlfn.XLOOKUP(Grammys[[#This Row],[date]],mobile_visits[date],mobile_visits[mobile_visitors],0)</f>
        <v>11091</v>
      </c>
    </row>
    <row r="2129" spans="1:9">
      <c r="A2129" s="1">
        <v>44863</v>
      </c>
      <c r="B2129">
        <v>13558</v>
      </c>
      <c r="C2129">
        <v>31928</v>
      </c>
      <c r="D2129">
        <v>14589</v>
      </c>
      <c r="E2129">
        <v>7050</v>
      </c>
      <c r="F2129">
        <v>66</v>
      </c>
      <c r="G2129" t="s">
        <v>9</v>
      </c>
      <c r="H2129" t="str" cm="1">
        <f t="array" ref="H2129">_xlfn.IFS(Grammys[[#This Row],[date]] &gt;= DATE(2022,2,1),"Grammys",TRUE,"Grammys TRA")</f>
        <v>Grammys</v>
      </c>
      <c r="I2129">
        <f>_xlfn.XLOOKUP(Grammys[[#This Row],[date]],mobile_visits[date],mobile_visits[mobile_visitors],0)</f>
        <v>10246</v>
      </c>
    </row>
    <row r="2130" spans="1:9">
      <c r="A2130" s="1">
        <v>44864</v>
      </c>
      <c r="B2130">
        <v>13081</v>
      </c>
      <c r="C2130">
        <v>32000</v>
      </c>
      <c r="D2130">
        <v>14191</v>
      </c>
      <c r="E2130">
        <v>6802</v>
      </c>
      <c r="F2130">
        <v>72</v>
      </c>
      <c r="G2130" t="s">
        <v>9</v>
      </c>
      <c r="H2130" t="str" cm="1">
        <f t="array" ref="H2130">_xlfn.IFS(Grammys[[#This Row],[date]] &gt;= DATE(2022,2,1),"Grammys",TRUE,"Grammys TRA")</f>
        <v>Grammys</v>
      </c>
      <c r="I2130">
        <f>_xlfn.XLOOKUP(Grammys[[#This Row],[date]],mobile_visits[date],mobile_visits[mobile_visitors],0)</f>
        <v>9248</v>
      </c>
    </row>
    <row r="2131" spans="1:9">
      <c r="A2131" s="1">
        <v>44865</v>
      </c>
      <c r="B2131">
        <v>13678</v>
      </c>
      <c r="C2131">
        <v>32259</v>
      </c>
      <c r="D2131">
        <v>14757</v>
      </c>
      <c r="E2131">
        <v>7168</v>
      </c>
      <c r="F2131">
        <v>73</v>
      </c>
      <c r="G2131" t="s">
        <v>9</v>
      </c>
      <c r="H2131" t="str" cm="1">
        <f t="array" ref="H2131">_xlfn.IFS(Grammys[[#This Row],[date]] &gt;= DATE(2022,2,1),"Grammys",TRUE,"Grammys TRA")</f>
        <v>Grammys</v>
      </c>
      <c r="I2131">
        <f>_xlfn.XLOOKUP(Grammys[[#This Row],[date]],mobile_visits[date],mobile_visits[mobile_visitors],0)</f>
        <v>8802</v>
      </c>
    </row>
    <row r="2132" spans="1:9">
      <c r="A2132" s="1">
        <v>44866</v>
      </c>
      <c r="B2132">
        <v>18129</v>
      </c>
      <c r="C2132">
        <v>41595</v>
      </c>
      <c r="D2132">
        <v>19512</v>
      </c>
      <c r="E2132">
        <v>9636</v>
      </c>
      <c r="F2132">
        <v>81</v>
      </c>
      <c r="G2132" t="s">
        <v>9</v>
      </c>
      <c r="H2132" t="str" cm="1">
        <f t="array" ref="H2132">_xlfn.IFS(Grammys[[#This Row],[date]] &gt;= DATE(2022,2,1),"Grammys",TRUE,"Grammys TRA")</f>
        <v>Grammys</v>
      </c>
      <c r="I2132">
        <f>_xlfn.XLOOKUP(Grammys[[#This Row],[date]],mobile_visits[date],mobile_visits[mobile_visitors],0)</f>
        <v>11610</v>
      </c>
    </row>
    <row r="2133" spans="1:9">
      <c r="A2133" s="1">
        <v>44867</v>
      </c>
      <c r="B2133">
        <v>19340</v>
      </c>
      <c r="C2133">
        <v>45109</v>
      </c>
      <c r="D2133">
        <v>21319</v>
      </c>
      <c r="E2133">
        <v>10249</v>
      </c>
      <c r="F2133">
        <v>80</v>
      </c>
      <c r="G2133" t="s">
        <v>9</v>
      </c>
      <c r="H2133" t="str" cm="1">
        <f t="array" ref="H2133">_xlfn.IFS(Grammys[[#This Row],[date]] &gt;= DATE(2022,2,1),"Grammys",TRUE,"Grammys TRA")</f>
        <v>Grammys</v>
      </c>
      <c r="I2133">
        <f>_xlfn.XLOOKUP(Grammys[[#This Row],[date]],mobile_visits[date],mobile_visits[mobile_visitors],0)</f>
        <v>12274</v>
      </c>
    </row>
    <row r="2134" spans="1:9">
      <c r="A2134" s="1">
        <v>44868</v>
      </c>
      <c r="B2134">
        <v>17165</v>
      </c>
      <c r="C2134">
        <v>39489</v>
      </c>
      <c r="D2134">
        <v>18677</v>
      </c>
      <c r="E2134">
        <v>8977</v>
      </c>
      <c r="F2134">
        <v>79</v>
      </c>
      <c r="G2134" t="s">
        <v>9</v>
      </c>
      <c r="H2134" t="str" cm="1">
        <f t="array" ref="H2134">_xlfn.IFS(Grammys[[#This Row],[date]] &gt;= DATE(2022,2,1),"Grammys",TRUE,"Grammys TRA")</f>
        <v>Grammys</v>
      </c>
      <c r="I2134">
        <f>_xlfn.XLOOKUP(Grammys[[#This Row],[date]],mobile_visits[date],mobile_visits[mobile_visitors],0)</f>
        <v>10907</v>
      </c>
    </row>
    <row r="2135" spans="1:9">
      <c r="A2135" s="1">
        <v>44869</v>
      </c>
      <c r="B2135">
        <v>21757</v>
      </c>
      <c r="C2135">
        <v>52944</v>
      </c>
      <c r="D2135">
        <v>23428</v>
      </c>
      <c r="E2135">
        <v>10309</v>
      </c>
      <c r="F2135">
        <v>66</v>
      </c>
      <c r="G2135" t="s">
        <v>9</v>
      </c>
      <c r="H2135" t="str" cm="1">
        <f t="array" ref="H2135">_xlfn.IFS(Grammys[[#This Row],[date]] &gt;= DATE(2022,2,1),"Grammys",TRUE,"Grammys TRA")</f>
        <v>Grammys</v>
      </c>
      <c r="I2135">
        <f>_xlfn.XLOOKUP(Grammys[[#This Row],[date]],mobile_visits[date],mobile_visits[mobile_visitors],0)</f>
        <v>15681</v>
      </c>
    </row>
    <row r="2136" spans="1:9">
      <c r="A2136" s="1">
        <v>44870</v>
      </c>
      <c r="B2136">
        <v>20072</v>
      </c>
      <c r="C2136">
        <v>50056</v>
      </c>
      <c r="D2136">
        <v>23072</v>
      </c>
      <c r="E2136">
        <v>10687</v>
      </c>
      <c r="F2136">
        <v>64</v>
      </c>
      <c r="G2136" t="s">
        <v>9</v>
      </c>
      <c r="H2136" t="str" cm="1">
        <f t="array" ref="H2136">_xlfn.IFS(Grammys[[#This Row],[date]] &gt;= DATE(2022,2,1),"Grammys",TRUE,"Grammys TRA")</f>
        <v>Grammys</v>
      </c>
      <c r="I2136">
        <f>_xlfn.XLOOKUP(Grammys[[#This Row],[date]],mobile_visits[date],mobile_visits[mobile_visitors],0)</f>
        <v>16239</v>
      </c>
    </row>
    <row r="2137" spans="1:9">
      <c r="A2137" s="1">
        <v>44871</v>
      </c>
      <c r="B2137">
        <v>16032</v>
      </c>
      <c r="C2137">
        <v>38348</v>
      </c>
      <c r="D2137">
        <v>17602</v>
      </c>
      <c r="E2137">
        <v>8249</v>
      </c>
      <c r="F2137">
        <v>70</v>
      </c>
      <c r="G2137" t="s">
        <v>9</v>
      </c>
      <c r="H2137" t="str" cm="1">
        <f t="array" ref="H2137">_xlfn.IFS(Grammys[[#This Row],[date]] &gt;= DATE(2022,2,1),"Grammys",TRUE,"Grammys TRA")</f>
        <v>Grammys</v>
      </c>
      <c r="I2137">
        <f>_xlfn.XLOOKUP(Grammys[[#This Row],[date]],mobile_visits[date],mobile_visits[mobile_visitors],0)</f>
        <v>11938</v>
      </c>
    </row>
    <row r="2138" spans="1:9">
      <c r="A2138" s="1">
        <v>44872</v>
      </c>
      <c r="B2138">
        <v>16675</v>
      </c>
      <c r="C2138">
        <v>40010</v>
      </c>
      <c r="D2138">
        <v>18389</v>
      </c>
      <c r="E2138">
        <v>8846</v>
      </c>
      <c r="F2138">
        <v>72</v>
      </c>
      <c r="G2138" t="s">
        <v>9</v>
      </c>
      <c r="H2138" t="str" cm="1">
        <f t="array" ref="H2138">_xlfn.IFS(Grammys[[#This Row],[date]] &gt;= DATE(2022,2,1),"Grammys",TRUE,"Grammys TRA")</f>
        <v>Grammys</v>
      </c>
      <c r="I2138">
        <f>_xlfn.XLOOKUP(Grammys[[#This Row],[date]],mobile_visits[date],mobile_visits[mobile_visitors],0)</f>
        <v>9322</v>
      </c>
    </row>
    <row r="2139" spans="1:9">
      <c r="A2139" s="1">
        <v>44873</v>
      </c>
      <c r="B2139">
        <v>17985</v>
      </c>
      <c r="C2139">
        <v>42529</v>
      </c>
      <c r="D2139">
        <v>19516</v>
      </c>
      <c r="E2139">
        <v>9280</v>
      </c>
      <c r="F2139">
        <v>75</v>
      </c>
      <c r="G2139" t="s">
        <v>9</v>
      </c>
      <c r="H2139" t="str" cm="1">
        <f t="array" ref="H2139">_xlfn.IFS(Grammys[[#This Row],[date]] &gt;= DATE(2022,2,1),"Grammys",TRUE,"Grammys TRA")</f>
        <v>Grammys</v>
      </c>
      <c r="I2139">
        <f>_xlfn.XLOOKUP(Grammys[[#This Row],[date]],mobile_visits[date],mobile_visits[mobile_visitors],0)</f>
        <v>11597</v>
      </c>
    </row>
    <row r="2140" spans="1:9">
      <c r="A2140" s="1">
        <v>44874</v>
      </c>
      <c r="B2140">
        <v>19475</v>
      </c>
      <c r="C2140">
        <v>45165</v>
      </c>
      <c r="D2140">
        <v>20916</v>
      </c>
      <c r="E2140">
        <v>9733</v>
      </c>
      <c r="F2140">
        <v>78</v>
      </c>
      <c r="G2140" t="s">
        <v>9</v>
      </c>
      <c r="H2140" t="str" cm="1">
        <f t="array" ref="H2140">_xlfn.IFS(Grammys[[#This Row],[date]] &gt;= DATE(2022,2,1),"Grammys",TRUE,"Grammys TRA")</f>
        <v>Grammys</v>
      </c>
      <c r="I2140">
        <f>_xlfn.XLOOKUP(Grammys[[#This Row],[date]],mobile_visits[date],mobile_visits[mobile_visitors],0)</f>
        <v>12722</v>
      </c>
    </row>
    <row r="2141" spans="1:9">
      <c r="A2141" s="1">
        <v>44875</v>
      </c>
      <c r="B2141">
        <v>21297</v>
      </c>
      <c r="C2141">
        <v>50822</v>
      </c>
      <c r="D2141">
        <v>23677</v>
      </c>
      <c r="E2141">
        <v>11889</v>
      </c>
      <c r="F2141">
        <v>65</v>
      </c>
      <c r="G2141" t="s">
        <v>9</v>
      </c>
      <c r="H2141" t="str" cm="1">
        <f t="array" ref="H2141">_xlfn.IFS(Grammys[[#This Row],[date]] &gt;= DATE(2022,2,1),"Grammys",TRUE,"Grammys TRA")</f>
        <v>Grammys</v>
      </c>
      <c r="I2141">
        <f>_xlfn.XLOOKUP(Grammys[[#This Row],[date]],mobile_visits[date],mobile_visits[mobile_visitors],0)</f>
        <v>15013</v>
      </c>
    </row>
    <row r="2142" spans="1:9">
      <c r="A2142" s="1">
        <v>44876</v>
      </c>
      <c r="B2142">
        <v>18887</v>
      </c>
      <c r="C2142">
        <v>44808</v>
      </c>
      <c r="D2142">
        <v>20603</v>
      </c>
      <c r="E2142">
        <v>10244</v>
      </c>
      <c r="F2142">
        <v>69</v>
      </c>
      <c r="G2142" t="s">
        <v>9</v>
      </c>
      <c r="H2142" t="str" cm="1">
        <f t="array" ref="H2142">_xlfn.IFS(Grammys[[#This Row],[date]] &gt;= DATE(2022,2,1),"Grammys",TRUE,"Grammys TRA")</f>
        <v>Grammys</v>
      </c>
      <c r="I2142">
        <f>_xlfn.XLOOKUP(Grammys[[#This Row],[date]],mobile_visits[date],mobile_visits[mobile_visitors],0)</f>
        <v>13750</v>
      </c>
    </row>
    <row r="2143" spans="1:9">
      <c r="A2143" s="1">
        <v>44877</v>
      </c>
      <c r="B2143">
        <v>17205</v>
      </c>
      <c r="C2143">
        <v>42447</v>
      </c>
      <c r="D2143">
        <v>18749</v>
      </c>
      <c r="E2143">
        <v>8139</v>
      </c>
      <c r="F2143">
        <v>67</v>
      </c>
      <c r="G2143" t="s">
        <v>9</v>
      </c>
      <c r="H2143" t="str" cm="1">
        <f t="array" ref="H2143">_xlfn.IFS(Grammys[[#This Row],[date]] &gt;= DATE(2022,2,1),"Grammys",TRUE,"Grammys TRA")</f>
        <v>Grammys</v>
      </c>
      <c r="I2143">
        <f>_xlfn.XLOOKUP(Grammys[[#This Row],[date]],mobile_visits[date],mobile_visits[mobile_visitors],0)</f>
        <v>13294</v>
      </c>
    </row>
    <row r="2144" spans="1:9">
      <c r="A2144" s="1">
        <v>44878</v>
      </c>
      <c r="B2144">
        <v>18219</v>
      </c>
      <c r="C2144">
        <v>45859</v>
      </c>
      <c r="D2144">
        <v>20029</v>
      </c>
      <c r="E2144">
        <v>9056</v>
      </c>
      <c r="F2144">
        <v>71</v>
      </c>
      <c r="G2144" t="s">
        <v>9</v>
      </c>
      <c r="H2144" t="str" cm="1">
        <f t="array" ref="H2144">_xlfn.IFS(Grammys[[#This Row],[date]] &gt;= DATE(2022,2,1),"Grammys",TRUE,"Grammys TRA")</f>
        <v>Grammys</v>
      </c>
      <c r="I2144">
        <f>_xlfn.XLOOKUP(Grammys[[#This Row],[date]],mobile_visits[date],mobile_visits[mobile_visitors],0)</f>
        <v>12952</v>
      </c>
    </row>
    <row r="2145" spans="1:9">
      <c r="A2145" s="1">
        <v>44879</v>
      </c>
      <c r="B2145">
        <v>31150</v>
      </c>
      <c r="C2145">
        <v>76192</v>
      </c>
      <c r="D2145">
        <v>35100</v>
      </c>
      <c r="E2145">
        <v>17593</v>
      </c>
      <c r="F2145">
        <v>69</v>
      </c>
      <c r="G2145" t="s">
        <v>9</v>
      </c>
      <c r="H2145" t="str" cm="1">
        <f t="array" ref="H2145">_xlfn.IFS(Grammys[[#This Row],[date]] &gt;= DATE(2022,2,1),"Grammys",TRUE,"Grammys TRA")</f>
        <v>Grammys</v>
      </c>
      <c r="I2145">
        <f>_xlfn.XLOOKUP(Grammys[[#This Row],[date]],mobile_visits[date],mobile_visits[mobile_visitors],0)</f>
        <v>21007</v>
      </c>
    </row>
    <row r="2146" spans="1:9">
      <c r="A2146" s="1">
        <v>44880</v>
      </c>
      <c r="B2146">
        <v>700437</v>
      </c>
      <c r="C2146">
        <v>2214758</v>
      </c>
      <c r="D2146">
        <v>839192</v>
      </c>
      <c r="E2146">
        <v>321411</v>
      </c>
      <c r="F2146">
        <v>94</v>
      </c>
      <c r="G2146" t="s">
        <v>10</v>
      </c>
      <c r="H2146" t="str" cm="1">
        <f t="array" ref="H2146">_xlfn.IFS(Grammys[[#This Row],[date]] &gt;= DATE(2022,2,1),"Grammys",TRUE,"Grammys TRA")</f>
        <v>Grammys</v>
      </c>
      <c r="I2146">
        <f>_xlfn.XLOOKUP(Grammys[[#This Row],[date]],mobile_visits[date],mobile_visits[mobile_visitors],0)</f>
        <v>550739</v>
      </c>
    </row>
    <row r="2147" spans="1:9">
      <c r="A2147" s="1">
        <v>44881</v>
      </c>
      <c r="B2147">
        <v>306464</v>
      </c>
      <c r="C2147">
        <v>953774</v>
      </c>
      <c r="D2147">
        <v>358561</v>
      </c>
      <c r="E2147">
        <v>141632</v>
      </c>
      <c r="F2147">
        <v>79</v>
      </c>
      <c r="G2147" t="s">
        <v>9</v>
      </c>
      <c r="H2147" t="str" cm="1">
        <f t="array" ref="H2147">_xlfn.IFS(Grammys[[#This Row],[date]] &gt;= DATE(2022,2,1),"Grammys",TRUE,"Grammys TRA")</f>
        <v>Grammys</v>
      </c>
      <c r="I2147">
        <f>_xlfn.XLOOKUP(Grammys[[#This Row],[date]],mobile_visits[date],mobile_visits[mobile_visitors],0)</f>
        <v>228369</v>
      </c>
    </row>
    <row r="2148" spans="1:9">
      <c r="A2148" s="1">
        <v>44882</v>
      </c>
      <c r="B2148">
        <v>187301</v>
      </c>
      <c r="C2148">
        <v>600706</v>
      </c>
      <c r="D2148">
        <v>227982</v>
      </c>
      <c r="E2148">
        <v>92789</v>
      </c>
      <c r="F2148">
        <v>72</v>
      </c>
      <c r="G2148" t="s">
        <v>9</v>
      </c>
      <c r="H2148" t="str" cm="1">
        <f t="array" ref="H2148">_xlfn.IFS(Grammys[[#This Row],[date]] &gt;= DATE(2022,2,1),"Grammys",TRUE,"Grammys TRA")</f>
        <v>Grammys</v>
      </c>
      <c r="I2148">
        <f>_xlfn.XLOOKUP(Grammys[[#This Row],[date]],mobile_visits[date],mobile_visits[mobile_visitors],0)</f>
        <v>147980</v>
      </c>
    </row>
    <row r="2149" spans="1:9">
      <c r="A2149" s="1">
        <v>44883</v>
      </c>
      <c r="B2149">
        <v>147950</v>
      </c>
      <c r="C2149">
        <v>493115</v>
      </c>
      <c r="D2149">
        <v>194205</v>
      </c>
      <c r="E2149">
        <v>82926</v>
      </c>
      <c r="F2149">
        <v>60</v>
      </c>
      <c r="G2149" t="s">
        <v>9</v>
      </c>
      <c r="H2149" t="str" cm="1">
        <f t="array" ref="H2149">_xlfn.IFS(Grammys[[#This Row],[date]] &gt;= DATE(2022,2,1),"Grammys",TRUE,"Grammys TRA")</f>
        <v>Grammys</v>
      </c>
      <c r="I2149">
        <f>_xlfn.XLOOKUP(Grammys[[#This Row],[date]],mobile_visits[date],mobile_visits[mobile_visitors],0)</f>
        <v>119867</v>
      </c>
    </row>
    <row r="2150" spans="1:9">
      <c r="A2150" s="1">
        <v>44884</v>
      </c>
      <c r="B2150">
        <v>82284</v>
      </c>
      <c r="C2150">
        <v>254046</v>
      </c>
      <c r="D2150">
        <v>92482</v>
      </c>
      <c r="E2150">
        <v>35199</v>
      </c>
      <c r="F2150">
        <v>76</v>
      </c>
      <c r="G2150" t="s">
        <v>9</v>
      </c>
      <c r="H2150" t="str" cm="1">
        <f t="array" ref="H2150">_xlfn.IFS(Grammys[[#This Row],[date]] &gt;= DATE(2022,2,1),"Grammys",TRUE,"Grammys TRA")</f>
        <v>Grammys</v>
      </c>
      <c r="I2150">
        <f>_xlfn.XLOOKUP(Grammys[[#This Row],[date]],mobile_visits[date],mobile_visits[mobile_visitors],0)</f>
        <v>69168</v>
      </c>
    </row>
    <row r="2151" spans="1:9">
      <c r="A2151" s="1">
        <v>44885</v>
      </c>
      <c r="B2151">
        <v>68258</v>
      </c>
      <c r="C2151">
        <v>207070</v>
      </c>
      <c r="D2151">
        <v>76226</v>
      </c>
      <c r="E2151">
        <v>29622</v>
      </c>
      <c r="F2151">
        <v>78</v>
      </c>
      <c r="G2151" t="s">
        <v>9</v>
      </c>
      <c r="H2151" t="str" cm="1">
        <f t="array" ref="H2151">_xlfn.IFS(Grammys[[#This Row],[date]] &gt;= DATE(2022,2,1),"Grammys",TRUE,"Grammys TRA")</f>
        <v>Grammys</v>
      </c>
      <c r="I2151">
        <f>_xlfn.XLOOKUP(Grammys[[#This Row],[date]],mobile_visits[date],mobile_visits[mobile_visitors],0)</f>
        <v>55455</v>
      </c>
    </row>
    <row r="2152" spans="1:9">
      <c r="A2152" s="1">
        <v>44886</v>
      </c>
      <c r="B2152">
        <v>56746</v>
      </c>
      <c r="C2152">
        <v>168846</v>
      </c>
      <c r="D2152">
        <v>63466</v>
      </c>
      <c r="E2152">
        <v>25717</v>
      </c>
      <c r="F2152">
        <v>77</v>
      </c>
      <c r="G2152" t="s">
        <v>9</v>
      </c>
      <c r="H2152" t="str" cm="1">
        <f t="array" ref="H2152">_xlfn.IFS(Grammys[[#This Row],[date]] &gt;= DATE(2022,2,1),"Grammys",TRUE,"Grammys TRA")</f>
        <v>Grammys</v>
      </c>
      <c r="I2152">
        <f>_xlfn.XLOOKUP(Grammys[[#This Row],[date]],mobile_visits[date],mobile_visits[mobile_visitors],0)</f>
        <v>40944</v>
      </c>
    </row>
    <row r="2153" spans="1:9">
      <c r="A2153" s="1">
        <v>44887</v>
      </c>
      <c r="B2153">
        <v>40264</v>
      </c>
      <c r="C2153">
        <v>117676</v>
      </c>
      <c r="D2153">
        <v>45073</v>
      </c>
      <c r="E2153">
        <v>18575</v>
      </c>
      <c r="F2153">
        <v>79</v>
      </c>
      <c r="G2153" t="s">
        <v>9</v>
      </c>
      <c r="H2153" t="str" cm="1">
        <f t="array" ref="H2153">_xlfn.IFS(Grammys[[#This Row],[date]] &gt;= DATE(2022,2,1),"Grammys",TRUE,"Grammys TRA")</f>
        <v>Grammys</v>
      </c>
      <c r="I2153">
        <f>_xlfn.XLOOKUP(Grammys[[#This Row],[date]],mobile_visits[date],mobile_visits[mobile_visitors],0)</f>
        <v>28165</v>
      </c>
    </row>
    <row r="2154" spans="1:9">
      <c r="A2154" s="1">
        <v>44888</v>
      </c>
      <c r="B2154">
        <v>31859</v>
      </c>
      <c r="C2154">
        <v>91795</v>
      </c>
      <c r="D2154">
        <v>35263</v>
      </c>
      <c r="E2154">
        <v>14398</v>
      </c>
      <c r="F2154">
        <v>78</v>
      </c>
      <c r="G2154" t="s">
        <v>9</v>
      </c>
      <c r="H2154" t="str" cm="1">
        <f t="array" ref="H2154">_xlfn.IFS(Grammys[[#This Row],[date]] &gt;= DATE(2022,2,1),"Grammys",TRUE,"Grammys TRA")</f>
        <v>Grammys</v>
      </c>
      <c r="I2154">
        <f>_xlfn.XLOOKUP(Grammys[[#This Row],[date]],mobile_visits[date],mobile_visits[mobile_visitors],0)</f>
        <v>23489</v>
      </c>
    </row>
    <row r="2155" spans="1:9">
      <c r="A2155" s="1">
        <v>44889</v>
      </c>
      <c r="B2155">
        <v>27771</v>
      </c>
      <c r="C2155">
        <v>80112</v>
      </c>
      <c r="D2155">
        <v>30741</v>
      </c>
      <c r="E2155">
        <v>12383</v>
      </c>
      <c r="F2155">
        <v>72</v>
      </c>
      <c r="G2155" t="s">
        <v>9</v>
      </c>
      <c r="H2155" t="str" cm="1">
        <f t="array" ref="H2155">_xlfn.IFS(Grammys[[#This Row],[date]] &gt;= DATE(2022,2,1),"Grammys",TRUE,"Grammys TRA")</f>
        <v>Grammys</v>
      </c>
      <c r="I2155">
        <f>_xlfn.XLOOKUP(Grammys[[#This Row],[date]],mobile_visits[date],mobile_visits[mobile_visitors],0)</f>
        <v>22061</v>
      </c>
    </row>
    <row r="2156" spans="1:9">
      <c r="A2156" s="1">
        <v>44890</v>
      </c>
      <c r="B2156">
        <v>24089</v>
      </c>
      <c r="C2156">
        <v>66840</v>
      </c>
      <c r="D2156">
        <v>26478</v>
      </c>
      <c r="E2156">
        <v>11235</v>
      </c>
      <c r="F2156">
        <v>75</v>
      </c>
      <c r="G2156" t="s">
        <v>9</v>
      </c>
      <c r="H2156" t="str" cm="1">
        <f t="array" ref="H2156">_xlfn.IFS(Grammys[[#This Row],[date]] &gt;= DATE(2022,2,1),"Grammys",TRUE,"Grammys TRA")</f>
        <v>Grammys</v>
      </c>
      <c r="I2156">
        <f>_xlfn.XLOOKUP(Grammys[[#This Row],[date]],mobile_visits[date],mobile_visits[mobile_visitors],0)</f>
        <v>18639</v>
      </c>
    </row>
    <row r="2157" spans="1:9">
      <c r="A2157" s="1">
        <v>44891</v>
      </c>
      <c r="B2157">
        <v>23458</v>
      </c>
      <c r="C2157">
        <v>65996</v>
      </c>
      <c r="D2157">
        <v>25831</v>
      </c>
      <c r="E2157">
        <v>10609</v>
      </c>
      <c r="F2157">
        <v>79</v>
      </c>
      <c r="G2157" t="s">
        <v>9</v>
      </c>
      <c r="H2157" t="str" cm="1">
        <f t="array" ref="H2157">_xlfn.IFS(Grammys[[#This Row],[date]] &gt;= DATE(2022,2,1),"Grammys",TRUE,"Grammys TRA")</f>
        <v>Grammys</v>
      </c>
      <c r="I2157">
        <f>_xlfn.XLOOKUP(Grammys[[#This Row],[date]],mobile_visits[date],mobile_visits[mobile_visitors],0)</f>
        <v>17591</v>
      </c>
    </row>
    <row r="2158" spans="1:9">
      <c r="A2158" s="1">
        <v>44892</v>
      </c>
      <c r="B2158">
        <v>23161</v>
      </c>
      <c r="C2158">
        <v>64245</v>
      </c>
      <c r="D2158">
        <v>25493</v>
      </c>
      <c r="E2158">
        <v>10848</v>
      </c>
      <c r="F2158">
        <v>79</v>
      </c>
      <c r="G2158" t="s">
        <v>9</v>
      </c>
      <c r="H2158" t="str" cm="1">
        <f t="array" ref="H2158">_xlfn.IFS(Grammys[[#This Row],[date]] &gt;= DATE(2022,2,1),"Grammys",TRUE,"Grammys TRA")</f>
        <v>Grammys</v>
      </c>
      <c r="I2158">
        <f>_xlfn.XLOOKUP(Grammys[[#This Row],[date]],mobile_visits[date],mobile_visits[mobile_visitors],0)</f>
        <v>16694</v>
      </c>
    </row>
    <row r="2159" spans="1:9">
      <c r="A2159" s="1">
        <v>44893</v>
      </c>
      <c r="B2159">
        <v>22893</v>
      </c>
      <c r="C2159">
        <v>60742</v>
      </c>
      <c r="D2159">
        <v>25098</v>
      </c>
      <c r="E2159">
        <v>11192</v>
      </c>
      <c r="F2159">
        <v>80</v>
      </c>
      <c r="G2159" t="s">
        <v>9</v>
      </c>
      <c r="H2159" t="str" cm="1">
        <f t="array" ref="H2159">_xlfn.IFS(Grammys[[#This Row],[date]] &gt;= DATE(2022,2,1),"Grammys",TRUE,"Grammys TRA")</f>
        <v>Grammys</v>
      </c>
      <c r="I2159">
        <f>_xlfn.XLOOKUP(Grammys[[#This Row],[date]],mobile_visits[date],mobile_visits[mobile_visitors],0)</f>
        <v>13610</v>
      </c>
    </row>
    <row r="2160" spans="1:9">
      <c r="A2160" s="1">
        <v>44894</v>
      </c>
      <c r="B2160">
        <v>21623</v>
      </c>
      <c r="C2160">
        <v>58374</v>
      </c>
      <c r="D2160">
        <v>24012</v>
      </c>
      <c r="E2160">
        <v>10808</v>
      </c>
      <c r="F2160">
        <v>81</v>
      </c>
      <c r="G2160" t="s">
        <v>9</v>
      </c>
      <c r="H2160" t="str" cm="1">
        <f t="array" ref="H2160">_xlfn.IFS(Grammys[[#This Row],[date]] &gt;= DATE(2022,2,1),"Grammys",TRUE,"Grammys TRA")</f>
        <v>Grammys</v>
      </c>
      <c r="I2160">
        <f>_xlfn.XLOOKUP(Grammys[[#This Row],[date]],mobile_visits[date],mobile_visits[mobile_visitors],0)</f>
        <v>12966</v>
      </c>
    </row>
    <row r="2161" spans="1:9">
      <c r="A2161" s="1">
        <v>44895</v>
      </c>
      <c r="B2161">
        <v>24260</v>
      </c>
      <c r="C2161">
        <v>63867</v>
      </c>
      <c r="D2161">
        <v>26135</v>
      </c>
      <c r="E2161">
        <v>11398</v>
      </c>
      <c r="F2161">
        <v>75</v>
      </c>
      <c r="G2161" t="s">
        <v>9</v>
      </c>
      <c r="H2161" t="str" cm="1">
        <f t="array" ref="H2161">_xlfn.IFS(Grammys[[#This Row],[date]] &gt;= DATE(2022,2,1),"Grammys",TRUE,"Grammys TRA")</f>
        <v>Grammys</v>
      </c>
      <c r="I2161">
        <f>_xlfn.XLOOKUP(Grammys[[#This Row],[date]],mobile_visits[date],mobile_visits[mobile_visitors],0)</f>
        <v>15082</v>
      </c>
    </row>
    <row r="2162" spans="1:9">
      <c r="A2162" s="1">
        <v>44896</v>
      </c>
      <c r="B2162">
        <v>22518</v>
      </c>
      <c r="C2162">
        <v>59598</v>
      </c>
      <c r="D2162">
        <v>24790</v>
      </c>
      <c r="E2162">
        <v>10816</v>
      </c>
      <c r="F2162">
        <v>76</v>
      </c>
      <c r="G2162" t="s">
        <v>9</v>
      </c>
      <c r="H2162" t="str" cm="1">
        <f t="array" ref="H2162">_xlfn.IFS(Grammys[[#This Row],[date]] &gt;= DATE(2022,2,1),"Grammys",TRUE,"Grammys TRA")</f>
        <v>Grammys</v>
      </c>
      <c r="I2162">
        <f>_xlfn.XLOOKUP(Grammys[[#This Row],[date]],mobile_visits[date],mobile_visits[mobile_visitors],0)</f>
        <v>14070</v>
      </c>
    </row>
    <row r="2163" spans="1:9">
      <c r="A2163" s="1">
        <v>44897</v>
      </c>
      <c r="B2163">
        <v>23940</v>
      </c>
      <c r="C2163">
        <v>61174</v>
      </c>
      <c r="D2163">
        <v>25971</v>
      </c>
      <c r="E2163">
        <v>11739</v>
      </c>
      <c r="F2163">
        <v>84</v>
      </c>
      <c r="G2163" t="s">
        <v>9</v>
      </c>
      <c r="H2163" t="str" cm="1">
        <f t="array" ref="H2163">_xlfn.IFS(Grammys[[#This Row],[date]] &gt;= DATE(2022,2,1),"Grammys",TRUE,"Grammys TRA")</f>
        <v>Grammys</v>
      </c>
      <c r="I2163">
        <f>_xlfn.XLOOKUP(Grammys[[#This Row],[date]],mobile_visits[date],mobile_visits[mobile_visitors],0)</f>
        <v>16404</v>
      </c>
    </row>
    <row r="2164" spans="1:9">
      <c r="A2164" s="1">
        <v>44898</v>
      </c>
      <c r="B2164">
        <v>21070</v>
      </c>
      <c r="C2164">
        <v>55246</v>
      </c>
      <c r="D2164">
        <v>22859</v>
      </c>
      <c r="E2164">
        <v>9933</v>
      </c>
      <c r="F2164">
        <v>78</v>
      </c>
      <c r="G2164" t="s">
        <v>9</v>
      </c>
      <c r="H2164" t="str" cm="1">
        <f t="array" ref="H2164">_xlfn.IFS(Grammys[[#This Row],[date]] &gt;= DATE(2022,2,1),"Grammys",TRUE,"Grammys TRA")</f>
        <v>Grammys</v>
      </c>
      <c r="I2164">
        <f>_xlfn.XLOOKUP(Grammys[[#This Row],[date]],mobile_visits[date],mobile_visits[mobile_visitors],0)</f>
        <v>15255</v>
      </c>
    </row>
    <row r="2165" spans="1:9">
      <c r="A2165" s="1">
        <v>44899</v>
      </c>
      <c r="B2165">
        <v>21313</v>
      </c>
      <c r="C2165">
        <v>55274</v>
      </c>
      <c r="D2165">
        <v>24063</v>
      </c>
      <c r="E2165">
        <v>11183</v>
      </c>
      <c r="F2165">
        <v>68</v>
      </c>
      <c r="G2165" t="s">
        <v>9</v>
      </c>
      <c r="H2165" t="str" cm="1">
        <f t="array" ref="H2165">_xlfn.IFS(Grammys[[#This Row],[date]] &gt;= DATE(2022,2,1),"Grammys",TRUE,"Grammys TRA")</f>
        <v>Grammys</v>
      </c>
      <c r="I2165">
        <f>_xlfn.XLOOKUP(Grammys[[#This Row],[date]],mobile_visits[date],mobile_visits[mobile_visitors],0)</f>
        <v>14872</v>
      </c>
    </row>
    <row r="2166" spans="1:9">
      <c r="A2166" s="1">
        <v>44900</v>
      </c>
      <c r="B2166">
        <v>23651</v>
      </c>
      <c r="C2166">
        <v>60209</v>
      </c>
      <c r="D2166">
        <v>27268</v>
      </c>
      <c r="E2166">
        <v>13765</v>
      </c>
      <c r="F2166">
        <v>68</v>
      </c>
      <c r="G2166" t="s">
        <v>9</v>
      </c>
      <c r="H2166" t="str" cm="1">
        <f t="array" ref="H2166">_xlfn.IFS(Grammys[[#This Row],[date]] &gt;= DATE(2022,2,1),"Grammys",TRUE,"Grammys TRA")</f>
        <v>Grammys</v>
      </c>
      <c r="I2166">
        <f>_xlfn.XLOOKUP(Grammys[[#This Row],[date]],mobile_visits[date],mobile_visits[mobile_visitors],0)</f>
        <v>15098</v>
      </c>
    </row>
    <row r="2167" spans="1:9">
      <c r="A2167" s="1">
        <v>44901</v>
      </c>
      <c r="B2167">
        <v>22911</v>
      </c>
      <c r="C2167">
        <v>57761</v>
      </c>
      <c r="D2167">
        <v>25908</v>
      </c>
      <c r="E2167">
        <v>12776</v>
      </c>
      <c r="F2167">
        <v>66</v>
      </c>
      <c r="G2167" t="s">
        <v>9</v>
      </c>
      <c r="H2167" t="str" cm="1">
        <f t="array" ref="H2167">_xlfn.IFS(Grammys[[#This Row],[date]] &gt;= DATE(2022,2,1),"Grammys",TRUE,"Grammys TRA")</f>
        <v>Grammys</v>
      </c>
      <c r="I2167">
        <f>_xlfn.XLOOKUP(Grammys[[#This Row],[date]],mobile_visits[date],mobile_visits[mobile_visitors],0)</f>
        <v>14280</v>
      </c>
    </row>
    <row r="2168" spans="1:9">
      <c r="A2168" s="1">
        <v>44902</v>
      </c>
      <c r="B2168">
        <v>21158</v>
      </c>
      <c r="C2168">
        <v>57154</v>
      </c>
      <c r="D2168">
        <v>23852</v>
      </c>
      <c r="E2168">
        <v>9579</v>
      </c>
      <c r="F2168">
        <v>72</v>
      </c>
      <c r="G2168" t="s">
        <v>9</v>
      </c>
      <c r="H2168" t="str" cm="1">
        <f t="array" ref="H2168">_xlfn.IFS(Grammys[[#This Row],[date]] &gt;= DATE(2022,2,1),"Grammys",TRUE,"Grammys TRA")</f>
        <v>Grammys</v>
      </c>
      <c r="I2168">
        <f>_xlfn.XLOOKUP(Grammys[[#This Row],[date]],mobile_visits[date],mobile_visits[mobile_visitors],0)</f>
        <v>12162</v>
      </c>
    </row>
    <row r="2169" spans="1:9">
      <c r="A2169" s="1">
        <v>44903</v>
      </c>
      <c r="B2169">
        <v>21222</v>
      </c>
      <c r="C2169">
        <v>57811</v>
      </c>
      <c r="D2169">
        <v>23215</v>
      </c>
      <c r="E2169">
        <v>8760</v>
      </c>
      <c r="F2169">
        <v>72</v>
      </c>
      <c r="G2169" t="s">
        <v>9</v>
      </c>
      <c r="H2169" t="str" cm="1">
        <f t="array" ref="H2169">_xlfn.IFS(Grammys[[#This Row],[date]] &gt;= DATE(2022,2,1),"Grammys",TRUE,"Grammys TRA")</f>
        <v>Grammys</v>
      </c>
      <c r="I2169">
        <f>_xlfn.XLOOKUP(Grammys[[#This Row],[date]],mobile_visits[date],mobile_visits[mobile_visitors],0)</f>
        <v>13295</v>
      </c>
    </row>
    <row r="2170" spans="1:9">
      <c r="A2170" s="1">
        <v>44904</v>
      </c>
      <c r="B2170">
        <v>19116</v>
      </c>
      <c r="C2170">
        <v>49007</v>
      </c>
      <c r="D2170">
        <v>20968</v>
      </c>
      <c r="E2170">
        <v>8956</v>
      </c>
      <c r="F2170">
        <v>72</v>
      </c>
      <c r="G2170" t="s">
        <v>9</v>
      </c>
      <c r="H2170" t="str" cm="1">
        <f t="array" ref="H2170">_xlfn.IFS(Grammys[[#This Row],[date]] &gt;= DATE(2022,2,1),"Grammys",TRUE,"Grammys TRA")</f>
        <v>Grammys</v>
      </c>
      <c r="I2170">
        <f>_xlfn.XLOOKUP(Grammys[[#This Row],[date]],mobile_visits[date],mobile_visits[mobile_visitors],0)</f>
        <v>13171</v>
      </c>
    </row>
    <row r="2171" spans="1:9">
      <c r="A2171" s="1">
        <v>44905</v>
      </c>
      <c r="B2171">
        <v>18114</v>
      </c>
      <c r="C2171">
        <v>46423</v>
      </c>
      <c r="D2171">
        <v>19557</v>
      </c>
      <c r="E2171">
        <v>8703</v>
      </c>
      <c r="F2171">
        <v>79</v>
      </c>
      <c r="G2171" t="s">
        <v>9</v>
      </c>
      <c r="H2171" t="str" cm="1">
        <f t="array" ref="H2171">_xlfn.IFS(Grammys[[#This Row],[date]] &gt;= DATE(2022,2,1),"Grammys",TRUE,"Grammys TRA")</f>
        <v>Grammys</v>
      </c>
      <c r="I2171">
        <f>_xlfn.XLOOKUP(Grammys[[#This Row],[date]],mobile_visits[date],mobile_visits[mobile_visitors],0)</f>
        <v>13681</v>
      </c>
    </row>
    <row r="2172" spans="1:9">
      <c r="A2172" s="1">
        <v>44906</v>
      </c>
      <c r="B2172">
        <v>17517</v>
      </c>
      <c r="C2172">
        <v>44295</v>
      </c>
      <c r="D2172">
        <v>19239</v>
      </c>
      <c r="E2172">
        <v>8802</v>
      </c>
      <c r="F2172">
        <v>73</v>
      </c>
      <c r="G2172" t="s">
        <v>9</v>
      </c>
      <c r="H2172" t="str" cm="1">
        <f t="array" ref="H2172">_xlfn.IFS(Grammys[[#This Row],[date]] &gt;= DATE(2022,2,1),"Grammys",TRUE,"Grammys TRA")</f>
        <v>Grammys</v>
      </c>
      <c r="I2172">
        <f>_xlfn.XLOOKUP(Grammys[[#This Row],[date]],mobile_visits[date],mobile_visits[mobile_visitors],0)</f>
        <v>12380</v>
      </c>
    </row>
    <row r="2173" spans="1:9">
      <c r="A2173" s="1">
        <v>44907</v>
      </c>
      <c r="B2173">
        <v>19425</v>
      </c>
      <c r="C2173">
        <v>48112</v>
      </c>
      <c r="D2173">
        <v>21505</v>
      </c>
      <c r="E2173">
        <v>9972</v>
      </c>
      <c r="F2173">
        <v>76</v>
      </c>
      <c r="G2173" t="s">
        <v>9</v>
      </c>
      <c r="H2173" t="str" cm="1">
        <f t="array" ref="H2173">_xlfn.IFS(Grammys[[#This Row],[date]] &gt;= DATE(2022,2,1),"Grammys",TRUE,"Grammys TRA")</f>
        <v>Grammys</v>
      </c>
      <c r="I2173">
        <f>_xlfn.XLOOKUP(Grammys[[#This Row],[date]],mobile_visits[date],mobile_visits[mobile_visitors],0)</f>
        <v>12124</v>
      </c>
    </row>
    <row r="2174" spans="1:9">
      <c r="A2174" s="1">
        <v>44908</v>
      </c>
      <c r="B2174">
        <v>19116</v>
      </c>
      <c r="C2174">
        <v>46308</v>
      </c>
      <c r="D2174">
        <v>20622</v>
      </c>
      <c r="E2174">
        <v>9507</v>
      </c>
      <c r="F2174">
        <v>78</v>
      </c>
      <c r="G2174" t="s">
        <v>9</v>
      </c>
      <c r="H2174" t="str" cm="1">
        <f t="array" ref="H2174">_xlfn.IFS(Grammys[[#This Row],[date]] &gt;= DATE(2022,2,1),"Grammys",TRUE,"Grammys TRA")</f>
        <v>Grammys</v>
      </c>
      <c r="I2174">
        <f>_xlfn.XLOOKUP(Grammys[[#This Row],[date]],mobile_visits[date],mobile_visits[mobile_visitors],0)</f>
        <v>11919</v>
      </c>
    </row>
    <row r="2175" spans="1:9">
      <c r="A2175" s="1">
        <v>44909</v>
      </c>
      <c r="B2175">
        <v>20520</v>
      </c>
      <c r="C2175">
        <v>49148</v>
      </c>
      <c r="D2175">
        <v>23178</v>
      </c>
      <c r="E2175">
        <v>11664</v>
      </c>
      <c r="F2175">
        <v>71</v>
      </c>
      <c r="G2175" t="s">
        <v>9</v>
      </c>
      <c r="H2175" t="str" cm="1">
        <f t="array" ref="H2175">_xlfn.IFS(Grammys[[#This Row],[date]] &gt;= DATE(2022,2,1),"Grammys",TRUE,"Grammys TRA")</f>
        <v>Grammys</v>
      </c>
      <c r="I2175">
        <f>_xlfn.XLOOKUP(Grammys[[#This Row],[date]],mobile_visits[date],mobile_visits[mobile_visitors],0)</f>
        <v>13610</v>
      </c>
    </row>
    <row r="2176" spans="1:9">
      <c r="A2176" s="1">
        <v>44910</v>
      </c>
      <c r="B2176">
        <v>19881</v>
      </c>
      <c r="C2176">
        <v>49132</v>
      </c>
      <c r="D2176">
        <v>21876</v>
      </c>
      <c r="E2176">
        <v>10315</v>
      </c>
      <c r="F2176">
        <v>73</v>
      </c>
      <c r="G2176" t="s">
        <v>9</v>
      </c>
      <c r="H2176" t="str" cm="1">
        <f t="array" ref="H2176">_xlfn.IFS(Grammys[[#This Row],[date]] &gt;= DATE(2022,2,1),"Grammys",TRUE,"Grammys TRA")</f>
        <v>Grammys</v>
      </c>
      <c r="I2176">
        <f>_xlfn.XLOOKUP(Grammys[[#This Row],[date]],mobile_visits[date],mobile_visits[mobile_visitors],0)</f>
        <v>12841</v>
      </c>
    </row>
    <row r="2177" spans="1:9">
      <c r="A2177" s="1">
        <v>44911</v>
      </c>
      <c r="B2177">
        <v>18308</v>
      </c>
      <c r="C2177">
        <v>45907</v>
      </c>
      <c r="D2177">
        <v>19925</v>
      </c>
      <c r="E2177">
        <v>9150</v>
      </c>
      <c r="F2177">
        <v>76</v>
      </c>
      <c r="G2177" t="s">
        <v>9</v>
      </c>
      <c r="H2177" t="str" cm="1">
        <f t="array" ref="H2177">_xlfn.IFS(Grammys[[#This Row],[date]] &gt;= DATE(2022,2,1),"Grammys",TRUE,"Grammys TRA")</f>
        <v>Grammys</v>
      </c>
      <c r="I2177">
        <f>_xlfn.XLOOKUP(Grammys[[#This Row],[date]],mobile_visits[date],mobile_visits[mobile_visitors],0)</f>
        <v>12311</v>
      </c>
    </row>
    <row r="2178" spans="1:9">
      <c r="A2178" s="1">
        <v>44912</v>
      </c>
      <c r="B2178">
        <v>16285</v>
      </c>
      <c r="C2178">
        <v>42439</v>
      </c>
      <c r="D2178">
        <v>17768</v>
      </c>
      <c r="E2178">
        <v>7877</v>
      </c>
      <c r="F2178">
        <v>72</v>
      </c>
      <c r="G2178" t="s">
        <v>9</v>
      </c>
      <c r="H2178" t="str" cm="1">
        <f t="array" ref="H2178">_xlfn.IFS(Grammys[[#This Row],[date]] &gt;= DATE(2022,2,1),"Grammys",TRUE,"Grammys TRA")</f>
        <v>Grammys</v>
      </c>
      <c r="I2178">
        <f>_xlfn.XLOOKUP(Grammys[[#This Row],[date]],mobile_visits[date],mobile_visits[mobile_visitors],0)</f>
        <v>12843</v>
      </c>
    </row>
    <row r="2179" spans="1:9">
      <c r="A2179" s="1">
        <v>44913</v>
      </c>
      <c r="B2179">
        <v>16882</v>
      </c>
      <c r="C2179">
        <v>44035</v>
      </c>
      <c r="D2179">
        <v>18370</v>
      </c>
      <c r="E2179">
        <v>8280</v>
      </c>
      <c r="F2179">
        <v>76</v>
      </c>
      <c r="G2179" t="s">
        <v>9</v>
      </c>
      <c r="H2179" t="str" cm="1">
        <f t="array" ref="H2179">_xlfn.IFS(Grammys[[#This Row],[date]] &gt;= DATE(2022,2,1),"Grammys",TRUE,"Grammys TRA")</f>
        <v>Grammys</v>
      </c>
      <c r="I2179">
        <f>_xlfn.XLOOKUP(Grammys[[#This Row],[date]],mobile_visits[date],mobile_visits[mobile_visitors],0)</f>
        <v>12762</v>
      </c>
    </row>
    <row r="2180" spans="1:9">
      <c r="A2180" s="1">
        <v>44914</v>
      </c>
      <c r="B2180">
        <v>16884</v>
      </c>
      <c r="C2180">
        <v>43078</v>
      </c>
      <c r="D2180">
        <v>18633</v>
      </c>
      <c r="E2180">
        <v>8216</v>
      </c>
      <c r="F2180">
        <v>79</v>
      </c>
      <c r="G2180" t="s">
        <v>9</v>
      </c>
      <c r="H2180" t="str" cm="1">
        <f t="array" ref="H2180">_xlfn.IFS(Grammys[[#This Row],[date]] &gt;= DATE(2022,2,1),"Grammys",TRUE,"Grammys TRA")</f>
        <v>Grammys</v>
      </c>
      <c r="I2180">
        <f>_xlfn.XLOOKUP(Grammys[[#This Row],[date]],mobile_visits[date],mobile_visits[mobile_visitors],0)</f>
        <v>11460</v>
      </c>
    </row>
    <row r="2181" spans="1:9">
      <c r="A2181" s="1">
        <v>44915</v>
      </c>
      <c r="B2181">
        <v>17975</v>
      </c>
      <c r="C2181">
        <v>44573</v>
      </c>
      <c r="D2181">
        <v>19722</v>
      </c>
      <c r="E2181">
        <v>8889</v>
      </c>
      <c r="F2181">
        <v>77</v>
      </c>
      <c r="G2181" t="s">
        <v>9</v>
      </c>
      <c r="H2181" t="str" cm="1">
        <f t="array" ref="H2181">_xlfn.IFS(Grammys[[#This Row],[date]] &gt;= DATE(2022,2,1),"Grammys",TRUE,"Grammys TRA")</f>
        <v>Grammys</v>
      </c>
      <c r="I2181">
        <f>_xlfn.XLOOKUP(Grammys[[#This Row],[date]],mobile_visits[date],mobile_visits[mobile_visitors],0)</f>
        <v>12291</v>
      </c>
    </row>
    <row r="2182" spans="1:9">
      <c r="A2182" s="1">
        <v>44916</v>
      </c>
      <c r="B2182">
        <v>34234</v>
      </c>
      <c r="C2182">
        <v>92235</v>
      </c>
      <c r="D2182">
        <v>36868</v>
      </c>
      <c r="E2182">
        <v>14409</v>
      </c>
      <c r="F2182">
        <v>100</v>
      </c>
      <c r="G2182" t="s">
        <v>9</v>
      </c>
      <c r="H2182" t="str" cm="1">
        <f t="array" ref="H2182">_xlfn.IFS(Grammys[[#This Row],[date]] &gt;= DATE(2022,2,1),"Grammys",TRUE,"Grammys TRA")</f>
        <v>Grammys</v>
      </c>
      <c r="I2182">
        <f>_xlfn.XLOOKUP(Grammys[[#This Row],[date]],mobile_visits[date],mobile_visits[mobile_visitors],0)</f>
        <v>25316</v>
      </c>
    </row>
    <row r="2183" spans="1:9">
      <c r="A2183" s="1">
        <v>44917</v>
      </c>
      <c r="B2183">
        <v>26118</v>
      </c>
      <c r="C2183">
        <v>67667</v>
      </c>
      <c r="D2183">
        <v>28304</v>
      </c>
      <c r="E2183">
        <v>12236</v>
      </c>
      <c r="F2183">
        <v>83</v>
      </c>
      <c r="G2183" t="s">
        <v>9</v>
      </c>
      <c r="H2183" t="str" cm="1">
        <f t="array" ref="H2183">_xlfn.IFS(Grammys[[#This Row],[date]] &gt;= DATE(2022,2,1),"Grammys",TRUE,"Grammys TRA")</f>
        <v>Grammys</v>
      </c>
      <c r="I2183">
        <f>_xlfn.XLOOKUP(Grammys[[#This Row],[date]],mobile_visits[date],mobile_visits[mobile_visitors],0)</f>
        <v>19208</v>
      </c>
    </row>
    <row r="2184" spans="1:9">
      <c r="A2184" s="1">
        <v>44918</v>
      </c>
      <c r="B2184">
        <v>20065</v>
      </c>
      <c r="C2184">
        <v>50345</v>
      </c>
      <c r="D2184">
        <v>22605</v>
      </c>
      <c r="E2184">
        <v>10788</v>
      </c>
      <c r="F2184">
        <v>71</v>
      </c>
      <c r="G2184" t="s">
        <v>9</v>
      </c>
      <c r="H2184" t="str" cm="1">
        <f t="array" ref="H2184">_xlfn.IFS(Grammys[[#This Row],[date]] &gt;= DATE(2022,2,1),"Grammys",TRUE,"Grammys TRA")</f>
        <v>Grammys</v>
      </c>
      <c r="I2184">
        <f>_xlfn.XLOOKUP(Grammys[[#This Row],[date]],mobile_visits[date],mobile_visits[mobile_visitors],0)</f>
        <v>15919</v>
      </c>
    </row>
    <row r="2185" spans="1:9">
      <c r="A2185" s="1">
        <v>44919</v>
      </c>
      <c r="B2185">
        <v>16347</v>
      </c>
      <c r="C2185">
        <v>40634</v>
      </c>
      <c r="D2185">
        <v>17829</v>
      </c>
      <c r="E2185">
        <v>8104</v>
      </c>
      <c r="F2185">
        <v>71</v>
      </c>
      <c r="G2185" t="s">
        <v>9</v>
      </c>
      <c r="H2185" t="str" cm="1">
        <f t="array" ref="H2185">_xlfn.IFS(Grammys[[#This Row],[date]] &gt;= DATE(2022,2,1),"Grammys",TRUE,"Grammys TRA")</f>
        <v>Grammys</v>
      </c>
      <c r="I2185">
        <f>_xlfn.XLOOKUP(Grammys[[#This Row],[date]],mobile_visits[date],mobile_visits[mobile_visitors],0)</f>
        <v>13140</v>
      </c>
    </row>
    <row r="2186" spans="1:9">
      <c r="A2186" s="1">
        <v>44920</v>
      </c>
      <c r="B2186">
        <v>15042</v>
      </c>
      <c r="C2186">
        <v>36722</v>
      </c>
      <c r="D2186">
        <v>16224</v>
      </c>
      <c r="E2186">
        <v>7371</v>
      </c>
      <c r="F2186">
        <v>73</v>
      </c>
      <c r="G2186" t="s">
        <v>9</v>
      </c>
      <c r="H2186" t="str" cm="1">
        <f t="array" ref="H2186">_xlfn.IFS(Grammys[[#This Row],[date]] &gt;= DATE(2022,2,1),"Grammys",TRUE,"Grammys TRA")</f>
        <v>Grammys</v>
      </c>
      <c r="I2186">
        <f>_xlfn.XLOOKUP(Grammys[[#This Row],[date]],mobile_visits[date],mobile_visits[mobile_visitors],0)</f>
        <v>12408</v>
      </c>
    </row>
    <row r="2187" spans="1:9">
      <c r="A2187" s="1">
        <v>44921</v>
      </c>
      <c r="B2187">
        <v>16458</v>
      </c>
      <c r="C2187">
        <v>41674</v>
      </c>
      <c r="D2187">
        <v>17884</v>
      </c>
      <c r="E2187">
        <v>7893</v>
      </c>
      <c r="F2187">
        <v>78</v>
      </c>
      <c r="G2187" t="s">
        <v>9</v>
      </c>
      <c r="H2187" t="str" cm="1">
        <f t="array" ref="H2187">_xlfn.IFS(Grammys[[#This Row],[date]] &gt;= DATE(2022,2,1),"Grammys",TRUE,"Grammys TRA")</f>
        <v>Grammys</v>
      </c>
      <c r="I2187">
        <f>_xlfn.XLOOKUP(Grammys[[#This Row],[date]],mobile_visits[date],mobile_visits[mobile_visitors],0)</f>
        <v>12416</v>
      </c>
    </row>
    <row r="2188" spans="1:9">
      <c r="A2188" s="1">
        <v>44922</v>
      </c>
      <c r="B2188">
        <v>16794</v>
      </c>
      <c r="C2188">
        <v>43657</v>
      </c>
      <c r="D2188">
        <v>18528</v>
      </c>
      <c r="E2188">
        <v>7997</v>
      </c>
      <c r="F2188">
        <v>81</v>
      </c>
      <c r="G2188" t="s">
        <v>9</v>
      </c>
      <c r="H2188" t="str" cm="1">
        <f t="array" ref="H2188">_xlfn.IFS(Grammys[[#This Row],[date]] &gt;= DATE(2022,2,1),"Grammys",TRUE,"Grammys TRA")</f>
        <v>Grammys</v>
      </c>
      <c r="I2188">
        <f>_xlfn.XLOOKUP(Grammys[[#This Row],[date]],mobile_visits[date],mobile_visits[mobile_visitors],0)</f>
        <v>12283</v>
      </c>
    </row>
    <row r="2189" spans="1:9">
      <c r="A2189" s="1">
        <v>44923</v>
      </c>
      <c r="B2189">
        <v>21087</v>
      </c>
      <c r="C2189">
        <v>53209</v>
      </c>
      <c r="D2189">
        <v>22893</v>
      </c>
      <c r="E2189">
        <v>10270</v>
      </c>
      <c r="F2189">
        <v>76</v>
      </c>
      <c r="G2189" t="s">
        <v>9</v>
      </c>
      <c r="H2189" t="str" cm="1">
        <f t="array" ref="H2189">_xlfn.IFS(Grammys[[#This Row],[date]] &gt;= DATE(2022,2,1),"Grammys",TRUE,"Grammys TRA")</f>
        <v>Grammys</v>
      </c>
      <c r="I2189">
        <f>_xlfn.XLOOKUP(Grammys[[#This Row],[date]],mobile_visits[date],mobile_visits[mobile_visitors],0)</f>
        <v>15716</v>
      </c>
    </row>
    <row r="2190" spans="1:9">
      <c r="A2190" s="1">
        <v>44924</v>
      </c>
      <c r="B2190">
        <v>19914</v>
      </c>
      <c r="C2190">
        <v>50427</v>
      </c>
      <c r="D2190">
        <v>21923</v>
      </c>
      <c r="E2190">
        <v>9872</v>
      </c>
      <c r="F2190">
        <v>74</v>
      </c>
      <c r="G2190" t="s">
        <v>9</v>
      </c>
      <c r="H2190" t="str" cm="1">
        <f t="array" ref="H2190">_xlfn.IFS(Grammys[[#This Row],[date]] &gt;= DATE(2022,2,1),"Grammys",TRUE,"Grammys TRA")</f>
        <v>Grammys</v>
      </c>
      <c r="I2190">
        <f>_xlfn.XLOOKUP(Grammys[[#This Row],[date]],mobile_visits[date],mobile_visits[mobile_visitors],0)</f>
        <v>15168</v>
      </c>
    </row>
    <row r="2191" spans="1:9">
      <c r="A2191" s="1">
        <v>44925</v>
      </c>
      <c r="B2191">
        <v>19732</v>
      </c>
      <c r="C2191">
        <v>51678</v>
      </c>
      <c r="D2191">
        <v>21632</v>
      </c>
      <c r="E2191">
        <v>9207</v>
      </c>
      <c r="F2191">
        <v>76</v>
      </c>
      <c r="G2191" t="s">
        <v>9</v>
      </c>
      <c r="H2191" t="str" cm="1">
        <f t="array" ref="H2191">_xlfn.IFS(Grammys[[#This Row],[date]] &gt;= DATE(2022,2,1),"Grammys",TRUE,"Grammys TRA")</f>
        <v>Grammys</v>
      </c>
      <c r="I2191">
        <f>_xlfn.XLOOKUP(Grammys[[#This Row],[date]],mobile_visits[date],mobile_visits[mobile_visitors],0)</f>
        <v>14673</v>
      </c>
    </row>
    <row r="2192" spans="1:9">
      <c r="A2192" s="1">
        <v>44926</v>
      </c>
      <c r="B2192">
        <v>27350</v>
      </c>
      <c r="C2192">
        <v>71840</v>
      </c>
      <c r="D2192">
        <v>29593</v>
      </c>
      <c r="E2192">
        <v>11796</v>
      </c>
      <c r="F2192">
        <v>64</v>
      </c>
      <c r="G2192" t="s">
        <v>9</v>
      </c>
      <c r="H2192" t="str" cm="1">
        <f t="array" ref="H2192">_xlfn.IFS(Grammys[[#This Row],[date]] &gt;= DATE(2022,2,1),"Grammys",TRUE,"Grammys TRA")</f>
        <v>Grammys</v>
      </c>
      <c r="I2192">
        <f>_xlfn.XLOOKUP(Grammys[[#This Row],[date]],mobile_visits[date],mobile_visits[mobile_visitors],0)</f>
        <v>22344</v>
      </c>
    </row>
    <row r="2193" spans="1:9">
      <c r="A2193" s="1">
        <v>44927</v>
      </c>
      <c r="B2193">
        <v>23236</v>
      </c>
      <c r="C2193">
        <v>60374</v>
      </c>
      <c r="D2193">
        <v>25532</v>
      </c>
      <c r="E2193">
        <v>11066</v>
      </c>
      <c r="F2193">
        <v>75</v>
      </c>
      <c r="G2193" t="s">
        <v>9</v>
      </c>
      <c r="H2193" t="str" cm="1">
        <f t="array" ref="H2193">_xlfn.IFS(Grammys[[#This Row],[date]] &gt;= DATE(2022,2,1),"Grammys",TRUE,"Grammys TRA")</f>
        <v>Grammys</v>
      </c>
      <c r="I2193">
        <f>_xlfn.XLOOKUP(Grammys[[#This Row],[date]],mobile_visits[date],mobile_visits[mobile_visitors],0)</f>
        <v>18542</v>
      </c>
    </row>
    <row r="2194" spans="1:9">
      <c r="A2194" s="1">
        <v>44928</v>
      </c>
      <c r="B2194">
        <v>21469</v>
      </c>
      <c r="C2194">
        <v>56678</v>
      </c>
      <c r="D2194">
        <v>23612</v>
      </c>
      <c r="E2194">
        <v>10036</v>
      </c>
      <c r="F2194">
        <v>81</v>
      </c>
      <c r="G2194" t="s">
        <v>9</v>
      </c>
      <c r="H2194" t="str" cm="1">
        <f t="array" ref="H2194">_xlfn.IFS(Grammys[[#This Row],[date]] &gt;= DATE(2022,2,1),"Grammys",TRUE,"Grammys TRA")</f>
        <v>Grammys</v>
      </c>
      <c r="I2194">
        <f>_xlfn.XLOOKUP(Grammys[[#This Row],[date]],mobile_visits[date],mobile_visits[mobile_visitors],0)</f>
        <v>16567</v>
      </c>
    </row>
    <row r="2195" spans="1:9">
      <c r="A2195" s="1">
        <v>44929</v>
      </c>
      <c r="B2195">
        <v>23516</v>
      </c>
      <c r="C2195">
        <v>60912</v>
      </c>
      <c r="D2195">
        <v>25660</v>
      </c>
      <c r="E2195">
        <v>10803</v>
      </c>
      <c r="F2195">
        <v>78</v>
      </c>
      <c r="G2195" t="s">
        <v>9</v>
      </c>
      <c r="H2195" t="str" cm="1">
        <f t="array" ref="H2195">_xlfn.IFS(Grammys[[#This Row],[date]] &gt;= DATE(2022,2,1),"Grammys",TRUE,"Grammys TRA")</f>
        <v>Grammys</v>
      </c>
      <c r="I2195">
        <f>_xlfn.XLOOKUP(Grammys[[#This Row],[date]],mobile_visits[date],mobile_visits[mobile_visitors],0)</f>
        <v>16684</v>
      </c>
    </row>
    <row r="2196" spans="1:9">
      <c r="A2196" s="1">
        <v>44930</v>
      </c>
      <c r="B2196">
        <v>26984</v>
      </c>
      <c r="C2196">
        <v>74166</v>
      </c>
      <c r="D2196">
        <v>29988</v>
      </c>
      <c r="E2196">
        <v>12314</v>
      </c>
      <c r="F2196">
        <v>82</v>
      </c>
      <c r="G2196" t="s">
        <v>9</v>
      </c>
      <c r="H2196" t="str" cm="1">
        <f t="array" ref="H2196">_xlfn.IFS(Grammys[[#This Row],[date]] &gt;= DATE(2022,2,1),"Grammys",TRUE,"Grammys TRA")</f>
        <v>Grammys</v>
      </c>
      <c r="I2196">
        <f>_xlfn.XLOOKUP(Grammys[[#This Row],[date]],mobile_visits[date],mobile_visits[mobile_visitors],0)</f>
        <v>19448</v>
      </c>
    </row>
    <row r="2197" spans="1:9">
      <c r="A2197" s="1">
        <v>44931</v>
      </c>
      <c r="B2197">
        <v>34723</v>
      </c>
      <c r="C2197">
        <v>86444</v>
      </c>
      <c r="D2197">
        <v>38021</v>
      </c>
      <c r="E2197">
        <v>17042</v>
      </c>
      <c r="F2197">
        <v>72</v>
      </c>
      <c r="G2197" t="s">
        <v>9</v>
      </c>
      <c r="H2197" t="str" cm="1">
        <f t="array" ref="H2197">_xlfn.IFS(Grammys[[#This Row],[date]] &gt;= DATE(2022,2,1),"Grammys",TRUE,"Grammys TRA")</f>
        <v>Grammys</v>
      </c>
      <c r="I2197">
        <f>_xlfn.XLOOKUP(Grammys[[#This Row],[date]],mobile_visits[date],mobile_visits[mobile_visitors],0)</f>
        <v>27265</v>
      </c>
    </row>
    <row r="2198" spans="1:9">
      <c r="A2198" s="1">
        <v>44932</v>
      </c>
      <c r="B2198">
        <v>25792</v>
      </c>
      <c r="C2198">
        <v>66397</v>
      </c>
      <c r="D2198">
        <v>28576</v>
      </c>
      <c r="E2198">
        <v>13265</v>
      </c>
      <c r="F2198">
        <v>78</v>
      </c>
      <c r="G2198" t="s">
        <v>9</v>
      </c>
      <c r="H2198" t="str" cm="1">
        <f t="array" ref="H2198">_xlfn.IFS(Grammys[[#This Row],[date]] &gt;= DATE(2022,2,1),"Grammys",TRUE,"Grammys TRA")</f>
        <v>Grammys</v>
      </c>
      <c r="I2198">
        <f>_xlfn.XLOOKUP(Grammys[[#This Row],[date]],mobile_visits[date],mobile_visits[mobile_visitors],0)</f>
        <v>19012</v>
      </c>
    </row>
    <row r="2199" spans="1:9">
      <c r="A2199" s="1">
        <v>44933</v>
      </c>
      <c r="B2199">
        <v>22199</v>
      </c>
      <c r="C2199">
        <v>58042</v>
      </c>
      <c r="D2199">
        <v>24459</v>
      </c>
      <c r="E2199">
        <v>10777</v>
      </c>
      <c r="F2199">
        <v>72</v>
      </c>
      <c r="G2199" t="s">
        <v>9</v>
      </c>
      <c r="H2199" t="str" cm="1">
        <f t="array" ref="H2199">_xlfn.IFS(Grammys[[#This Row],[date]] &gt;= DATE(2022,2,1),"Grammys",TRUE,"Grammys TRA")</f>
        <v>Grammys</v>
      </c>
      <c r="I2199">
        <f>_xlfn.XLOOKUP(Grammys[[#This Row],[date]],mobile_visits[date],mobile_visits[mobile_visitors],0)</f>
        <v>18131</v>
      </c>
    </row>
    <row r="2200" spans="1:9">
      <c r="A2200" s="1">
        <v>44934</v>
      </c>
      <c r="B2200">
        <v>24901</v>
      </c>
      <c r="C2200">
        <v>65539</v>
      </c>
      <c r="D2200">
        <v>27031</v>
      </c>
      <c r="E2200">
        <v>11672</v>
      </c>
      <c r="F2200">
        <v>80</v>
      </c>
      <c r="G2200" t="s">
        <v>9</v>
      </c>
      <c r="H2200" t="str" cm="1">
        <f t="array" ref="H2200">_xlfn.IFS(Grammys[[#This Row],[date]] &gt;= DATE(2022,2,1),"Grammys",TRUE,"Grammys TRA")</f>
        <v>Grammys</v>
      </c>
      <c r="I2200">
        <f>_xlfn.XLOOKUP(Grammys[[#This Row],[date]],mobile_visits[date],mobile_visits[mobile_visitors],0)</f>
        <v>18695</v>
      </c>
    </row>
    <row r="2201" spans="1:9">
      <c r="A2201" s="1">
        <v>44935</v>
      </c>
      <c r="B2201">
        <v>24156</v>
      </c>
      <c r="C2201">
        <v>64106</v>
      </c>
      <c r="D2201">
        <v>26744</v>
      </c>
      <c r="E2201">
        <v>11869</v>
      </c>
      <c r="F2201">
        <v>81</v>
      </c>
      <c r="G2201" t="s">
        <v>9</v>
      </c>
      <c r="H2201" t="str" cm="1">
        <f t="array" ref="H2201">_xlfn.IFS(Grammys[[#This Row],[date]] &gt;= DATE(2022,2,1),"Grammys",TRUE,"Grammys TRA")</f>
        <v>Grammys</v>
      </c>
      <c r="I2201">
        <f>_xlfn.XLOOKUP(Grammys[[#This Row],[date]],mobile_visits[date],mobile_visits[mobile_visitors],0)</f>
        <v>15812</v>
      </c>
    </row>
    <row r="2202" spans="1:9">
      <c r="A2202" s="1">
        <v>44936</v>
      </c>
      <c r="B2202">
        <v>29935</v>
      </c>
      <c r="C2202">
        <v>80496</v>
      </c>
      <c r="D2202">
        <v>32310</v>
      </c>
      <c r="E2202">
        <v>13913</v>
      </c>
      <c r="F2202">
        <v>82</v>
      </c>
      <c r="G2202" t="s">
        <v>9</v>
      </c>
      <c r="H2202" t="str" cm="1">
        <f t="array" ref="H2202">_xlfn.IFS(Grammys[[#This Row],[date]] &gt;= DATE(2022,2,1),"Grammys",TRUE,"Grammys TRA")</f>
        <v>Grammys</v>
      </c>
      <c r="I2202">
        <f>_xlfn.XLOOKUP(Grammys[[#This Row],[date]],mobile_visits[date],mobile_visits[mobile_visitors],0)</f>
        <v>19870</v>
      </c>
    </row>
    <row r="2203" spans="1:9">
      <c r="A2203" s="1">
        <v>44937</v>
      </c>
      <c r="B2203">
        <v>32371</v>
      </c>
      <c r="C2203">
        <v>86980</v>
      </c>
      <c r="D2203">
        <v>35562</v>
      </c>
      <c r="E2203">
        <v>15303</v>
      </c>
      <c r="F2203">
        <v>83</v>
      </c>
      <c r="G2203" t="s">
        <v>9</v>
      </c>
      <c r="H2203" t="str" cm="1">
        <f t="array" ref="H2203">_xlfn.IFS(Grammys[[#This Row],[date]] &gt;= DATE(2022,2,1),"Grammys",TRUE,"Grammys TRA")</f>
        <v>Grammys</v>
      </c>
      <c r="I2203">
        <f>_xlfn.XLOOKUP(Grammys[[#This Row],[date]],mobile_visits[date],mobile_visits[mobile_visitors],0)</f>
        <v>22150</v>
      </c>
    </row>
    <row r="2204" spans="1:9">
      <c r="A2204" s="1">
        <v>44938</v>
      </c>
      <c r="B2204">
        <v>29192</v>
      </c>
      <c r="C2204">
        <v>74991</v>
      </c>
      <c r="D2204">
        <v>31842</v>
      </c>
      <c r="E2204">
        <v>13976</v>
      </c>
      <c r="F2204">
        <v>87</v>
      </c>
      <c r="G2204" t="s">
        <v>9</v>
      </c>
      <c r="H2204" t="str" cm="1">
        <f t="array" ref="H2204">_xlfn.IFS(Grammys[[#This Row],[date]] &gt;= DATE(2022,2,1),"Grammys",TRUE,"Grammys TRA")</f>
        <v>Grammys</v>
      </c>
      <c r="I2204">
        <f>_xlfn.XLOOKUP(Grammys[[#This Row],[date]],mobile_visits[date],mobile_visits[mobile_visitors],0)</f>
        <v>19935</v>
      </c>
    </row>
    <row r="2205" spans="1:9">
      <c r="A2205" s="1">
        <v>44939</v>
      </c>
      <c r="B2205">
        <v>26645</v>
      </c>
      <c r="C2205">
        <v>69538</v>
      </c>
      <c r="D2205">
        <v>29965</v>
      </c>
      <c r="E2205">
        <v>13299</v>
      </c>
      <c r="F2205">
        <v>81</v>
      </c>
      <c r="G2205" t="s">
        <v>9</v>
      </c>
      <c r="H2205" t="str" cm="1">
        <f t="array" ref="H2205">_xlfn.IFS(Grammys[[#This Row],[date]] &gt;= DATE(2022,2,1),"Grammys",TRUE,"Grammys TRA")</f>
        <v>Grammys</v>
      </c>
      <c r="I2205">
        <f>_xlfn.XLOOKUP(Grammys[[#This Row],[date]],mobile_visits[date],mobile_visits[mobile_visitors],0)</f>
        <v>18744</v>
      </c>
    </row>
    <row r="2206" spans="1:9">
      <c r="A2206" s="1">
        <v>44940</v>
      </c>
      <c r="B2206">
        <v>24105</v>
      </c>
      <c r="C2206">
        <v>62570</v>
      </c>
      <c r="D2206">
        <v>26535</v>
      </c>
      <c r="E2206">
        <v>11395</v>
      </c>
      <c r="F2206">
        <v>76</v>
      </c>
      <c r="G2206" t="s">
        <v>9</v>
      </c>
      <c r="H2206" t="str" cm="1">
        <f t="array" ref="H2206">_xlfn.IFS(Grammys[[#This Row],[date]] &gt;= DATE(2022,2,1),"Grammys",TRUE,"Grammys TRA")</f>
        <v>Grammys</v>
      </c>
      <c r="I2206">
        <f>_xlfn.XLOOKUP(Grammys[[#This Row],[date]],mobile_visits[date],mobile_visits[mobile_visitors],0)</f>
        <v>19072</v>
      </c>
    </row>
    <row r="2207" spans="1:9">
      <c r="A2207" s="1">
        <v>44941</v>
      </c>
      <c r="B2207">
        <v>26010</v>
      </c>
      <c r="C2207">
        <v>68642</v>
      </c>
      <c r="D2207">
        <v>28347</v>
      </c>
      <c r="E2207">
        <v>11787</v>
      </c>
      <c r="F2207">
        <v>81</v>
      </c>
      <c r="G2207" t="s">
        <v>9</v>
      </c>
      <c r="H2207" t="str" cm="1">
        <f t="array" ref="H2207">_xlfn.IFS(Grammys[[#This Row],[date]] &gt;= DATE(2022,2,1),"Grammys",TRUE,"Grammys TRA")</f>
        <v>Grammys</v>
      </c>
      <c r="I2207">
        <f>_xlfn.XLOOKUP(Grammys[[#This Row],[date]],mobile_visits[date],mobile_visits[mobile_visitors],0)</f>
        <v>20586</v>
      </c>
    </row>
    <row r="2208" spans="1:9">
      <c r="A2208" s="1">
        <v>44942</v>
      </c>
      <c r="B2208">
        <v>23335</v>
      </c>
      <c r="C2208">
        <v>64038</v>
      </c>
      <c r="D2208">
        <v>25464</v>
      </c>
      <c r="E2208">
        <v>10420</v>
      </c>
      <c r="F2208">
        <v>87</v>
      </c>
      <c r="G2208" t="s">
        <v>9</v>
      </c>
      <c r="H2208" t="str" cm="1">
        <f t="array" ref="H2208">_xlfn.IFS(Grammys[[#This Row],[date]] &gt;= DATE(2022,2,1),"Grammys",TRUE,"Grammys TRA")</f>
        <v>Grammys</v>
      </c>
      <c r="I2208">
        <f>_xlfn.XLOOKUP(Grammys[[#This Row],[date]],mobile_visits[date],mobile_visits[mobile_visitors],0)</f>
        <v>18068</v>
      </c>
    </row>
    <row r="2209" spans="1:9">
      <c r="A2209" s="1">
        <v>44943</v>
      </c>
      <c r="B2209">
        <v>23291</v>
      </c>
      <c r="C2209">
        <v>145866</v>
      </c>
      <c r="D2209">
        <v>25791</v>
      </c>
      <c r="E2209">
        <v>5587</v>
      </c>
      <c r="F2209">
        <v>113</v>
      </c>
      <c r="G2209" t="s">
        <v>9</v>
      </c>
      <c r="H2209" t="str" cm="1">
        <f t="array" ref="H2209">_xlfn.IFS(Grammys[[#This Row],[date]] &gt;= DATE(2022,2,1),"Grammys",TRUE,"Grammys TRA")</f>
        <v>Grammys</v>
      </c>
      <c r="I2209">
        <f>_xlfn.XLOOKUP(Grammys[[#This Row],[date]],mobile_visits[date],mobile_visits[mobile_visitors],0)</f>
        <v>13904</v>
      </c>
    </row>
    <row r="2210" spans="1:9">
      <c r="A2210" s="1">
        <v>44944</v>
      </c>
      <c r="B2210">
        <v>25933</v>
      </c>
      <c r="C2210">
        <v>170210</v>
      </c>
      <c r="D2210">
        <v>28848</v>
      </c>
      <c r="E2210">
        <v>4602</v>
      </c>
      <c r="F2210">
        <v>137</v>
      </c>
      <c r="G2210" t="s">
        <v>9</v>
      </c>
      <c r="H2210" t="str" cm="1">
        <f t="array" ref="H2210">_xlfn.IFS(Grammys[[#This Row],[date]] &gt;= DATE(2022,2,1),"Grammys",TRUE,"Grammys TRA")</f>
        <v>Grammys</v>
      </c>
      <c r="I2210">
        <f>_xlfn.XLOOKUP(Grammys[[#This Row],[date]],mobile_visits[date],mobile_visits[mobile_visitors],0)</f>
        <v>16311</v>
      </c>
    </row>
    <row r="2211" spans="1:9">
      <c r="A2211" s="1">
        <v>44945</v>
      </c>
      <c r="B2211">
        <v>27785</v>
      </c>
      <c r="C2211">
        <v>183587</v>
      </c>
      <c r="D2211">
        <v>31964</v>
      </c>
      <c r="E2211">
        <v>4105</v>
      </c>
      <c r="F2211">
        <v>117</v>
      </c>
      <c r="G2211" t="s">
        <v>9</v>
      </c>
      <c r="H2211" t="str" cm="1">
        <f t="array" ref="H2211">_xlfn.IFS(Grammys[[#This Row],[date]] &gt;= DATE(2022,2,1),"Grammys",TRUE,"Grammys TRA")</f>
        <v>Grammys</v>
      </c>
      <c r="I2211">
        <f>_xlfn.XLOOKUP(Grammys[[#This Row],[date]],mobile_visits[date],mobile_visits[mobile_visitors],0)</f>
        <v>18633</v>
      </c>
    </row>
    <row r="2212" spans="1:9">
      <c r="A2212" s="1">
        <v>44946</v>
      </c>
      <c r="B2212">
        <v>26096</v>
      </c>
      <c r="C2212">
        <v>125693</v>
      </c>
      <c r="D2212">
        <v>29251</v>
      </c>
      <c r="E2212">
        <v>5146</v>
      </c>
      <c r="F2212">
        <v>103</v>
      </c>
      <c r="G2212" t="s">
        <v>9</v>
      </c>
      <c r="H2212" t="str" cm="1">
        <f t="array" ref="H2212">_xlfn.IFS(Grammys[[#This Row],[date]] &gt;= DATE(2022,2,1),"Grammys",TRUE,"Grammys TRA")</f>
        <v>Grammys</v>
      </c>
      <c r="I2212">
        <f>_xlfn.XLOOKUP(Grammys[[#This Row],[date]],mobile_visits[date],mobile_visits[mobile_visitors],0)</f>
        <v>17152</v>
      </c>
    </row>
    <row r="2213" spans="1:9">
      <c r="A2213" s="1">
        <v>44947</v>
      </c>
      <c r="B2213">
        <v>24615</v>
      </c>
      <c r="C2213">
        <v>64786</v>
      </c>
      <c r="D2213">
        <v>27040</v>
      </c>
      <c r="E2213">
        <v>6531</v>
      </c>
      <c r="F2213">
        <v>84</v>
      </c>
      <c r="G2213" t="s">
        <v>9</v>
      </c>
      <c r="H2213" t="str" cm="1">
        <f t="array" ref="H2213">_xlfn.IFS(Grammys[[#This Row],[date]] &gt;= DATE(2022,2,1),"Grammys",TRUE,"Grammys TRA")</f>
        <v>Grammys</v>
      </c>
      <c r="I2213">
        <f>_xlfn.XLOOKUP(Grammys[[#This Row],[date]],mobile_visits[date],mobile_visits[mobile_visitors],0)</f>
        <v>19191</v>
      </c>
    </row>
    <row r="2214" spans="1:9">
      <c r="A2214" s="1">
        <v>44948</v>
      </c>
      <c r="B2214">
        <v>39303</v>
      </c>
      <c r="C2214">
        <v>103388</v>
      </c>
      <c r="D2214">
        <v>43345</v>
      </c>
      <c r="E2214">
        <v>10022</v>
      </c>
      <c r="F2214">
        <v>84</v>
      </c>
      <c r="G2214" t="s">
        <v>9</v>
      </c>
      <c r="H2214" t="str" cm="1">
        <f t="array" ref="H2214">_xlfn.IFS(Grammys[[#This Row],[date]] &gt;= DATE(2022,2,1),"Grammys",TRUE,"Grammys TRA")</f>
        <v>Grammys</v>
      </c>
      <c r="I2214">
        <f>_xlfn.XLOOKUP(Grammys[[#This Row],[date]],mobile_visits[date],mobile_visits[mobile_visitors],0)</f>
        <v>32862</v>
      </c>
    </row>
    <row r="2215" spans="1:9">
      <c r="A2215" s="1">
        <v>44949</v>
      </c>
      <c r="B2215">
        <v>31024</v>
      </c>
      <c r="C2215">
        <v>81100</v>
      </c>
      <c r="D2215">
        <v>34421</v>
      </c>
      <c r="E2215">
        <v>8420</v>
      </c>
      <c r="F2215">
        <v>90</v>
      </c>
      <c r="G2215" t="s">
        <v>9</v>
      </c>
      <c r="H2215" t="str" cm="1">
        <f t="array" ref="H2215">_xlfn.IFS(Grammys[[#This Row],[date]] &gt;= DATE(2022,2,1),"Grammys",TRUE,"Grammys TRA")</f>
        <v>Grammys</v>
      </c>
      <c r="I2215">
        <f>_xlfn.XLOOKUP(Grammys[[#This Row],[date]],mobile_visits[date],mobile_visits[mobile_visitors],0)</f>
        <v>22211</v>
      </c>
    </row>
    <row r="2216" spans="1:9">
      <c r="A2216" s="1">
        <v>44950</v>
      </c>
      <c r="B2216">
        <v>43446</v>
      </c>
      <c r="C2216">
        <v>115557</v>
      </c>
      <c r="D2216">
        <v>47571</v>
      </c>
      <c r="E2216">
        <v>11770</v>
      </c>
      <c r="F2216">
        <v>90</v>
      </c>
      <c r="G2216" t="s">
        <v>9</v>
      </c>
      <c r="H2216" t="str" cm="1">
        <f t="array" ref="H2216">_xlfn.IFS(Grammys[[#This Row],[date]] &gt;= DATE(2022,2,1),"Grammys",TRUE,"Grammys TRA")</f>
        <v>Grammys</v>
      </c>
      <c r="I2216">
        <f>_xlfn.XLOOKUP(Grammys[[#This Row],[date]],mobile_visits[date],mobile_visits[mobile_visitors],0)</f>
        <v>29287</v>
      </c>
    </row>
    <row r="2217" spans="1:9">
      <c r="A2217" s="1">
        <v>44951</v>
      </c>
      <c r="B2217">
        <v>52127</v>
      </c>
      <c r="C2217">
        <v>140288</v>
      </c>
      <c r="D2217">
        <v>60202</v>
      </c>
      <c r="E2217">
        <v>11842</v>
      </c>
      <c r="F2217">
        <v>118</v>
      </c>
      <c r="G2217" t="s">
        <v>9</v>
      </c>
      <c r="H2217" t="str" cm="1">
        <f t="array" ref="H2217">_xlfn.IFS(Grammys[[#This Row],[date]] &gt;= DATE(2022,2,1),"Grammys",TRUE,"Grammys TRA")</f>
        <v>Grammys</v>
      </c>
      <c r="I2217">
        <f>_xlfn.XLOOKUP(Grammys[[#This Row],[date]],mobile_visits[date],mobile_visits[mobile_visitors],0)</f>
        <v>37577</v>
      </c>
    </row>
    <row r="2218" spans="1:9">
      <c r="A2218" s="1">
        <v>44952</v>
      </c>
      <c r="B2218">
        <v>48124</v>
      </c>
      <c r="C2218">
        <v>113561</v>
      </c>
      <c r="D2218">
        <v>53136</v>
      </c>
      <c r="E2218">
        <v>16956</v>
      </c>
      <c r="F2218">
        <v>101</v>
      </c>
      <c r="G2218" t="s">
        <v>9</v>
      </c>
      <c r="H2218" t="str" cm="1">
        <f t="array" ref="H2218">_xlfn.IFS(Grammys[[#This Row],[date]] &gt;= DATE(2022,2,1),"Grammys",TRUE,"Grammys TRA")</f>
        <v>Grammys</v>
      </c>
      <c r="I2218">
        <f>_xlfn.XLOOKUP(Grammys[[#This Row],[date]],mobile_visits[date],mobile_visits[mobile_visitors],0)</f>
        <v>34174</v>
      </c>
    </row>
    <row r="2219" spans="1:9">
      <c r="A2219" s="1">
        <v>44953</v>
      </c>
      <c r="B2219">
        <v>45990</v>
      </c>
      <c r="C2219">
        <v>99612</v>
      </c>
      <c r="D2219">
        <v>49837</v>
      </c>
      <c r="E2219">
        <v>21176</v>
      </c>
      <c r="F2219">
        <v>90</v>
      </c>
      <c r="G2219" t="s">
        <v>9</v>
      </c>
      <c r="H2219" t="str" cm="1">
        <f t="array" ref="H2219">_xlfn.IFS(Grammys[[#This Row],[date]] &gt;= DATE(2022,2,1),"Grammys",TRUE,"Grammys TRA")</f>
        <v>Grammys</v>
      </c>
      <c r="I2219">
        <f>_xlfn.XLOOKUP(Grammys[[#This Row],[date]],mobile_visits[date],mobile_visits[mobile_visitors],0)</f>
        <v>33917</v>
      </c>
    </row>
    <row r="2220" spans="1:9">
      <c r="A2220" s="1">
        <v>44954</v>
      </c>
      <c r="B2220">
        <v>42476</v>
      </c>
      <c r="C2220">
        <v>92595</v>
      </c>
      <c r="D2220">
        <v>45642</v>
      </c>
      <c r="E2220">
        <v>17463</v>
      </c>
      <c r="F2220">
        <v>85</v>
      </c>
      <c r="G2220" t="s">
        <v>9</v>
      </c>
      <c r="H2220" t="str" cm="1">
        <f t="array" ref="H2220">_xlfn.IFS(Grammys[[#This Row],[date]] &gt;= DATE(2022,2,1),"Grammys",TRUE,"Grammys TRA")</f>
        <v>Grammys</v>
      </c>
      <c r="I2220">
        <f>_xlfn.XLOOKUP(Grammys[[#This Row],[date]],mobile_visits[date],mobile_visits[mobile_visitors],0)</f>
        <v>34419</v>
      </c>
    </row>
    <row r="2221" spans="1:9">
      <c r="A2221" s="1">
        <v>44955</v>
      </c>
      <c r="B2221">
        <v>75403</v>
      </c>
      <c r="C2221">
        <v>173982</v>
      </c>
      <c r="D2221">
        <v>81523</v>
      </c>
      <c r="E2221">
        <v>22754</v>
      </c>
      <c r="F2221">
        <v>86</v>
      </c>
      <c r="G2221" t="s">
        <v>9</v>
      </c>
      <c r="H2221" t="str" cm="1">
        <f t="array" ref="H2221">_xlfn.IFS(Grammys[[#This Row],[date]] &gt;= DATE(2022,2,1),"Grammys",TRUE,"Grammys TRA")</f>
        <v>Grammys</v>
      </c>
      <c r="I2221">
        <f>_xlfn.XLOOKUP(Grammys[[#This Row],[date]],mobile_visits[date],mobile_visits[mobile_visitors],0)</f>
        <v>62861</v>
      </c>
    </row>
    <row r="2222" spans="1:9">
      <c r="A2222" s="1">
        <v>44956</v>
      </c>
      <c r="B2222">
        <v>65228</v>
      </c>
      <c r="C2222">
        <v>152244</v>
      </c>
      <c r="D2222">
        <v>72134</v>
      </c>
      <c r="E2222">
        <v>22932</v>
      </c>
      <c r="F2222">
        <v>90</v>
      </c>
      <c r="G2222" t="s">
        <v>9</v>
      </c>
      <c r="H2222" t="str" cm="1">
        <f t="array" ref="H2222">_xlfn.IFS(Grammys[[#This Row],[date]] &gt;= DATE(2022,2,1),"Grammys",TRUE,"Grammys TRA")</f>
        <v>Grammys</v>
      </c>
      <c r="I2222">
        <f>_xlfn.XLOOKUP(Grammys[[#This Row],[date]],mobile_visits[date],mobile_visits[mobile_visitors],0)</f>
        <v>47158</v>
      </c>
    </row>
    <row r="2223" spans="1:9">
      <c r="A2223" s="1">
        <v>44957</v>
      </c>
      <c r="B2223">
        <v>64084</v>
      </c>
      <c r="C2223">
        <v>146379</v>
      </c>
      <c r="D2223">
        <v>69878</v>
      </c>
      <c r="E2223">
        <v>26722</v>
      </c>
      <c r="F2223">
        <v>96</v>
      </c>
      <c r="G2223" t="s">
        <v>9</v>
      </c>
      <c r="H2223" t="str" cm="1">
        <f t="array" ref="H2223">_xlfn.IFS(Grammys[[#This Row],[date]] &gt;= DATE(2022,2,1),"Grammys",TRUE,"Grammys TRA")</f>
        <v>Grammys</v>
      </c>
      <c r="I2223">
        <f>_xlfn.XLOOKUP(Grammys[[#This Row],[date]],mobile_visits[date],mobile_visits[mobile_visitors],0)</f>
        <v>45623</v>
      </c>
    </row>
    <row r="2224" spans="1:9">
      <c r="A2224" s="1">
        <v>44958</v>
      </c>
      <c r="B2224">
        <v>77233</v>
      </c>
      <c r="C2224">
        <v>178624</v>
      </c>
      <c r="D2224">
        <v>84436</v>
      </c>
      <c r="E2224">
        <v>32382</v>
      </c>
      <c r="F2224">
        <v>95</v>
      </c>
      <c r="G2224" t="s">
        <v>9</v>
      </c>
      <c r="H2224" t="str" cm="1">
        <f t="array" ref="H2224">_xlfn.IFS(Grammys[[#This Row],[date]] &gt;= DATE(2022,2,1),"Grammys",TRUE,"Grammys TRA")</f>
        <v>Grammys</v>
      </c>
      <c r="I2224">
        <f>_xlfn.XLOOKUP(Grammys[[#This Row],[date]],mobile_visits[date],mobile_visits[mobile_visitors],0)</f>
        <v>57546</v>
      </c>
    </row>
    <row r="2225" spans="1:9">
      <c r="A2225" s="1">
        <v>44959</v>
      </c>
      <c r="B2225">
        <v>88913</v>
      </c>
      <c r="C2225">
        <v>203918</v>
      </c>
      <c r="D2225">
        <v>96686</v>
      </c>
      <c r="E2225">
        <v>37708</v>
      </c>
      <c r="F2225">
        <v>92</v>
      </c>
      <c r="G2225" t="s">
        <v>9</v>
      </c>
      <c r="H2225" t="str" cm="1">
        <f t="array" ref="H2225">_xlfn.IFS(Grammys[[#This Row],[date]] &gt;= DATE(2022,2,1),"Grammys",TRUE,"Grammys TRA")</f>
        <v>Grammys</v>
      </c>
      <c r="I2225">
        <f>_xlfn.XLOOKUP(Grammys[[#This Row],[date]],mobile_visits[date],mobile_visits[mobile_visitors],0)</f>
        <v>66488</v>
      </c>
    </row>
    <row r="2226" spans="1:9">
      <c r="A2226" s="1">
        <v>44960</v>
      </c>
      <c r="B2226">
        <v>123104</v>
      </c>
      <c r="C2226">
        <v>291271</v>
      </c>
      <c r="D2226">
        <v>135224</v>
      </c>
      <c r="E2226">
        <v>46639</v>
      </c>
      <c r="F2226">
        <v>92</v>
      </c>
      <c r="G2226" t="s">
        <v>9</v>
      </c>
      <c r="H2226" t="str" cm="1">
        <f t="array" ref="H2226">_xlfn.IFS(Grammys[[#This Row],[date]] &gt;= DATE(2022,2,1),"Grammys",TRUE,"Grammys TRA")</f>
        <v>Grammys</v>
      </c>
      <c r="I2226">
        <f>_xlfn.XLOOKUP(Grammys[[#This Row],[date]],mobile_visits[date],mobile_visits[mobile_visitors],0)</f>
        <v>93170</v>
      </c>
    </row>
    <row r="2227" spans="1:9">
      <c r="A2227" s="1">
        <v>44961</v>
      </c>
      <c r="B2227">
        <v>198665</v>
      </c>
      <c r="C2227">
        <v>483438</v>
      </c>
      <c r="D2227">
        <v>220567</v>
      </c>
      <c r="E2227">
        <v>68090</v>
      </c>
      <c r="F2227">
        <v>94</v>
      </c>
      <c r="G2227" t="s">
        <v>9</v>
      </c>
      <c r="H2227" t="str" cm="1">
        <f t="array" ref="H2227">_xlfn.IFS(Grammys[[#This Row],[date]] &gt;= DATE(2022,2,1),"Grammys",TRUE,"Grammys TRA")</f>
        <v>Grammys</v>
      </c>
      <c r="I2227">
        <f>_xlfn.XLOOKUP(Grammys[[#This Row],[date]],mobile_visits[date],mobile_visits[mobile_visitors],0)</f>
        <v>164559</v>
      </c>
    </row>
    <row r="2228" spans="1:9">
      <c r="A2228" s="1">
        <v>44962</v>
      </c>
      <c r="B2228">
        <v>2824595</v>
      </c>
      <c r="C2228">
        <v>7895521</v>
      </c>
      <c r="D2228">
        <v>3470476</v>
      </c>
      <c r="E2228">
        <v>841244</v>
      </c>
      <c r="F2228">
        <v>284</v>
      </c>
      <c r="G2228" t="s">
        <v>10</v>
      </c>
      <c r="H2228" t="str" cm="1">
        <f t="array" ref="H2228">_xlfn.IFS(Grammys[[#This Row],[date]] &gt;= DATE(2022,2,1),"Grammys",TRUE,"Grammys TRA")</f>
        <v>Grammys</v>
      </c>
      <c r="I2228">
        <f>_xlfn.XLOOKUP(Grammys[[#This Row],[date]],mobile_visits[date],mobile_visits[mobile_visitors],0)</f>
        <v>2278580</v>
      </c>
    </row>
    <row r="2229" spans="1:9">
      <c r="A2229" s="1">
        <v>44963</v>
      </c>
      <c r="B2229">
        <v>1441282</v>
      </c>
      <c r="C2229">
        <v>3390650</v>
      </c>
      <c r="D2229">
        <v>1563450</v>
      </c>
      <c r="E2229">
        <v>548615</v>
      </c>
      <c r="F2229">
        <v>97</v>
      </c>
      <c r="G2229" t="s">
        <v>9</v>
      </c>
      <c r="H2229" t="str" cm="1">
        <f t="array" ref="H2229">_xlfn.IFS(Grammys[[#This Row],[date]] &gt;= DATE(2022,2,1),"Grammys",TRUE,"Grammys TRA")</f>
        <v>Grammys</v>
      </c>
      <c r="I2229">
        <f>_xlfn.XLOOKUP(Grammys[[#This Row],[date]],mobile_visits[date],mobile_visits[mobile_visitors],0)</f>
        <v>1093047</v>
      </c>
    </row>
    <row r="2230" spans="1:9">
      <c r="A2230" s="1">
        <v>44964</v>
      </c>
      <c r="B2230">
        <v>367787</v>
      </c>
      <c r="C2230">
        <v>836729</v>
      </c>
      <c r="D2230">
        <v>404375</v>
      </c>
      <c r="E2230">
        <v>144120</v>
      </c>
      <c r="F2230">
        <v>107</v>
      </c>
      <c r="G2230" t="s">
        <v>9</v>
      </c>
      <c r="H2230" t="str" cm="1">
        <f t="array" ref="H2230">_xlfn.IFS(Grammys[[#This Row],[date]] &gt;= DATE(2022,2,1),"Grammys",TRUE,"Grammys TRA")</f>
        <v>Grammys</v>
      </c>
      <c r="I2230">
        <f>_xlfn.XLOOKUP(Grammys[[#This Row],[date]],mobile_visits[date],mobile_visits[mobile_visitors],0)</f>
        <v>276837</v>
      </c>
    </row>
    <row r="2231" spans="1:9">
      <c r="A2231" s="1">
        <v>44965</v>
      </c>
      <c r="B2231">
        <v>209378</v>
      </c>
      <c r="C2231">
        <v>473098</v>
      </c>
      <c r="D2231">
        <v>225201</v>
      </c>
      <c r="E2231">
        <v>72222</v>
      </c>
      <c r="F2231">
        <v>110</v>
      </c>
      <c r="G2231" t="s">
        <v>9</v>
      </c>
      <c r="H2231" t="str" cm="1">
        <f t="array" ref="H2231">_xlfn.IFS(Grammys[[#This Row],[date]] &gt;= DATE(2022,2,1),"Grammys",TRUE,"Grammys TRA")</f>
        <v>Grammys</v>
      </c>
      <c r="I2231">
        <f>_xlfn.XLOOKUP(Grammys[[#This Row],[date]],mobile_visits[date],mobile_visits[mobile_visitors],0)</f>
        <v>158349</v>
      </c>
    </row>
    <row r="2232" spans="1:9">
      <c r="A2232" s="1">
        <v>44966</v>
      </c>
      <c r="B2232">
        <v>151241</v>
      </c>
      <c r="C2232">
        <v>330990</v>
      </c>
      <c r="D2232">
        <v>162540</v>
      </c>
      <c r="E2232">
        <v>51737</v>
      </c>
      <c r="F2232">
        <v>102</v>
      </c>
      <c r="G2232" t="s">
        <v>9</v>
      </c>
      <c r="H2232" t="str" cm="1">
        <f t="array" ref="H2232">_xlfn.IFS(Grammys[[#This Row],[date]] &gt;= DATE(2022,2,1),"Grammys",TRUE,"Grammys TRA")</f>
        <v>Grammys</v>
      </c>
      <c r="I2232">
        <f>_xlfn.XLOOKUP(Grammys[[#This Row],[date]],mobile_visits[date],mobile_visits[mobile_visitors],0)</f>
        <v>112519</v>
      </c>
    </row>
    <row r="2233" spans="1:9">
      <c r="A2233" s="1">
        <v>44967</v>
      </c>
      <c r="B2233">
        <v>122553</v>
      </c>
      <c r="C2233">
        <v>275305</v>
      </c>
      <c r="D2233">
        <v>133148</v>
      </c>
      <c r="E2233">
        <v>43140</v>
      </c>
      <c r="F2233">
        <v>108</v>
      </c>
      <c r="G2233" t="s">
        <v>9</v>
      </c>
      <c r="H2233" t="str" cm="1">
        <f t="array" ref="H2233">_xlfn.IFS(Grammys[[#This Row],[date]] &gt;= DATE(2022,2,1),"Grammys",TRUE,"Grammys TRA")</f>
        <v>Grammys</v>
      </c>
      <c r="I2233">
        <f>_xlfn.XLOOKUP(Grammys[[#This Row],[date]],mobile_visits[date],mobile_visits[mobile_visitors],0)</f>
        <v>94314</v>
      </c>
    </row>
    <row r="2234" spans="1:9">
      <c r="A2234" s="1">
        <v>44968</v>
      </c>
      <c r="B2234">
        <v>122153</v>
      </c>
      <c r="C2234">
        <v>273913</v>
      </c>
      <c r="D2234">
        <v>130190</v>
      </c>
      <c r="E2234">
        <v>38302</v>
      </c>
      <c r="F2234">
        <v>109</v>
      </c>
      <c r="G2234" t="s">
        <v>9</v>
      </c>
      <c r="H2234" t="str" cm="1">
        <f t="array" ref="H2234">_xlfn.IFS(Grammys[[#This Row],[date]] &gt;= DATE(2022,2,1),"Grammys",TRUE,"Grammys TRA")</f>
        <v>Grammys</v>
      </c>
      <c r="I2234">
        <f>_xlfn.XLOOKUP(Grammys[[#This Row],[date]],mobile_visits[date],mobile_visits[mobile_visitors],0)</f>
        <v>99963</v>
      </c>
    </row>
    <row r="2235" spans="1:9">
      <c r="A2235" s="1">
        <v>44969</v>
      </c>
      <c r="B2235">
        <v>126021</v>
      </c>
      <c r="C2235">
        <v>260762</v>
      </c>
      <c r="D2235">
        <v>136061</v>
      </c>
      <c r="E2235">
        <v>34682</v>
      </c>
      <c r="F2235">
        <v>111</v>
      </c>
      <c r="G2235" t="s">
        <v>9</v>
      </c>
      <c r="H2235" t="str" cm="1">
        <f t="array" ref="H2235">_xlfn.IFS(Grammys[[#This Row],[date]] &gt;= DATE(2022,2,1),"Grammys",TRUE,"Grammys TRA")</f>
        <v>Grammys</v>
      </c>
      <c r="I2235">
        <f>_xlfn.XLOOKUP(Grammys[[#This Row],[date]],mobile_visits[date],mobile_visits[mobile_visitors],0)</f>
        <v>105474</v>
      </c>
    </row>
    <row r="2236" spans="1:9">
      <c r="A2236" s="1">
        <v>44970</v>
      </c>
      <c r="B2236">
        <v>81844</v>
      </c>
      <c r="C2236">
        <v>162329</v>
      </c>
      <c r="D2236">
        <v>86797</v>
      </c>
      <c r="E2236">
        <v>24139</v>
      </c>
      <c r="F2236">
        <v>111</v>
      </c>
      <c r="G2236" t="s">
        <v>9</v>
      </c>
      <c r="H2236" t="str" cm="1">
        <f t="array" ref="H2236">_xlfn.IFS(Grammys[[#This Row],[date]] &gt;= DATE(2022,2,1),"Grammys",TRUE,"Grammys TRA")</f>
        <v>Grammys</v>
      </c>
      <c r="I2236">
        <f>_xlfn.XLOOKUP(Grammys[[#This Row],[date]],mobile_visits[date],mobile_visits[mobile_visitors],0)</f>
        <v>58637</v>
      </c>
    </row>
    <row r="2237" spans="1:9">
      <c r="A2237" s="1">
        <v>44971</v>
      </c>
      <c r="B2237">
        <v>55874</v>
      </c>
      <c r="C2237">
        <v>109908</v>
      </c>
      <c r="D2237">
        <v>59977</v>
      </c>
      <c r="E2237">
        <v>19415</v>
      </c>
      <c r="F2237">
        <v>102</v>
      </c>
      <c r="G2237" t="s">
        <v>9</v>
      </c>
      <c r="H2237" t="str" cm="1">
        <f t="array" ref="H2237">_xlfn.IFS(Grammys[[#This Row],[date]] &gt;= DATE(2022,2,1),"Grammys",TRUE,"Grammys TRA")</f>
        <v>Grammys</v>
      </c>
      <c r="I2237">
        <f>_xlfn.XLOOKUP(Grammys[[#This Row],[date]],mobile_visits[date],mobile_visits[mobile_visitors],0)</f>
        <v>40385</v>
      </c>
    </row>
    <row r="2238" spans="1:9">
      <c r="A2238" s="1">
        <v>44972</v>
      </c>
      <c r="B2238">
        <v>48658</v>
      </c>
      <c r="C2238">
        <v>98360</v>
      </c>
      <c r="D2238">
        <v>52353</v>
      </c>
      <c r="E2238">
        <v>18492</v>
      </c>
      <c r="F2238">
        <v>101</v>
      </c>
      <c r="G2238" t="s">
        <v>9</v>
      </c>
      <c r="H2238" t="str" cm="1">
        <f t="array" ref="H2238">_xlfn.IFS(Grammys[[#This Row],[date]] &gt;= DATE(2022,2,1),"Grammys",TRUE,"Grammys TRA")</f>
        <v>Grammys</v>
      </c>
      <c r="I2238">
        <f>_xlfn.XLOOKUP(Grammys[[#This Row],[date]],mobile_visits[date],mobile_visits[mobile_visitors],0)</f>
        <v>33456</v>
      </c>
    </row>
    <row r="2239" spans="1:9">
      <c r="A2239" s="1">
        <v>44973</v>
      </c>
      <c r="B2239">
        <v>43914</v>
      </c>
      <c r="C2239">
        <v>87613</v>
      </c>
      <c r="D2239">
        <v>47169</v>
      </c>
      <c r="E2239">
        <v>17863</v>
      </c>
      <c r="F2239">
        <v>97</v>
      </c>
      <c r="G2239" t="s">
        <v>9</v>
      </c>
      <c r="H2239" t="str" cm="1">
        <f t="array" ref="H2239">_xlfn.IFS(Grammys[[#This Row],[date]] &gt;= DATE(2022,2,1),"Grammys",TRUE,"Grammys TRA")</f>
        <v>Grammys</v>
      </c>
      <c r="I2239">
        <f>_xlfn.XLOOKUP(Grammys[[#This Row],[date]],mobile_visits[date],mobile_visits[mobile_visitors],0)</f>
        <v>30511</v>
      </c>
    </row>
    <row r="2240" spans="1:9">
      <c r="A2240" s="1">
        <v>44974</v>
      </c>
      <c r="B2240">
        <v>42247</v>
      </c>
      <c r="C2240">
        <v>85376</v>
      </c>
      <c r="D2240">
        <v>45549</v>
      </c>
      <c r="E2240">
        <v>16931</v>
      </c>
      <c r="F2240">
        <v>99</v>
      </c>
      <c r="G2240" t="s">
        <v>9</v>
      </c>
      <c r="H2240" t="str" cm="1">
        <f t="array" ref="H2240">_xlfn.IFS(Grammys[[#This Row],[date]] &gt;= DATE(2022,2,1),"Grammys",TRUE,"Grammys TRA")</f>
        <v>Grammys</v>
      </c>
      <c r="I2240">
        <f>_xlfn.XLOOKUP(Grammys[[#This Row],[date]],mobile_visits[date],mobile_visits[mobile_visitors],0)</f>
        <v>30122</v>
      </c>
    </row>
    <row r="2241" spans="1:9">
      <c r="A2241" s="1">
        <v>44975</v>
      </c>
      <c r="B2241">
        <v>37337</v>
      </c>
      <c r="C2241">
        <v>75567</v>
      </c>
      <c r="D2241">
        <v>40138</v>
      </c>
      <c r="E2241">
        <v>14611</v>
      </c>
      <c r="F2241">
        <v>95</v>
      </c>
      <c r="G2241" t="s">
        <v>9</v>
      </c>
      <c r="H2241" t="str" cm="1">
        <f t="array" ref="H2241">_xlfn.IFS(Grammys[[#This Row],[date]] &gt;= DATE(2022,2,1),"Grammys",TRUE,"Grammys TRA")</f>
        <v>Grammys</v>
      </c>
      <c r="I2241">
        <f>_xlfn.XLOOKUP(Grammys[[#This Row],[date]],mobile_visits[date],mobile_visits[mobile_visitors],0)</f>
        <v>29749</v>
      </c>
    </row>
    <row r="2242" spans="1:9">
      <c r="A2242" s="1">
        <v>44976</v>
      </c>
      <c r="B2242">
        <v>34338</v>
      </c>
      <c r="C2242">
        <v>69655</v>
      </c>
      <c r="D2242">
        <v>37181</v>
      </c>
      <c r="E2242">
        <v>14118</v>
      </c>
      <c r="F2242">
        <v>92</v>
      </c>
      <c r="G2242" t="s">
        <v>9</v>
      </c>
      <c r="H2242" t="str" cm="1">
        <f t="array" ref="H2242">_xlfn.IFS(Grammys[[#This Row],[date]] &gt;= DATE(2022,2,1),"Grammys",TRUE,"Grammys TRA")</f>
        <v>Grammys</v>
      </c>
      <c r="I2242">
        <f>_xlfn.XLOOKUP(Grammys[[#This Row],[date]],mobile_visits[date],mobile_visits[mobile_visitors],0)</f>
        <v>27219</v>
      </c>
    </row>
    <row r="2243" spans="1:9">
      <c r="A2243" s="1">
        <v>44977</v>
      </c>
      <c r="B2243">
        <v>29949</v>
      </c>
      <c r="C2243">
        <v>59554</v>
      </c>
      <c r="D2243">
        <v>32092</v>
      </c>
      <c r="E2243">
        <v>12966</v>
      </c>
      <c r="F2243">
        <v>87</v>
      </c>
      <c r="G2243" t="s">
        <v>9</v>
      </c>
      <c r="H2243" t="str" cm="1">
        <f t="array" ref="H2243">_xlfn.IFS(Grammys[[#This Row],[date]] &gt;= DATE(2022,2,1),"Grammys",TRUE,"Grammys TRA")</f>
        <v>Grammys</v>
      </c>
      <c r="I2243">
        <f>_xlfn.XLOOKUP(Grammys[[#This Row],[date]],mobile_visits[date],mobile_visits[mobile_visitors],0)</f>
        <v>21944</v>
      </c>
    </row>
    <row r="2244" spans="1:9">
      <c r="A2244" s="1">
        <v>44978</v>
      </c>
      <c r="B2244">
        <v>27896</v>
      </c>
      <c r="C2244">
        <v>55157</v>
      </c>
      <c r="D2244">
        <v>29761</v>
      </c>
      <c r="E2244">
        <v>12726</v>
      </c>
      <c r="F2244">
        <v>90</v>
      </c>
      <c r="G2244" t="s">
        <v>9</v>
      </c>
      <c r="H2244" t="str" cm="1">
        <f t="array" ref="H2244">_xlfn.IFS(Grammys[[#This Row],[date]] &gt;= DATE(2022,2,1),"Grammys",TRUE,"Grammys TRA")</f>
        <v>Grammys</v>
      </c>
      <c r="I2244">
        <f>_xlfn.XLOOKUP(Grammys[[#This Row],[date]],mobile_visits[date],mobile_visits[mobile_visitors],0)</f>
        <v>19161</v>
      </c>
    </row>
    <row r="2245" spans="1:9">
      <c r="A2245" s="1">
        <v>44979</v>
      </c>
      <c r="B2245">
        <v>26660</v>
      </c>
      <c r="C2245">
        <v>51730</v>
      </c>
      <c r="D2245">
        <v>28476</v>
      </c>
      <c r="E2245">
        <v>13005</v>
      </c>
      <c r="F2245">
        <v>91</v>
      </c>
      <c r="G2245" t="s">
        <v>9</v>
      </c>
      <c r="H2245" t="str" cm="1">
        <f t="array" ref="H2245">_xlfn.IFS(Grammys[[#This Row],[date]] &gt;= DATE(2022,2,1),"Grammys",TRUE,"Grammys TRA")</f>
        <v>Grammys</v>
      </c>
      <c r="I2245">
        <f>_xlfn.XLOOKUP(Grammys[[#This Row],[date]],mobile_visits[date],mobile_visits[mobile_visitors],0)</f>
        <v>17351</v>
      </c>
    </row>
    <row r="2246" spans="1:9">
      <c r="A2246" s="1">
        <v>44980</v>
      </c>
      <c r="B2246">
        <v>26618</v>
      </c>
      <c r="C2246">
        <v>51344</v>
      </c>
      <c r="D2246">
        <v>28370</v>
      </c>
      <c r="E2246">
        <v>13164</v>
      </c>
      <c r="F2246">
        <v>88</v>
      </c>
      <c r="G2246" t="s">
        <v>9</v>
      </c>
      <c r="H2246" t="str" cm="1">
        <f t="array" ref="H2246">_xlfn.IFS(Grammys[[#This Row],[date]] &gt;= DATE(2022,2,1),"Grammys",TRUE,"Grammys TRA")</f>
        <v>Grammys</v>
      </c>
      <c r="I2246">
        <f>_xlfn.XLOOKUP(Grammys[[#This Row],[date]],mobile_visits[date],mobile_visits[mobile_visitors],0)</f>
        <v>17987</v>
      </c>
    </row>
    <row r="2247" spans="1:9">
      <c r="A2247" s="1">
        <v>44981</v>
      </c>
      <c r="B2247">
        <v>27396</v>
      </c>
      <c r="C2247">
        <v>53956</v>
      </c>
      <c r="D2247">
        <v>29299</v>
      </c>
      <c r="E2247">
        <v>13648</v>
      </c>
      <c r="F2247">
        <v>84</v>
      </c>
      <c r="G2247" t="s">
        <v>9</v>
      </c>
      <c r="H2247" t="str" cm="1">
        <f t="array" ref="H2247">_xlfn.IFS(Grammys[[#This Row],[date]] &gt;= DATE(2022,2,1),"Grammys",TRUE,"Grammys TRA")</f>
        <v>Grammys</v>
      </c>
      <c r="I2247">
        <f>_xlfn.XLOOKUP(Grammys[[#This Row],[date]],mobile_visits[date],mobile_visits[mobile_visitors],0)</f>
        <v>18504</v>
      </c>
    </row>
    <row r="2248" spans="1:9">
      <c r="A2248" s="1">
        <v>44982</v>
      </c>
      <c r="B2248">
        <v>24847</v>
      </c>
      <c r="C2248">
        <v>50086</v>
      </c>
      <c r="D2248">
        <v>26561</v>
      </c>
      <c r="E2248">
        <v>12357</v>
      </c>
      <c r="F2248">
        <v>83</v>
      </c>
      <c r="G2248" t="s">
        <v>9</v>
      </c>
      <c r="H2248" t="str" cm="1">
        <f t="array" ref="H2248">_xlfn.IFS(Grammys[[#This Row],[date]] &gt;= DATE(2022,2,1),"Grammys",TRUE,"Grammys TRA")</f>
        <v>Grammys</v>
      </c>
      <c r="I2248">
        <f>_xlfn.XLOOKUP(Grammys[[#This Row],[date]],mobile_visits[date],mobile_visits[mobile_visitors],0)</f>
        <v>19528</v>
      </c>
    </row>
    <row r="2249" spans="1:9">
      <c r="A2249" s="1">
        <v>44983</v>
      </c>
      <c r="B2249">
        <v>21871</v>
      </c>
      <c r="C2249">
        <v>43844</v>
      </c>
      <c r="D2249">
        <v>23439</v>
      </c>
      <c r="E2249">
        <v>11242</v>
      </c>
      <c r="F2249">
        <v>87</v>
      </c>
      <c r="G2249" t="s">
        <v>9</v>
      </c>
      <c r="H2249" t="str" cm="1">
        <f t="array" ref="H2249">_xlfn.IFS(Grammys[[#This Row],[date]] &gt;= DATE(2022,2,1),"Grammys",TRUE,"Grammys TRA")</f>
        <v>Grammys</v>
      </c>
      <c r="I2249">
        <f>_xlfn.XLOOKUP(Grammys[[#This Row],[date]],mobile_visits[date],mobile_visits[mobile_visitors],0)</f>
        <v>16500</v>
      </c>
    </row>
    <row r="2250" spans="1:9">
      <c r="A2250" s="1">
        <v>44984</v>
      </c>
      <c r="B2250">
        <v>21367</v>
      </c>
      <c r="C2250">
        <v>41234</v>
      </c>
      <c r="D2250">
        <v>22820</v>
      </c>
      <c r="E2250">
        <v>11280</v>
      </c>
      <c r="F2250">
        <v>77</v>
      </c>
      <c r="G2250" t="s">
        <v>9</v>
      </c>
      <c r="H2250" t="str" cm="1">
        <f t="array" ref="H2250">_xlfn.IFS(Grammys[[#This Row],[date]] &gt;= DATE(2022,2,1),"Grammys",TRUE,"Grammys TRA")</f>
        <v>Grammys</v>
      </c>
      <c r="I2250">
        <f>_xlfn.XLOOKUP(Grammys[[#This Row],[date]],mobile_visits[date],mobile_visits[mobile_visitors],0)</f>
        <v>13909</v>
      </c>
    </row>
    <row r="2251" spans="1:9">
      <c r="A2251" s="1">
        <v>44985</v>
      </c>
      <c r="B2251">
        <v>20536</v>
      </c>
      <c r="C2251">
        <v>40037</v>
      </c>
      <c r="D2251">
        <v>22000</v>
      </c>
      <c r="E2251">
        <v>10818</v>
      </c>
      <c r="F2251">
        <v>76</v>
      </c>
      <c r="G2251" t="s">
        <v>9</v>
      </c>
      <c r="H2251" t="str" cm="1">
        <f t="array" ref="H2251">_xlfn.IFS(Grammys[[#This Row],[date]] &gt;= DATE(2022,2,1),"Grammys",TRUE,"Grammys TRA")</f>
        <v>Grammys</v>
      </c>
      <c r="I2251">
        <f>_xlfn.XLOOKUP(Grammys[[#This Row],[date]],mobile_visits[date],mobile_visits[mobile_visitors],0)</f>
        <v>13000</v>
      </c>
    </row>
    <row r="2252" spans="1:9">
      <c r="A2252" s="1">
        <v>44986</v>
      </c>
      <c r="B2252">
        <v>20487</v>
      </c>
      <c r="C2252">
        <v>38927</v>
      </c>
      <c r="D2252">
        <v>21878</v>
      </c>
      <c r="E2252">
        <v>10762</v>
      </c>
      <c r="F2252">
        <v>80</v>
      </c>
      <c r="G2252" t="s">
        <v>9</v>
      </c>
      <c r="H2252" t="str" cm="1">
        <f t="array" ref="H2252">_xlfn.IFS(Grammys[[#This Row],[date]] &gt;= DATE(2022,2,1),"Grammys",TRUE,"Grammys TRA")</f>
        <v>Grammys</v>
      </c>
      <c r="I2252">
        <f>_xlfn.XLOOKUP(Grammys[[#This Row],[date]],mobile_visits[date],mobile_visits[mobile_visitors],0)</f>
        <v>13525</v>
      </c>
    </row>
    <row r="2253" spans="1:9">
      <c r="A2253" s="1">
        <v>44987</v>
      </c>
      <c r="B2253">
        <v>20803</v>
      </c>
      <c r="C2253">
        <v>39818</v>
      </c>
      <c r="D2253">
        <v>21899</v>
      </c>
      <c r="E2253">
        <v>11046</v>
      </c>
      <c r="F2253">
        <v>80</v>
      </c>
      <c r="G2253" t="s">
        <v>9</v>
      </c>
      <c r="H2253" t="str" cm="1">
        <f t="array" ref="H2253">_xlfn.IFS(Grammys[[#This Row],[date]] &gt;= DATE(2022,2,1),"Grammys",TRUE,"Grammys TRA")</f>
        <v>Grammys</v>
      </c>
      <c r="I2253">
        <f>_xlfn.XLOOKUP(Grammys[[#This Row],[date]],mobile_visits[date],mobile_visits[mobile_visitors],0)</f>
        <v>13476</v>
      </c>
    </row>
    <row r="2254" spans="1:9">
      <c r="A2254" s="1">
        <v>44988</v>
      </c>
      <c r="B2254">
        <v>19518</v>
      </c>
      <c r="C2254">
        <v>37294</v>
      </c>
      <c r="D2254">
        <v>20717</v>
      </c>
      <c r="E2254">
        <v>10280</v>
      </c>
      <c r="F2254">
        <v>76</v>
      </c>
      <c r="G2254" t="s">
        <v>9</v>
      </c>
      <c r="H2254" t="str" cm="1">
        <f t="array" ref="H2254">_xlfn.IFS(Grammys[[#This Row],[date]] &gt;= DATE(2022,2,1),"Grammys",TRUE,"Grammys TRA")</f>
        <v>Grammys</v>
      </c>
      <c r="I2254">
        <f>_xlfn.XLOOKUP(Grammys[[#This Row],[date]],mobile_visits[date],mobile_visits[mobile_visitors],0)</f>
        <v>14381</v>
      </c>
    </row>
    <row r="2255" spans="1:9">
      <c r="A2255" s="1">
        <v>44989</v>
      </c>
      <c r="B2255">
        <v>18295</v>
      </c>
      <c r="C2255">
        <v>35962</v>
      </c>
      <c r="D2255">
        <v>19545</v>
      </c>
      <c r="E2255">
        <v>9306</v>
      </c>
      <c r="F2255">
        <v>79</v>
      </c>
      <c r="G2255" t="s">
        <v>9</v>
      </c>
      <c r="H2255" t="str" cm="1">
        <f t="array" ref="H2255">_xlfn.IFS(Grammys[[#This Row],[date]] &gt;= DATE(2022,2,1),"Grammys",TRUE,"Grammys TRA")</f>
        <v>Grammys</v>
      </c>
      <c r="I2255">
        <f>_xlfn.XLOOKUP(Grammys[[#This Row],[date]],mobile_visits[date],mobile_visits[mobile_visitors],0)</f>
        <v>13706</v>
      </c>
    </row>
    <row r="2256" spans="1:9">
      <c r="A2256" s="1">
        <v>44990</v>
      </c>
      <c r="B2256">
        <v>18840</v>
      </c>
      <c r="C2256">
        <v>36418</v>
      </c>
      <c r="D2256">
        <v>20056</v>
      </c>
      <c r="E2256">
        <v>9774</v>
      </c>
      <c r="F2256">
        <v>78</v>
      </c>
      <c r="G2256" t="s">
        <v>9</v>
      </c>
      <c r="H2256" t="str" cm="1">
        <f t="array" ref="H2256">_xlfn.IFS(Grammys[[#This Row],[date]] &gt;= DATE(2022,2,1),"Grammys",TRUE,"Grammys TRA")</f>
        <v>Grammys</v>
      </c>
      <c r="I2256">
        <f>_xlfn.XLOOKUP(Grammys[[#This Row],[date]],mobile_visits[date],mobile_visits[mobile_visitors],0)</f>
        <v>14903</v>
      </c>
    </row>
    <row r="2257" spans="1:9">
      <c r="A2257" s="1">
        <v>44991</v>
      </c>
      <c r="B2257">
        <v>18650</v>
      </c>
      <c r="C2257">
        <v>35807</v>
      </c>
      <c r="D2257">
        <v>19985</v>
      </c>
      <c r="E2257">
        <v>9891</v>
      </c>
      <c r="F2257">
        <v>82</v>
      </c>
      <c r="G2257" t="s">
        <v>9</v>
      </c>
      <c r="H2257" t="str" cm="1">
        <f t="array" ref="H2257">_xlfn.IFS(Grammys[[#This Row],[date]] &gt;= DATE(2022,2,1),"Grammys",TRUE,"Grammys TRA")</f>
        <v>Grammys</v>
      </c>
      <c r="I2257">
        <f>_xlfn.XLOOKUP(Grammys[[#This Row],[date]],mobile_visits[date],mobile_visits[mobile_visitors],0)</f>
        <v>11923</v>
      </c>
    </row>
    <row r="2258" spans="1:9">
      <c r="A2258" s="1">
        <v>44992</v>
      </c>
      <c r="B2258">
        <v>18921</v>
      </c>
      <c r="C2258">
        <v>35836</v>
      </c>
      <c r="D2258">
        <v>20328</v>
      </c>
      <c r="E2258">
        <v>10347</v>
      </c>
      <c r="F2258">
        <v>81</v>
      </c>
      <c r="G2258" t="s">
        <v>9</v>
      </c>
      <c r="H2258" t="str" cm="1">
        <f t="array" ref="H2258">_xlfn.IFS(Grammys[[#This Row],[date]] &gt;= DATE(2022,2,1),"Grammys",TRUE,"Grammys TRA")</f>
        <v>Grammys</v>
      </c>
      <c r="I2258">
        <f>_xlfn.XLOOKUP(Grammys[[#This Row],[date]],mobile_visits[date],mobile_visits[mobile_visitors],0)</f>
        <v>11724</v>
      </c>
    </row>
    <row r="2259" spans="1:9">
      <c r="A2259" s="1">
        <v>44993</v>
      </c>
      <c r="B2259">
        <v>18656</v>
      </c>
      <c r="C2259">
        <v>35916</v>
      </c>
      <c r="D2259">
        <v>20085</v>
      </c>
      <c r="E2259">
        <v>10348</v>
      </c>
      <c r="F2259">
        <v>84</v>
      </c>
      <c r="G2259" t="s">
        <v>9</v>
      </c>
      <c r="H2259" t="str" cm="1">
        <f t="array" ref="H2259">_xlfn.IFS(Grammys[[#This Row],[date]] &gt;= DATE(2022,2,1),"Grammys",TRUE,"Grammys TRA")</f>
        <v>Grammys</v>
      </c>
      <c r="I2259">
        <f>_xlfn.XLOOKUP(Grammys[[#This Row],[date]],mobile_visits[date],mobile_visits[mobile_visitors],0)</f>
        <v>12007</v>
      </c>
    </row>
    <row r="2260" spans="1:9">
      <c r="A2260" s="1">
        <v>44994</v>
      </c>
      <c r="B2260">
        <v>17114</v>
      </c>
      <c r="C2260">
        <v>33313</v>
      </c>
      <c r="D2260">
        <v>18576</v>
      </c>
      <c r="E2260">
        <v>9461</v>
      </c>
      <c r="F2260">
        <v>81</v>
      </c>
      <c r="G2260" t="s">
        <v>9</v>
      </c>
      <c r="H2260" t="str" cm="1">
        <f t="array" ref="H2260">_xlfn.IFS(Grammys[[#This Row],[date]] &gt;= DATE(2022,2,1),"Grammys",TRUE,"Grammys TRA")</f>
        <v>Grammys</v>
      </c>
      <c r="I2260">
        <f>_xlfn.XLOOKUP(Grammys[[#This Row],[date]],mobile_visits[date],mobile_visits[mobile_visitors],0)</f>
        <v>9995</v>
      </c>
    </row>
    <row r="2261" spans="1:9">
      <c r="A2261" s="1">
        <v>44995</v>
      </c>
      <c r="B2261">
        <v>19174</v>
      </c>
      <c r="C2261">
        <v>36701</v>
      </c>
      <c r="D2261">
        <v>20546</v>
      </c>
      <c r="E2261">
        <v>10578</v>
      </c>
      <c r="F2261">
        <v>73</v>
      </c>
      <c r="G2261" t="s">
        <v>9</v>
      </c>
      <c r="H2261" t="str" cm="1">
        <f t="array" ref="H2261">_xlfn.IFS(Grammys[[#This Row],[date]] &gt;= DATE(2022,2,1),"Grammys",TRUE,"Grammys TRA")</f>
        <v>Grammys</v>
      </c>
      <c r="I2261">
        <f>_xlfn.XLOOKUP(Grammys[[#This Row],[date]],mobile_visits[date],mobile_visits[mobile_visitors],0)</f>
        <v>13750</v>
      </c>
    </row>
    <row r="2262" spans="1:9">
      <c r="A2262" s="1">
        <v>44996</v>
      </c>
      <c r="B2262">
        <v>18801</v>
      </c>
      <c r="C2262">
        <v>35623</v>
      </c>
      <c r="D2262">
        <v>19934</v>
      </c>
      <c r="E2262">
        <v>10087</v>
      </c>
      <c r="F2262">
        <v>68</v>
      </c>
      <c r="G2262" t="s">
        <v>9</v>
      </c>
      <c r="H2262" t="str" cm="1">
        <f t="array" ref="H2262">_xlfn.IFS(Grammys[[#This Row],[date]] &gt;= DATE(2022,2,1),"Grammys",TRUE,"Grammys TRA")</f>
        <v>Grammys</v>
      </c>
      <c r="I2262">
        <f>_xlfn.XLOOKUP(Grammys[[#This Row],[date]],mobile_visits[date],mobile_visits[mobile_visitors],0)</f>
        <v>14707</v>
      </c>
    </row>
    <row r="2263" spans="1:9">
      <c r="A2263" s="1">
        <v>44997</v>
      </c>
      <c r="B2263">
        <v>37150</v>
      </c>
      <c r="C2263">
        <v>75379</v>
      </c>
      <c r="D2263">
        <v>38967</v>
      </c>
      <c r="E2263">
        <v>17828</v>
      </c>
      <c r="F2263">
        <v>65</v>
      </c>
      <c r="G2263" t="s">
        <v>9</v>
      </c>
      <c r="H2263" t="str" cm="1">
        <f t="array" ref="H2263">_xlfn.IFS(Grammys[[#This Row],[date]] &gt;= DATE(2022,2,1),"Grammys",TRUE,"Grammys TRA")</f>
        <v>Grammys</v>
      </c>
      <c r="I2263">
        <f>_xlfn.XLOOKUP(Grammys[[#This Row],[date]],mobile_visits[date],mobile_visits[mobile_visitors],0)</f>
        <v>30240</v>
      </c>
    </row>
    <row r="2264" spans="1:9">
      <c r="A2264" s="1">
        <v>44998</v>
      </c>
      <c r="B2264">
        <v>36086</v>
      </c>
      <c r="C2264">
        <v>77071</v>
      </c>
      <c r="D2264">
        <v>38037</v>
      </c>
      <c r="E2264">
        <v>17197</v>
      </c>
      <c r="F2264">
        <v>64</v>
      </c>
      <c r="G2264" t="s">
        <v>9</v>
      </c>
      <c r="H2264" t="str" cm="1">
        <f t="array" ref="H2264">_xlfn.IFS(Grammys[[#This Row],[date]] &gt;= DATE(2022,2,1),"Grammys",TRUE,"Grammys TRA")</f>
        <v>Grammys</v>
      </c>
      <c r="I2264">
        <f>_xlfn.XLOOKUP(Grammys[[#This Row],[date]],mobile_visits[date],mobile_visits[mobile_visitors],0)</f>
        <v>27142</v>
      </c>
    </row>
    <row r="2265" spans="1:9">
      <c r="A2265" s="1">
        <v>44999</v>
      </c>
      <c r="B2265">
        <v>21167</v>
      </c>
      <c r="C2265">
        <v>41054</v>
      </c>
      <c r="D2265">
        <v>22488</v>
      </c>
      <c r="E2265">
        <v>11330</v>
      </c>
      <c r="F2265">
        <v>73</v>
      </c>
      <c r="G2265" t="s">
        <v>9</v>
      </c>
      <c r="H2265" t="str" cm="1">
        <f t="array" ref="H2265">_xlfn.IFS(Grammys[[#This Row],[date]] &gt;= DATE(2022,2,1),"Grammys",TRUE,"Grammys TRA")</f>
        <v>Grammys</v>
      </c>
      <c r="I2265">
        <f>_xlfn.XLOOKUP(Grammys[[#This Row],[date]],mobile_visits[date],mobile_visits[mobile_visitors],0)</f>
        <v>14831</v>
      </c>
    </row>
    <row r="2266" spans="1:9">
      <c r="A2266" s="1">
        <v>45000</v>
      </c>
      <c r="B2266">
        <v>18476</v>
      </c>
      <c r="C2266">
        <v>36023</v>
      </c>
      <c r="D2266">
        <v>19678</v>
      </c>
      <c r="E2266">
        <v>9967</v>
      </c>
      <c r="F2266">
        <v>77</v>
      </c>
      <c r="G2266" t="s">
        <v>9</v>
      </c>
      <c r="H2266" t="str" cm="1">
        <f t="array" ref="H2266">_xlfn.IFS(Grammys[[#This Row],[date]] &gt;= DATE(2022,2,1),"Grammys",TRUE,"Grammys TRA")</f>
        <v>Grammys</v>
      </c>
      <c r="I2266">
        <f>_xlfn.XLOOKUP(Grammys[[#This Row],[date]],mobile_visits[date],mobile_visits[mobile_visitors],0)</f>
        <v>11827</v>
      </c>
    </row>
    <row r="2267" spans="1:9">
      <c r="A2267" s="1">
        <v>45001</v>
      </c>
      <c r="B2267">
        <v>18763</v>
      </c>
      <c r="C2267">
        <v>35997</v>
      </c>
      <c r="D2267">
        <v>19991</v>
      </c>
      <c r="E2267">
        <v>10334</v>
      </c>
      <c r="F2267">
        <v>76</v>
      </c>
      <c r="G2267" t="s">
        <v>9</v>
      </c>
      <c r="H2267" t="str" cm="1">
        <f t="array" ref="H2267">_xlfn.IFS(Grammys[[#This Row],[date]] &gt;= DATE(2022,2,1),"Grammys",TRUE,"Grammys TRA")</f>
        <v>Grammys</v>
      </c>
      <c r="I2267">
        <f>_xlfn.XLOOKUP(Grammys[[#This Row],[date]],mobile_visits[date],mobile_visits[mobile_visitors],0)</f>
        <v>12088</v>
      </c>
    </row>
    <row r="2268" spans="1:9">
      <c r="A2268" s="1">
        <v>45002</v>
      </c>
      <c r="B2268">
        <v>18023</v>
      </c>
      <c r="C2268">
        <v>34579</v>
      </c>
      <c r="D2268">
        <v>19227</v>
      </c>
      <c r="E2268">
        <v>9672</v>
      </c>
      <c r="F2268">
        <v>72</v>
      </c>
      <c r="G2268" t="s">
        <v>9</v>
      </c>
      <c r="H2268" t="str" cm="1">
        <f t="array" ref="H2268">_xlfn.IFS(Grammys[[#This Row],[date]] &gt;= DATE(2022,2,1),"Grammys",TRUE,"Grammys TRA")</f>
        <v>Grammys</v>
      </c>
      <c r="I2268">
        <f>_xlfn.XLOOKUP(Grammys[[#This Row],[date]],mobile_visits[date],mobile_visits[mobile_visitors],0)</f>
        <v>12260</v>
      </c>
    </row>
    <row r="2269" spans="1:9">
      <c r="A2269" s="1">
        <v>45003</v>
      </c>
      <c r="B2269">
        <v>27380</v>
      </c>
      <c r="C2269">
        <v>50004</v>
      </c>
      <c r="D2269">
        <v>29080</v>
      </c>
      <c r="E2269">
        <v>14817</v>
      </c>
      <c r="F2269">
        <v>76</v>
      </c>
      <c r="G2269" t="s">
        <v>9</v>
      </c>
      <c r="H2269" t="str" cm="1">
        <f t="array" ref="H2269">_xlfn.IFS(Grammys[[#This Row],[date]] &gt;= DATE(2022,2,1),"Grammys",TRUE,"Grammys TRA")</f>
        <v>Grammys</v>
      </c>
      <c r="I2269">
        <f>_xlfn.XLOOKUP(Grammys[[#This Row],[date]],mobile_visits[date],mobile_visits[mobile_visitors],0)</f>
        <v>21774</v>
      </c>
    </row>
    <row r="2270" spans="1:9">
      <c r="A2270" s="1">
        <v>45004</v>
      </c>
      <c r="B2270">
        <v>20211</v>
      </c>
      <c r="C2270">
        <v>37913</v>
      </c>
      <c r="D2270">
        <v>21136</v>
      </c>
      <c r="E2270">
        <v>10363</v>
      </c>
      <c r="F2270">
        <v>68</v>
      </c>
      <c r="G2270" t="s">
        <v>9</v>
      </c>
      <c r="H2270" t="str" cm="1">
        <f t="array" ref="H2270">_xlfn.IFS(Grammys[[#This Row],[date]] &gt;= DATE(2022,2,1),"Grammys",TRUE,"Grammys TRA")</f>
        <v>Grammys</v>
      </c>
      <c r="I2270">
        <f>_xlfn.XLOOKUP(Grammys[[#This Row],[date]],mobile_visits[date],mobile_visits[mobile_visitors],0)</f>
        <v>15335</v>
      </c>
    </row>
    <row r="2271" spans="1:9">
      <c r="A2271" s="1">
        <v>45005</v>
      </c>
      <c r="B2271">
        <v>18764</v>
      </c>
      <c r="C2271">
        <v>34670</v>
      </c>
      <c r="D2271">
        <v>20154</v>
      </c>
      <c r="E2271">
        <v>10724</v>
      </c>
      <c r="F2271">
        <v>72</v>
      </c>
      <c r="G2271" t="s">
        <v>9</v>
      </c>
      <c r="H2271" t="str" cm="1">
        <f t="array" ref="H2271">_xlfn.IFS(Grammys[[#This Row],[date]] &gt;= DATE(2022,2,1),"Grammys",TRUE,"Grammys TRA")</f>
        <v>Grammys</v>
      </c>
      <c r="I2271">
        <f>_xlfn.XLOOKUP(Grammys[[#This Row],[date]],mobile_visits[date],mobile_visits[mobile_visitors],0)</f>
        <v>13784</v>
      </c>
    </row>
    <row r="2272" spans="1:9">
      <c r="A2272" s="1">
        <v>45006</v>
      </c>
      <c r="B2272">
        <v>17787</v>
      </c>
      <c r="C2272">
        <v>32293</v>
      </c>
      <c r="D2272">
        <v>18846</v>
      </c>
      <c r="E2272">
        <v>10326</v>
      </c>
      <c r="F2272">
        <v>71</v>
      </c>
      <c r="G2272" t="s">
        <v>9</v>
      </c>
      <c r="H2272" t="str" cm="1">
        <f t="array" ref="H2272">_xlfn.IFS(Grammys[[#This Row],[date]] &gt;= DATE(2022,2,1),"Grammys",TRUE,"Grammys TRA")</f>
        <v>Grammys</v>
      </c>
      <c r="I2272">
        <f>_xlfn.XLOOKUP(Grammys[[#This Row],[date]],mobile_visits[date],mobile_visits[mobile_visitors],0)</f>
        <v>11060</v>
      </c>
    </row>
    <row r="2273" spans="1:9">
      <c r="A2273" s="1">
        <v>45007</v>
      </c>
      <c r="B2273">
        <v>17157</v>
      </c>
      <c r="C2273">
        <v>30657</v>
      </c>
      <c r="D2273">
        <v>18191</v>
      </c>
      <c r="E2273">
        <v>9942</v>
      </c>
      <c r="F2273">
        <v>73</v>
      </c>
      <c r="G2273" t="s">
        <v>9</v>
      </c>
      <c r="H2273" t="str" cm="1">
        <f t="array" ref="H2273">_xlfn.IFS(Grammys[[#This Row],[date]] &gt;= DATE(2022,2,1),"Grammys",TRUE,"Grammys TRA")</f>
        <v>Grammys</v>
      </c>
      <c r="I2273">
        <f>_xlfn.XLOOKUP(Grammys[[#This Row],[date]],mobile_visits[date],mobile_visits[mobile_visitors],0)</f>
        <v>10638</v>
      </c>
    </row>
    <row r="2274" spans="1:9">
      <c r="A2274" s="1">
        <v>45008</v>
      </c>
      <c r="B2274">
        <v>16723</v>
      </c>
      <c r="C2274">
        <v>30548</v>
      </c>
      <c r="D2274">
        <v>17723</v>
      </c>
      <c r="E2274">
        <v>9426</v>
      </c>
      <c r="F2274">
        <v>74</v>
      </c>
      <c r="G2274" t="s">
        <v>9</v>
      </c>
      <c r="H2274" t="str" cm="1">
        <f t="array" ref="H2274">_xlfn.IFS(Grammys[[#This Row],[date]] &gt;= DATE(2022,2,1),"Grammys",TRUE,"Grammys TRA")</f>
        <v>Grammys</v>
      </c>
      <c r="I2274">
        <f>_xlfn.XLOOKUP(Grammys[[#This Row],[date]],mobile_visits[date],mobile_visits[mobile_visitors],0)</f>
        <v>9839</v>
      </c>
    </row>
    <row r="2275" spans="1:9">
      <c r="A2275" s="1">
        <v>45009</v>
      </c>
      <c r="B2275">
        <v>20952</v>
      </c>
      <c r="C2275">
        <v>39241</v>
      </c>
      <c r="D2275">
        <v>22200</v>
      </c>
      <c r="E2275">
        <v>11100</v>
      </c>
      <c r="F2275">
        <v>80</v>
      </c>
      <c r="G2275" t="s">
        <v>9</v>
      </c>
      <c r="H2275" t="str" cm="1">
        <f t="array" ref="H2275">_xlfn.IFS(Grammys[[#This Row],[date]] &gt;= DATE(2022,2,1),"Grammys",TRUE,"Grammys TRA")</f>
        <v>Grammys</v>
      </c>
      <c r="I2275">
        <f>_xlfn.XLOOKUP(Grammys[[#This Row],[date]],mobile_visits[date],mobile_visits[mobile_visitors],0)</f>
        <v>14981</v>
      </c>
    </row>
    <row r="2276" spans="1:9">
      <c r="A2276" s="1">
        <v>45010</v>
      </c>
      <c r="B2276">
        <v>18056</v>
      </c>
      <c r="C2276">
        <v>33788</v>
      </c>
      <c r="D2276">
        <v>18826</v>
      </c>
      <c r="E2276">
        <v>9346</v>
      </c>
      <c r="F2276">
        <v>76</v>
      </c>
      <c r="G2276" t="s">
        <v>9</v>
      </c>
      <c r="H2276" t="str" cm="1">
        <f t="array" ref="H2276">_xlfn.IFS(Grammys[[#This Row],[date]] &gt;= DATE(2022,2,1),"Grammys",TRUE,"Grammys TRA")</f>
        <v>Grammys</v>
      </c>
      <c r="I2276">
        <f>_xlfn.XLOOKUP(Grammys[[#This Row],[date]],mobile_visits[date],mobile_visits[mobile_visitors],0)</f>
        <v>13858</v>
      </c>
    </row>
    <row r="2277" spans="1:9">
      <c r="A2277" s="1">
        <v>45011</v>
      </c>
      <c r="B2277">
        <v>16435</v>
      </c>
      <c r="C2277">
        <v>31118</v>
      </c>
      <c r="D2277">
        <v>17461</v>
      </c>
      <c r="E2277">
        <v>8923</v>
      </c>
      <c r="F2277">
        <v>80</v>
      </c>
      <c r="G2277" t="s">
        <v>9</v>
      </c>
      <c r="H2277" t="str" cm="1">
        <f t="array" ref="H2277">_xlfn.IFS(Grammys[[#This Row],[date]] &gt;= DATE(2022,2,1),"Grammys",TRUE,"Grammys TRA")</f>
        <v>Grammys</v>
      </c>
      <c r="I2277">
        <f>_xlfn.XLOOKUP(Grammys[[#This Row],[date]],mobile_visits[date],mobile_visits[mobile_visitors],0)</f>
        <v>12445</v>
      </c>
    </row>
    <row r="2278" spans="1:9">
      <c r="A2278" s="1">
        <v>45012</v>
      </c>
      <c r="B2278">
        <v>17009</v>
      </c>
      <c r="C2278">
        <v>31091</v>
      </c>
      <c r="D2278">
        <v>17745</v>
      </c>
      <c r="E2278">
        <v>9333</v>
      </c>
      <c r="F2278">
        <v>79</v>
      </c>
      <c r="G2278" t="s">
        <v>9</v>
      </c>
      <c r="H2278" t="str" cm="1">
        <f t="array" ref="H2278">_xlfn.IFS(Grammys[[#This Row],[date]] &gt;= DATE(2022,2,1),"Grammys",TRUE,"Grammys TRA")</f>
        <v>Grammys</v>
      </c>
      <c r="I2278">
        <f>_xlfn.XLOOKUP(Grammys[[#This Row],[date]],mobile_visits[date],mobile_visits[mobile_visitors],0)</f>
        <v>12654</v>
      </c>
    </row>
    <row r="2279" spans="1:9">
      <c r="A2279" s="1">
        <v>45013</v>
      </c>
      <c r="B2279">
        <v>16828</v>
      </c>
      <c r="C2279">
        <v>30960</v>
      </c>
      <c r="D2279">
        <v>17826</v>
      </c>
      <c r="E2279">
        <v>9281</v>
      </c>
      <c r="F2279">
        <v>77</v>
      </c>
      <c r="G2279" t="s">
        <v>9</v>
      </c>
      <c r="H2279" t="str" cm="1">
        <f t="array" ref="H2279">_xlfn.IFS(Grammys[[#This Row],[date]] &gt;= DATE(2022,2,1),"Grammys",TRUE,"Grammys TRA")</f>
        <v>Grammys</v>
      </c>
      <c r="I2279">
        <f>_xlfn.XLOOKUP(Grammys[[#This Row],[date]],mobile_visits[date],mobile_visits[mobile_visitors],0)</f>
        <v>9996</v>
      </c>
    </row>
    <row r="2280" spans="1:9">
      <c r="A2280" s="1">
        <v>45014</v>
      </c>
      <c r="B2280">
        <v>18432</v>
      </c>
      <c r="C2280">
        <v>34576</v>
      </c>
      <c r="D2280">
        <v>19730</v>
      </c>
      <c r="E2280">
        <v>10165</v>
      </c>
      <c r="F2280">
        <v>78</v>
      </c>
      <c r="G2280" t="s">
        <v>9</v>
      </c>
      <c r="H2280" t="str" cm="1">
        <f t="array" ref="H2280">_xlfn.IFS(Grammys[[#This Row],[date]] &gt;= DATE(2022,2,1),"Grammys",TRUE,"Grammys TRA")</f>
        <v>Grammys</v>
      </c>
      <c r="I2280">
        <f>_xlfn.XLOOKUP(Grammys[[#This Row],[date]],mobile_visits[date],mobile_visits[mobile_visitors],0)</f>
        <v>12356</v>
      </c>
    </row>
    <row r="2281" spans="1:9">
      <c r="A2281" s="1">
        <v>45015</v>
      </c>
      <c r="B2281">
        <v>16727</v>
      </c>
      <c r="C2281">
        <v>30475</v>
      </c>
      <c r="D2281">
        <v>17954</v>
      </c>
      <c r="E2281">
        <v>9561</v>
      </c>
      <c r="F2281">
        <v>78</v>
      </c>
      <c r="G2281" t="s">
        <v>9</v>
      </c>
      <c r="H2281" t="str" cm="1">
        <f t="array" ref="H2281">_xlfn.IFS(Grammys[[#This Row],[date]] &gt;= DATE(2022,2,1),"Grammys",TRUE,"Grammys TRA")</f>
        <v>Grammys</v>
      </c>
      <c r="I2281">
        <f>_xlfn.XLOOKUP(Grammys[[#This Row],[date]],mobile_visits[date],mobile_visits[mobile_visitors],0)</f>
        <v>10260</v>
      </c>
    </row>
    <row r="2282" spans="1:9">
      <c r="A2282" s="1">
        <v>45016</v>
      </c>
      <c r="B2282">
        <v>17114</v>
      </c>
      <c r="C2282">
        <v>32051</v>
      </c>
      <c r="D2282">
        <v>18300</v>
      </c>
      <c r="E2282">
        <v>9612</v>
      </c>
      <c r="F2282">
        <v>77</v>
      </c>
      <c r="G2282" t="s">
        <v>9</v>
      </c>
      <c r="H2282" t="str" cm="1">
        <f t="array" ref="H2282">_xlfn.IFS(Grammys[[#This Row],[date]] &gt;= DATE(2022,2,1),"Grammys",TRUE,"Grammys TRA")</f>
        <v>Grammys</v>
      </c>
      <c r="I2282">
        <f>_xlfn.XLOOKUP(Grammys[[#This Row],[date]],mobile_visits[date],mobile_visits[mobile_visitors],0)</f>
        <v>12473</v>
      </c>
    </row>
    <row r="2283" spans="1:9">
      <c r="A2283" s="1">
        <v>45017</v>
      </c>
      <c r="B2283">
        <v>14697</v>
      </c>
      <c r="C2283">
        <v>28144</v>
      </c>
      <c r="D2283">
        <v>15740</v>
      </c>
      <c r="E2283">
        <v>8081</v>
      </c>
      <c r="F2283">
        <v>75</v>
      </c>
      <c r="G2283" t="s">
        <v>9</v>
      </c>
      <c r="H2283" t="str" cm="1">
        <f t="array" ref="H2283">_xlfn.IFS(Grammys[[#This Row],[date]] &gt;= DATE(2022,2,1),"Grammys",TRUE,"Grammys TRA")</f>
        <v>Grammys</v>
      </c>
      <c r="I2283">
        <f>_xlfn.XLOOKUP(Grammys[[#This Row],[date]],mobile_visits[date],mobile_visits[mobile_visitors],0)</f>
        <v>11907</v>
      </c>
    </row>
    <row r="2284" spans="1:9">
      <c r="A2284" s="1">
        <v>45018</v>
      </c>
      <c r="B2284">
        <v>15613</v>
      </c>
      <c r="C2284">
        <v>28868</v>
      </c>
      <c r="D2284">
        <v>16427</v>
      </c>
      <c r="E2284">
        <v>8551</v>
      </c>
      <c r="F2284">
        <v>72</v>
      </c>
      <c r="G2284" t="s">
        <v>9</v>
      </c>
      <c r="H2284" t="str" cm="1">
        <f t="array" ref="H2284">_xlfn.IFS(Grammys[[#This Row],[date]] &gt;= DATE(2022,2,1),"Grammys",TRUE,"Grammys TRA")</f>
        <v>Grammys</v>
      </c>
      <c r="I2284">
        <f>_xlfn.XLOOKUP(Grammys[[#This Row],[date]],mobile_visits[date],mobile_visits[mobile_visitors],0)</f>
        <v>13318</v>
      </c>
    </row>
    <row r="2285" spans="1:9">
      <c r="A2285" s="1">
        <v>45019</v>
      </c>
      <c r="B2285">
        <v>18315</v>
      </c>
      <c r="C2285">
        <v>34889</v>
      </c>
      <c r="D2285">
        <v>19462</v>
      </c>
      <c r="E2285">
        <v>10043</v>
      </c>
      <c r="F2285">
        <v>81</v>
      </c>
      <c r="G2285" t="s">
        <v>9</v>
      </c>
      <c r="H2285" t="str" cm="1">
        <f t="array" ref="H2285">_xlfn.IFS(Grammys[[#This Row],[date]] &gt;= DATE(2022,2,1),"Grammys",TRUE,"Grammys TRA")</f>
        <v>Grammys</v>
      </c>
      <c r="I2285">
        <f>_xlfn.XLOOKUP(Grammys[[#This Row],[date]],mobile_visits[date],mobile_visits[mobile_visitors],0)</f>
        <v>11796</v>
      </c>
    </row>
    <row r="2286" spans="1:9">
      <c r="A2286" s="1">
        <v>45020</v>
      </c>
      <c r="B2286">
        <v>18358</v>
      </c>
      <c r="C2286">
        <v>34544</v>
      </c>
      <c r="D2286">
        <v>19559</v>
      </c>
      <c r="E2286">
        <v>10019</v>
      </c>
      <c r="F2286">
        <v>86</v>
      </c>
      <c r="G2286" t="s">
        <v>9</v>
      </c>
      <c r="H2286" t="str" cm="1">
        <f t="array" ref="H2286">_xlfn.IFS(Grammys[[#This Row],[date]] &gt;= DATE(2022,2,1),"Grammys",TRUE,"Grammys TRA")</f>
        <v>Grammys</v>
      </c>
      <c r="I2286">
        <f>_xlfn.XLOOKUP(Grammys[[#This Row],[date]],mobile_visits[date],mobile_visits[mobile_visitors],0)</f>
        <v>11657</v>
      </c>
    </row>
    <row r="2287" spans="1:9">
      <c r="A2287" s="1">
        <v>45021</v>
      </c>
      <c r="B2287">
        <v>16876</v>
      </c>
      <c r="C2287">
        <v>31812</v>
      </c>
      <c r="D2287">
        <v>18092</v>
      </c>
      <c r="E2287">
        <v>9533</v>
      </c>
      <c r="F2287">
        <v>82</v>
      </c>
      <c r="G2287" t="s">
        <v>9</v>
      </c>
      <c r="H2287" t="str" cm="1">
        <f t="array" ref="H2287">_xlfn.IFS(Grammys[[#This Row],[date]] &gt;= DATE(2022,2,1),"Grammys",TRUE,"Grammys TRA")</f>
        <v>Grammys</v>
      </c>
      <c r="I2287">
        <f>_xlfn.XLOOKUP(Grammys[[#This Row],[date]],mobile_visits[date],mobile_visits[mobile_visitors],0)</f>
        <v>10566</v>
      </c>
    </row>
    <row r="2288" spans="1:9">
      <c r="A2288" s="1">
        <v>45022</v>
      </c>
      <c r="B2288">
        <v>17771</v>
      </c>
      <c r="C2288">
        <v>33022</v>
      </c>
      <c r="D2288">
        <v>18896</v>
      </c>
      <c r="E2288">
        <v>9906</v>
      </c>
      <c r="F2288">
        <v>77</v>
      </c>
      <c r="G2288" t="s">
        <v>9</v>
      </c>
      <c r="H2288" t="str" cm="1">
        <f t="array" ref="H2288">_xlfn.IFS(Grammys[[#This Row],[date]] &gt;= DATE(2022,2,1),"Grammys",TRUE,"Grammys TRA")</f>
        <v>Grammys</v>
      </c>
      <c r="I2288">
        <f>_xlfn.XLOOKUP(Grammys[[#This Row],[date]],mobile_visits[date],mobile_visits[mobile_visitors],0)</f>
        <v>11591</v>
      </c>
    </row>
    <row r="2289" spans="1:9">
      <c r="A2289" s="1">
        <v>45023</v>
      </c>
      <c r="B2289">
        <v>15930</v>
      </c>
      <c r="C2289">
        <v>29951</v>
      </c>
      <c r="D2289">
        <v>17074</v>
      </c>
      <c r="E2289">
        <v>9019</v>
      </c>
      <c r="F2289">
        <v>80</v>
      </c>
      <c r="G2289" t="s">
        <v>9</v>
      </c>
      <c r="H2289" t="str" cm="1">
        <f t="array" ref="H2289">_xlfn.IFS(Grammys[[#This Row],[date]] &gt;= DATE(2022,2,1),"Grammys",TRUE,"Grammys TRA")</f>
        <v>Grammys</v>
      </c>
      <c r="I2289">
        <f>_xlfn.XLOOKUP(Grammys[[#This Row],[date]],mobile_visits[date],mobile_visits[mobile_visitors],0)</f>
        <v>11106</v>
      </c>
    </row>
    <row r="2290" spans="1:9">
      <c r="A2290" s="1">
        <v>45024</v>
      </c>
      <c r="B2290">
        <v>17143</v>
      </c>
      <c r="C2290">
        <v>31697</v>
      </c>
      <c r="D2290">
        <v>18081</v>
      </c>
      <c r="E2290">
        <v>9419</v>
      </c>
      <c r="F2290">
        <v>73</v>
      </c>
      <c r="G2290" t="s">
        <v>9</v>
      </c>
      <c r="H2290" t="str" cm="1">
        <f t="array" ref="H2290">_xlfn.IFS(Grammys[[#This Row],[date]] &gt;= DATE(2022,2,1),"Grammys",TRUE,"Grammys TRA")</f>
        <v>Grammys</v>
      </c>
      <c r="I2290">
        <f>_xlfn.XLOOKUP(Grammys[[#This Row],[date]],mobile_visits[date],mobile_visits[mobile_visitors],0)</f>
        <v>13127</v>
      </c>
    </row>
    <row r="2291" spans="1:9">
      <c r="A2291" s="1">
        <v>45025</v>
      </c>
      <c r="B2291">
        <v>35841</v>
      </c>
      <c r="C2291">
        <v>78751</v>
      </c>
      <c r="D2291">
        <v>38082</v>
      </c>
      <c r="E2291">
        <v>14243</v>
      </c>
      <c r="F2291">
        <v>95</v>
      </c>
      <c r="G2291" t="s">
        <v>9</v>
      </c>
      <c r="H2291" t="str" cm="1">
        <f t="array" ref="H2291">_xlfn.IFS(Grammys[[#This Row],[date]] &gt;= DATE(2022,2,1),"Grammys",TRUE,"Grammys TRA")</f>
        <v>Grammys</v>
      </c>
      <c r="I2291">
        <f>_xlfn.XLOOKUP(Grammys[[#This Row],[date]],mobile_visits[date],mobile_visits[mobile_visitors],0)</f>
        <v>28592</v>
      </c>
    </row>
    <row r="2292" spans="1:9">
      <c r="A2292" s="1">
        <v>45026</v>
      </c>
      <c r="B2292">
        <v>22844</v>
      </c>
      <c r="C2292">
        <v>44119</v>
      </c>
      <c r="D2292">
        <v>24136</v>
      </c>
      <c r="E2292">
        <v>10707</v>
      </c>
      <c r="F2292">
        <v>76</v>
      </c>
      <c r="G2292" t="s">
        <v>9</v>
      </c>
      <c r="H2292" t="str" cm="1">
        <f t="array" ref="H2292">_xlfn.IFS(Grammys[[#This Row],[date]] &gt;= DATE(2022,2,1),"Grammys",TRUE,"Grammys TRA")</f>
        <v>Grammys</v>
      </c>
      <c r="I2292">
        <f>_xlfn.XLOOKUP(Grammys[[#This Row],[date]],mobile_visits[date],mobile_visits[mobile_visitors],0)</f>
        <v>16195</v>
      </c>
    </row>
    <row r="2293" spans="1:9">
      <c r="A2293" s="1">
        <v>45027</v>
      </c>
      <c r="B2293">
        <v>17192</v>
      </c>
      <c r="C2293">
        <v>32481</v>
      </c>
      <c r="D2293">
        <v>18227</v>
      </c>
      <c r="E2293">
        <v>9163</v>
      </c>
      <c r="F2293">
        <v>76</v>
      </c>
      <c r="G2293" t="s">
        <v>9</v>
      </c>
      <c r="H2293" t="str" cm="1">
        <f t="array" ref="H2293">_xlfn.IFS(Grammys[[#This Row],[date]] &gt;= DATE(2022,2,1),"Grammys",TRUE,"Grammys TRA")</f>
        <v>Grammys</v>
      </c>
      <c r="I2293">
        <f>_xlfn.XLOOKUP(Grammys[[#This Row],[date]],mobile_visits[date],mobile_visits[mobile_visitors],0)</f>
        <v>10960</v>
      </c>
    </row>
    <row r="2294" spans="1:9">
      <c r="A2294" s="1">
        <v>45028</v>
      </c>
      <c r="B2294">
        <v>16241</v>
      </c>
      <c r="C2294">
        <v>30063</v>
      </c>
      <c r="D2294">
        <v>17152</v>
      </c>
      <c r="E2294">
        <v>8872</v>
      </c>
      <c r="F2294">
        <v>84</v>
      </c>
      <c r="G2294" t="s">
        <v>9</v>
      </c>
      <c r="H2294" t="str" cm="1">
        <f t="array" ref="H2294">_xlfn.IFS(Grammys[[#This Row],[date]] &gt;= DATE(2022,2,1),"Grammys",TRUE,"Grammys TRA")</f>
        <v>Grammys</v>
      </c>
      <c r="I2294">
        <f>_xlfn.XLOOKUP(Grammys[[#This Row],[date]],mobile_visits[date],mobile_visits[mobile_visitors],0)</f>
        <v>9748</v>
      </c>
    </row>
    <row r="2295" spans="1:9">
      <c r="A2295" s="1">
        <v>45029</v>
      </c>
      <c r="B2295">
        <v>16256</v>
      </c>
      <c r="C2295">
        <v>29864</v>
      </c>
      <c r="D2295">
        <v>17339</v>
      </c>
      <c r="E2295">
        <v>9121</v>
      </c>
      <c r="F2295">
        <v>77</v>
      </c>
      <c r="G2295" t="s">
        <v>9</v>
      </c>
      <c r="H2295" t="str" cm="1">
        <f t="array" ref="H2295">_xlfn.IFS(Grammys[[#This Row],[date]] &gt;= DATE(2022,2,1),"Grammys",TRUE,"Grammys TRA")</f>
        <v>Grammys</v>
      </c>
      <c r="I2295">
        <f>_xlfn.XLOOKUP(Grammys[[#This Row],[date]],mobile_visits[date],mobile_visits[mobile_visitors],0)</f>
        <v>10076</v>
      </c>
    </row>
    <row r="2296" spans="1:9">
      <c r="A2296" s="1">
        <v>45030</v>
      </c>
      <c r="B2296">
        <v>16682</v>
      </c>
      <c r="C2296">
        <v>31019</v>
      </c>
      <c r="D2296">
        <v>17905</v>
      </c>
      <c r="E2296">
        <v>9363</v>
      </c>
      <c r="F2296">
        <v>75</v>
      </c>
      <c r="G2296" t="s">
        <v>9</v>
      </c>
      <c r="H2296" t="str" cm="1">
        <f t="array" ref="H2296">_xlfn.IFS(Grammys[[#This Row],[date]] &gt;= DATE(2022,2,1),"Grammys",TRUE,"Grammys TRA")</f>
        <v>Grammys</v>
      </c>
      <c r="I2296">
        <f>_xlfn.XLOOKUP(Grammys[[#This Row],[date]],mobile_visits[date],mobile_visits[mobile_visitors],0)</f>
        <v>11806</v>
      </c>
    </row>
    <row r="2297" spans="1:9">
      <c r="A2297" s="1">
        <v>45031</v>
      </c>
      <c r="B2297">
        <v>15644</v>
      </c>
      <c r="C2297">
        <v>29586</v>
      </c>
      <c r="D2297">
        <v>16539</v>
      </c>
      <c r="E2297">
        <v>8411</v>
      </c>
      <c r="F2297">
        <v>77</v>
      </c>
      <c r="G2297" t="s">
        <v>9</v>
      </c>
      <c r="H2297" t="str" cm="1">
        <f t="array" ref="H2297">_xlfn.IFS(Grammys[[#This Row],[date]] &gt;= DATE(2022,2,1),"Grammys",TRUE,"Grammys TRA")</f>
        <v>Grammys</v>
      </c>
      <c r="I2297">
        <f>_xlfn.XLOOKUP(Grammys[[#This Row],[date]],mobile_visits[date],mobile_visits[mobile_visitors],0)</f>
        <v>11785</v>
      </c>
    </row>
    <row r="2298" spans="1:9">
      <c r="A2298" s="1">
        <v>45032</v>
      </c>
      <c r="B2298">
        <v>15983</v>
      </c>
      <c r="C2298">
        <v>29801</v>
      </c>
      <c r="D2298">
        <v>16908</v>
      </c>
      <c r="E2298">
        <v>8762</v>
      </c>
      <c r="F2298">
        <v>71</v>
      </c>
      <c r="G2298" t="s">
        <v>9</v>
      </c>
      <c r="H2298" t="str" cm="1">
        <f t="array" ref="H2298">_xlfn.IFS(Grammys[[#This Row],[date]] &gt;= DATE(2022,2,1),"Grammys",TRUE,"Grammys TRA")</f>
        <v>Grammys</v>
      </c>
      <c r="I2298">
        <f>_xlfn.XLOOKUP(Grammys[[#This Row],[date]],mobile_visits[date],mobile_visits[mobile_visitors],0)</f>
        <v>12254</v>
      </c>
    </row>
    <row r="2299" spans="1:9">
      <c r="A2299" s="1">
        <v>45033</v>
      </c>
      <c r="B2299">
        <v>16776</v>
      </c>
      <c r="C2299">
        <v>30658</v>
      </c>
      <c r="D2299">
        <v>17788</v>
      </c>
      <c r="E2299">
        <v>9595</v>
      </c>
      <c r="F2299">
        <v>74</v>
      </c>
      <c r="G2299" t="s">
        <v>9</v>
      </c>
      <c r="H2299" t="str" cm="1">
        <f t="array" ref="H2299">_xlfn.IFS(Grammys[[#This Row],[date]] &gt;= DATE(2022,2,1),"Grammys",TRUE,"Grammys TRA")</f>
        <v>Grammys</v>
      </c>
      <c r="I2299">
        <f>_xlfn.XLOOKUP(Grammys[[#This Row],[date]],mobile_visits[date],mobile_visits[mobile_visitors],0)</f>
        <v>11900</v>
      </c>
    </row>
    <row r="2300" spans="1:9">
      <c r="A2300" s="1">
        <v>45034</v>
      </c>
      <c r="B2300">
        <v>15899</v>
      </c>
      <c r="C2300">
        <v>29916</v>
      </c>
      <c r="D2300">
        <v>16970</v>
      </c>
      <c r="E2300">
        <v>8847</v>
      </c>
      <c r="F2300">
        <v>82</v>
      </c>
      <c r="G2300" t="s">
        <v>9</v>
      </c>
      <c r="H2300" t="str" cm="1">
        <f t="array" ref="H2300">_xlfn.IFS(Grammys[[#This Row],[date]] &gt;= DATE(2022,2,1),"Grammys",TRUE,"Grammys TRA")</f>
        <v>Grammys</v>
      </c>
      <c r="I2300">
        <f>_xlfn.XLOOKUP(Grammys[[#This Row],[date]],mobile_visits[date],mobile_visits[mobile_visitors],0)</f>
        <v>9823</v>
      </c>
    </row>
    <row r="2301" spans="1:9">
      <c r="A2301" s="1">
        <v>45035</v>
      </c>
      <c r="B2301">
        <v>18310</v>
      </c>
      <c r="C2301">
        <v>35347</v>
      </c>
      <c r="D2301">
        <v>19534</v>
      </c>
      <c r="E2301">
        <v>10059</v>
      </c>
      <c r="F2301">
        <v>76</v>
      </c>
      <c r="G2301" t="s">
        <v>9</v>
      </c>
      <c r="H2301" t="str" cm="1">
        <f t="array" ref="H2301">_xlfn.IFS(Grammys[[#This Row],[date]] &gt;= DATE(2022,2,1),"Grammys",TRUE,"Grammys TRA")</f>
        <v>Grammys</v>
      </c>
      <c r="I2301">
        <f>_xlfn.XLOOKUP(Grammys[[#This Row],[date]],mobile_visits[date],mobile_visits[mobile_visitors],0)</f>
        <v>11113</v>
      </c>
    </row>
    <row r="2302" spans="1:9">
      <c r="A2302" s="1">
        <v>45036</v>
      </c>
      <c r="B2302">
        <v>18790</v>
      </c>
      <c r="C2302">
        <v>35413</v>
      </c>
      <c r="D2302">
        <v>19976</v>
      </c>
      <c r="E2302">
        <v>10274</v>
      </c>
      <c r="F2302">
        <v>73</v>
      </c>
      <c r="G2302" t="s">
        <v>9</v>
      </c>
      <c r="H2302" t="str" cm="1">
        <f t="array" ref="H2302">_xlfn.IFS(Grammys[[#This Row],[date]] &gt;= DATE(2022,2,1),"Grammys",TRUE,"Grammys TRA")</f>
        <v>Grammys</v>
      </c>
      <c r="I2302">
        <f>_xlfn.XLOOKUP(Grammys[[#This Row],[date]],mobile_visits[date],mobile_visits[mobile_visitors],0)</f>
        <v>12558</v>
      </c>
    </row>
    <row r="2303" spans="1:9">
      <c r="A2303" s="1">
        <v>45037</v>
      </c>
      <c r="B2303">
        <v>18368</v>
      </c>
      <c r="C2303">
        <v>34490</v>
      </c>
      <c r="D2303">
        <v>19436</v>
      </c>
      <c r="E2303">
        <v>9864</v>
      </c>
      <c r="F2303">
        <v>73</v>
      </c>
      <c r="G2303" t="s">
        <v>9</v>
      </c>
      <c r="H2303" t="str" cm="1">
        <f t="array" ref="H2303">_xlfn.IFS(Grammys[[#This Row],[date]] &gt;= DATE(2022,2,1),"Grammys",TRUE,"Grammys TRA")</f>
        <v>Grammys</v>
      </c>
      <c r="I2303">
        <f>_xlfn.XLOOKUP(Grammys[[#This Row],[date]],mobile_visits[date],mobile_visits[mobile_visitors],0)</f>
        <v>12684</v>
      </c>
    </row>
    <row r="2304" spans="1:9">
      <c r="A2304" s="1">
        <v>45038</v>
      </c>
      <c r="B2304">
        <v>16403</v>
      </c>
      <c r="C2304">
        <v>30386</v>
      </c>
      <c r="D2304">
        <v>17247</v>
      </c>
      <c r="E2304">
        <v>8812</v>
      </c>
      <c r="F2304">
        <v>67</v>
      </c>
      <c r="G2304" t="s">
        <v>9</v>
      </c>
      <c r="H2304" t="str" cm="1">
        <f t="array" ref="H2304">_xlfn.IFS(Grammys[[#This Row],[date]] &gt;= DATE(2022,2,1),"Grammys",TRUE,"Grammys TRA")</f>
        <v>Grammys</v>
      </c>
      <c r="I2304">
        <f>_xlfn.XLOOKUP(Grammys[[#This Row],[date]],mobile_visits[date],mobile_visits[mobile_visitors],0)</f>
        <v>12440</v>
      </c>
    </row>
    <row r="2305" spans="1:9">
      <c r="A2305" s="1">
        <v>45039</v>
      </c>
      <c r="B2305">
        <v>16362</v>
      </c>
      <c r="C2305">
        <v>30751</v>
      </c>
      <c r="D2305">
        <v>17153</v>
      </c>
      <c r="E2305">
        <v>8553</v>
      </c>
      <c r="F2305">
        <v>76</v>
      </c>
      <c r="G2305" t="s">
        <v>9</v>
      </c>
      <c r="H2305" t="str" cm="1">
        <f t="array" ref="H2305">_xlfn.IFS(Grammys[[#This Row],[date]] &gt;= DATE(2022,2,1),"Grammys",TRUE,"Grammys TRA")</f>
        <v>Grammys</v>
      </c>
      <c r="I2305">
        <f>_xlfn.XLOOKUP(Grammys[[#This Row],[date]],mobile_visits[date],mobile_visits[mobile_visitors],0)</f>
        <v>13024</v>
      </c>
    </row>
    <row r="2306" spans="1:9">
      <c r="A2306" s="1">
        <v>45040</v>
      </c>
      <c r="B2306">
        <v>17541</v>
      </c>
      <c r="C2306">
        <v>32689</v>
      </c>
      <c r="D2306">
        <v>18678</v>
      </c>
      <c r="E2306">
        <v>9668</v>
      </c>
      <c r="F2306">
        <v>72</v>
      </c>
      <c r="G2306" t="s">
        <v>9</v>
      </c>
      <c r="H2306" t="str" cm="1">
        <f t="array" ref="H2306">_xlfn.IFS(Grammys[[#This Row],[date]] &gt;= DATE(2022,2,1),"Grammys",TRUE,"Grammys TRA")</f>
        <v>Grammys</v>
      </c>
      <c r="I2306">
        <f>_xlfn.XLOOKUP(Grammys[[#This Row],[date]],mobile_visits[date],mobile_visits[mobile_visitors],0)</f>
        <v>12430</v>
      </c>
    </row>
    <row r="2307" spans="1:9">
      <c r="A2307" s="1">
        <v>45041</v>
      </c>
      <c r="B2307">
        <v>18262</v>
      </c>
      <c r="C2307">
        <v>33281</v>
      </c>
      <c r="D2307">
        <v>19327</v>
      </c>
      <c r="E2307">
        <v>10387</v>
      </c>
      <c r="F2307">
        <v>73</v>
      </c>
      <c r="G2307" t="s">
        <v>9</v>
      </c>
      <c r="H2307" t="str" cm="1">
        <f t="array" ref="H2307">_xlfn.IFS(Grammys[[#This Row],[date]] &gt;= DATE(2022,2,1),"Grammys",TRUE,"Grammys TRA")</f>
        <v>Grammys</v>
      </c>
      <c r="I2307">
        <f>_xlfn.XLOOKUP(Grammys[[#This Row],[date]],mobile_visits[date],mobile_visits[mobile_visitors],0)</f>
        <v>10518</v>
      </c>
    </row>
    <row r="2308" spans="1:9">
      <c r="A2308" s="1">
        <v>45042</v>
      </c>
      <c r="B2308">
        <v>15660</v>
      </c>
      <c r="C2308">
        <v>29018</v>
      </c>
      <c r="D2308">
        <v>16699</v>
      </c>
      <c r="E2308">
        <v>8868</v>
      </c>
      <c r="F2308">
        <v>76</v>
      </c>
      <c r="G2308" t="s">
        <v>9</v>
      </c>
      <c r="H2308" t="str" cm="1">
        <f t="array" ref="H2308">_xlfn.IFS(Grammys[[#This Row],[date]] &gt;= DATE(2022,2,1),"Grammys",TRUE,"Grammys TRA")</f>
        <v>Grammys</v>
      </c>
      <c r="I2308">
        <f>_xlfn.XLOOKUP(Grammys[[#This Row],[date]],mobile_visits[date],mobile_visits[mobile_visitors],0)</f>
        <v>8854</v>
      </c>
    </row>
    <row r="2309" spans="1:9">
      <c r="A2309" s="1">
        <v>45043</v>
      </c>
      <c r="B2309">
        <v>14039</v>
      </c>
      <c r="C2309">
        <v>25944</v>
      </c>
      <c r="D2309">
        <v>15052</v>
      </c>
      <c r="E2309">
        <v>8040</v>
      </c>
      <c r="F2309">
        <v>77</v>
      </c>
      <c r="G2309" t="s">
        <v>9</v>
      </c>
      <c r="H2309" t="str" cm="1">
        <f t="array" ref="H2309">_xlfn.IFS(Grammys[[#This Row],[date]] &gt;= DATE(2022,2,1),"Grammys",TRUE,"Grammys TRA")</f>
        <v>Grammys</v>
      </c>
      <c r="I2309">
        <f>_xlfn.XLOOKUP(Grammys[[#This Row],[date]],mobile_visits[date],mobile_visits[mobile_visitors],0)</f>
        <v>7546</v>
      </c>
    </row>
    <row r="2310" spans="1:9">
      <c r="A2310" s="1">
        <v>45044</v>
      </c>
      <c r="B2310">
        <v>13947</v>
      </c>
      <c r="C2310">
        <v>25573</v>
      </c>
      <c r="D2310">
        <v>14769</v>
      </c>
      <c r="E2310">
        <v>7828</v>
      </c>
      <c r="F2310">
        <v>74</v>
      </c>
      <c r="G2310" t="s">
        <v>9</v>
      </c>
      <c r="H2310" t="str" cm="1">
        <f t="array" ref="H2310">_xlfn.IFS(Grammys[[#This Row],[date]] &gt;= DATE(2022,2,1),"Grammys",TRUE,"Grammys TRA")</f>
        <v>Grammys</v>
      </c>
      <c r="I2310">
        <f>_xlfn.XLOOKUP(Grammys[[#This Row],[date]],mobile_visits[date],mobile_visits[mobile_visitors],0)</f>
        <v>8888</v>
      </c>
    </row>
    <row r="2311" spans="1:9">
      <c r="A2311" s="1">
        <v>45045</v>
      </c>
      <c r="B2311">
        <v>13127</v>
      </c>
      <c r="C2311">
        <v>24285</v>
      </c>
      <c r="D2311">
        <v>13849</v>
      </c>
      <c r="E2311">
        <v>7083</v>
      </c>
      <c r="F2311">
        <v>73</v>
      </c>
      <c r="G2311" t="s">
        <v>9</v>
      </c>
      <c r="H2311" t="str" cm="1">
        <f t="array" ref="H2311">_xlfn.IFS(Grammys[[#This Row],[date]] &gt;= DATE(2022,2,1),"Grammys",TRUE,"Grammys TRA")</f>
        <v>Grammys</v>
      </c>
      <c r="I2311">
        <f>_xlfn.XLOOKUP(Grammys[[#This Row],[date]],mobile_visits[date],mobile_visits[mobile_visitors],0)</f>
        <v>9372</v>
      </c>
    </row>
    <row r="2312" spans="1:9">
      <c r="A2312" s="1">
        <v>45046</v>
      </c>
      <c r="B2312">
        <v>13662</v>
      </c>
      <c r="C2312">
        <v>25691</v>
      </c>
      <c r="D2312">
        <v>14623</v>
      </c>
      <c r="E2312">
        <v>7536</v>
      </c>
      <c r="F2312">
        <v>71</v>
      </c>
      <c r="G2312" t="s">
        <v>9</v>
      </c>
      <c r="H2312" t="str" cm="1">
        <f t="array" ref="H2312">_xlfn.IFS(Grammys[[#This Row],[date]] &gt;= DATE(2022,2,1),"Grammys",TRUE,"Grammys TRA")</f>
        <v>Grammys</v>
      </c>
      <c r="I2312">
        <f>_xlfn.XLOOKUP(Grammys[[#This Row],[date]],mobile_visits[date],mobile_visits[mobile_visitors],0)</f>
        <v>10011</v>
      </c>
    </row>
    <row r="2313" spans="1:9">
      <c r="A2313" s="1">
        <v>45047</v>
      </c>
      <c r="B2313">
        <v>16266</v>
      </c>
      <c r="C2313">
        <v>30062</v>
      </c>
      <c r="D2313">
        <v>17346</v>
      </c>
      <c r="E2313">
        <v>9097</v>
      </c>
      <c r="F2313">
        <v>71</v>
      </c>
      <c r="G2313" t="s">
        <v>9</v>
      </c>
      <c r="H2313" t="str" cm="1">
        <f t="array" ref="H2313">_xlfn.IFS(Grammys[[#This Row],[date]] &gt;= DATE(2022,2,1),"Grammys",TRUE,"Grammys TRA")</f>
        <v>Grammys</v>
      </c>
      <c r="I2313">
        <f>_xlfn.XLOOKUP(Grammys[[#This Row],[date]],mobile_visits[date],mobile_visits[mobile_visitors],0)</f>
        <v>11833</v>
      </c>
    </row>
    <row r="2314" spans="1:9">
      <c r="A2314" s="1">
        <v>45048</v>
      </c>
      <c r="B2314">
        <v>18538</v>
      </c>
      <c r="C2314">
        <v>34007</v>
      </c>
      <c r="D2314">
        <v>20000</v>
      </c>
      <c r="E2314">
        <v>10524</v>
      </c>
      <c r="F2314">
        <v>77</v>
      </c>
      <c r="G2314" t="s">
        <v>9</v>
      </c>
      <c r="H2314" t="str" cm="1">
        <f t="array" ref="H2314">_xlfn.IFS(Grammys[[#This Row],[date]] &gt;= DATE(2022,2,1),"Grammys",TRUE,"Grammys TRA")</f>
        <v>Grammys</v>
      </c>
      <c r="I2314">
        <f>_xlfn.XLOOKUP(Grammys[[#This Row],[date]],mobile_visits[date],mobile_visits[mobile_visitors],0)</f>
        <v>13740</v>
      </c>
    </row>
    <row r="2315" spans="1:9">
      <c r="A2315" s="1">
        <v>45049</v>
      </c>
      <c r="B2315">
        <v>18070</v>
      </c>
      <c r="C2315">
        <v>32890</v>
      </c>
      <c r="D2315">
        <v>19495</v>
      </c>
      <c r="E2315">
        <v>10325</v>
      </c>
      <c r="F2315">
        <v>73</v>
      </c>
      <c r="G2315" t="s">
        <v>9</v>
      </c>
      <c r="H2315" t="str" cm="1">
        <f t="array" ref="H2315">_xlfn.IFS(Grammys[[#This Row],[date]] &gt;= DATE(2022,2,1),"Grammys",TRUE,"Grammys TRA")</f>
        <v>Grammys</v>
      </c>
      <c r="I2315">
        <f>_xlfn.XLOOKUP(Grammys[[#This Row],[date]],mobile_visits[date],mobile_visits[mobile_visitors],0)</f>
        <v>10769</v>
      </c>
    </row>
    <row r="2316" spans="1:9">
      <c r="A2316" s="1">
        <v>45050</v>
      </c>
      <c r="B2316">
        <v>17018</v>
      </c>
      <c r="C2316">
        <v>29738</v>
      </c>
      <c r="D2316">
        <v>18074</v>
      </c>
      <c r="E2316">
        <v>10084</v>
      </c>
      <c r="F2316">
        <v>69</v>
      </c>
      <c r="G2316" t="s">
        <v>9</v>
      </c>
      <c r="H2316" t="str" cm="1">
        <f t="array" ref="H2316">_xlfn.IFS(Grammys[[#This Row],[date]] &gt;= DATE(2022,2,1),"Grammys",TRUE,"Grammys TRA")</f>
        <v>Grammys</v>
      </c>
      <c r="I2316">
        <f>_xlfn.XLOOKUP(Grammys[[#This Row],[date]],mobile_visits[date],mobile_visits[mobile_visitors],0)</f>
        <v>10421</v>
      </c>
    </row>
    <row r="2317" spans="1:9">
      <c r="A2317" s="1">
        <v>45051</v>
      </c>
      <c r="B2317">
        <v>13993</v>
      </c>
      <c r="C2317">
        <v>25219</v>
      </c>
      <c r="D2317">
        <v>14897</v>
      </c>
      <c r="E2317">
        <v>7917</v>
      </c>
      <c r="F2317">
        <v>79</v>
      </c>
      <c r="G2317" t="s">
        <v>9</v>
      </c>
      <c r="H2317" t="str" cm="1">
        <f t="array" ref="H2317">_xlfn.IFS(Grammys[[#This Row],[date]] &gt;= DATE(2022,2,1),"Grammys",TRUE,"Grammys TRA")</f>
        <v>Grammys</v>
      </c>
      <c r="I2317">
        <f>_xlfn.XLOOKUP(Grammys[[#This Row],[date]],mobile_visits[date],mobile_visits[mobile_visitors],0)</f>
        <v>8569</v>
      </c>
    </row>
    <row r="2318" spans="1:9">
      <c r="A2318" s="1">
        <v>45052</v>
      </c>
      <c r="B2318">
        <v>12198</v>
      </c>
      <c r="C2318">
        <v>22095</v>
      </c>
      <c r="D2318">
        <v>12928</v>
      </c>
      <c r="E2318">
        <v>6679</v>
      </c>
      <c r="F2318">
        <v>73</v>
      </c>
      <c r="G2318" t="s">
        <v>9</v>
      </c>
      <c r="H2318" t="str" cm="1">
        <f t="array" ref="H2318">_xlfn.IFS(Grammys[[#This Row],[date]] &gt;= DATE(2022,2,1),"Grammys",TRUE,"Grammys TRA")</f>
        <v>Grammys</v>
      </c>
      <c r="I2318">
        <f>_xlfn.XLOOKUP(Grammys[[#This Row],[date]],mobile_visits[date],mobile_visits[mobile_visitors],0)</f>
        <v>9095</v>
      </c>
    </row>
    <row r="2319" spans="1:9">
      <c r="A2319" s="1">
        <v>45053</v>
      </c>
      <c r="B2319">
        <v>12689</v>
      </c>
      <c r="C2319">
        <v>22960</v>
      </c>
      <c r="D2319">
        <v>13553</v>
      </c>
      <c r="E2319">
        <v>7212</v>
      </c>
      <c r="F2319">
        <v>72</v>
      </c>
      <c r="G2319" t="s">
        <v>9</v>
      </c>
      <c r="H2319" t="str" cm="1">
        <f t="array" ref="H2319">_xlfn.IFS(Grammys[[#This Row],[date]] &gt;= DATE(2022,2,1),"Grammys",TRUE,"Grammys TRA")</f>
        <v>Grammys</v>
      </c>
      <c r="I2319">
        <f>_xlfn.XLOOKUP(Grammys[[#This Row],[date]],mobile_visits[date],mobile_visits[mobile_visitors],0)</f>
        <v>9664</v>
      </c>
    </row>
    <row r="2320" spans="1:9">
      <c r="A2320" s="1">
        <v>45054</v>
      </c>
      <c r="B2320">
        <v>25026</v>
      </c>
      <c r="C2320">
        <v>45418</v>
      </c>
      <c r="D2320">
        <v>26725</v>
      </c>
      <c r="E2320">
        <v>14101</v>
      </c>
      <c r="F2320">
        <v>66</v>
      </c>
      <c r="G2320" t="s">
        <v>9</v>
      </c>
      <c r="H2320" t="str" cm="1">
        <f t="array" ref="H2320">_xlfn.IFS(Grammys[[#This Row],[date]] &gt;= DATE(2022,2,1),"Grammys",TRUE,"Grammys TRA")</f>
        <v>Grammys</v>
      </c>
      <c r="I2320">
        <f>_xlfn.XLOOKUP(Grammys[[#This Row],[date]],mobile_visits[date],mobile_visits[mobile_visitors],0)</f>
        <v>18116</v>
      </c>
    </row>
    <row r="2321" spans="1:9">
      <c r="A2321" s="1">
        <v>45055</v>
      </c>
      <c r="B2321">
        <v>22255</v>
      </c>
      <c r="C2321">
        <v>39841</v>
      </c>
      <c r="D2321">
        <v>23948</v>
      </c>
      <c r="E2321">
        <v>13052</v>
      </c>
      <c r="F2321">
        <v>72</v>
      </c>
      <c r="G2321" t="s">
        <v>9</v>
      </c>
      <c r="H2321" t="str" cm="1">
        <f t="array" ref="H2321">_xlfn.IFS(Grammys[[#This Row],[date]] &gt;= DATE(2022,2,1),"Grammys",TRUE,"Grammys TRA")</f>
        <v>Grammys</v>
      </c>
      <c r="I2321">
        <f>_xlfn.XLOOKUP(Grammys[[#This Row],[date]],mobile_visits[date],mobile_visits[mobile_visitors],0)</f>
        <v>15006</v>
      </c>
    </row>
    <row r="2322" spans="1:9">
      <c r="A2322" s="1">
        <v>45056</v>
      </c>
      <c r="B2322">
        <v>25566</v>
      </c>
      <c r="C2322">
        <v>47510</v>
      </c>
      <c r="D2322">
        <v>27459</v>
      </c>
      <c r="E2322">
        <v>14356</v>
      </c>
      <c r="F2322">
        <v>97</v>
      </c>
      <c r="G2322" t="s">
        <v>9</v>
      </c>
      <c r="H2322" t="str" cm="1">
        <f t="array" ref="H2322">_xlfn.IFS(Grammys[[#This Row],[date]] &gt;= DATE(2022,2,1),"Grammys",TRUE,"Grammys TRA")</f>
        <v>Grammys</v>
      </c>
      <c r="I2322">
        <f>_xlfn.XLOOKUP(Grammys[[#This Row],[date]],mobile_visits[date],mobile_visits[mobile_visitors],0)</f>
        <v>19099</v>
      </c>
    </row>
    <row r="2323" spans="1:9">
      <c r="A2323" s="1">
        <v>45057</v>
      </c>
      <c r="B2323">
        <v>20696</v>
      </c>
      <c r="C2323">
        <v>38328</v>
      </c>
      <c r="D2323">
        <v>22126</v>
      </c>
      <c r="E2323">
        <v>11643</v>
      </c>
      <c r="F2323">
        <v>80</v>
      </c>
      <c r="G2323" t="s">
        <v>9</v>
      </c>
      <c r="H2323" t="str" cm="1">
        <f t="array" ref="H2323">_xlfn.IFS(Grammys[[#This Row],[date]] &gt;= DATE(2022,2,1),"Grammys",TRUE,"Grammys TRA")</f>
        <v>Grammys</v>
      </c>
      <c r="I2323">
        <f>_xlfn.XLOOKUP(Grammys[[#This Row],[date]],mobile_visits[date],mobile_visits[mobile_visitors],0)</f>
        <v>14490</v>
      </c>
    </row>
    <row r="2324" spans="1:9">
      <c r="A2324" s="1">
        <v>45058</v>
      </c>
      <c r="B2324">
        <v>16972</v>
      </c>
      <c r="C2324">
        <v>30792</v>
      </c>
      <c r="D2324">
        <v>18165</v>
      </c>
      <c r="E2324">
        <v>9717</v>
      </c>
      <c r="F2324">
        <v>78</v>
      </c>
      <c r="G2324" t="s">
        <v>9</v>
      </c>
      <c r="H2324" t="str" cm="1">
        <f t="array" ref="H2324">_xlfn.IFS(Grammys[[#This Row],[date]] &gt;= DATE(2022,2,1),"Grammys",TRUE,"Grammys TRA")</f>
        <v>Grammys</v>
      </c>
      <c r="I2324">
        <f>_xlfn.XLOOKUP(Grammys[[#This Row],[date]],mobile_visits[date],mobile_visits[mobile_visitors],0)</f>
        <v>12174</v>
      </c>
    </row>
    <row r="2325" spans="1:9">
      <c r="A2325" s="1">
        <v>45059</v>
      </c>
      <c r="B2325">
        <v>14081</v>
      </c>
      <c r="C2325">
        <v>26593</v>
      </c>
      <c r="D2325">
        <v>15387</v>
      </c>
      <c r="E2325">
        <v>8128</v>
      </c>
      <c r="F2325">
        <v>72</v>
      </c>
      <c r="G2325" t="s">
        <v>9</v>
      </c>
      <c r="H2325" t="str" cm="1">
        <f t="array" ref="H2325">_xlfn.IFS(Grammys[[#This Row],[date]] &gt;= DATE(2022,2,1),"Grammys",TRUE,"Grammys TRA")</f>
        <v>Grammys</v>
      </c>
      <c r="I2325">
        <f>_xlfn.XLOOKUP(Grammys[[#This Row],[date]],mobile_visits[date],mobile_visits[mobile_visitors],0)</f>
        <v>11056</v>
      </c>
    </row>
    <row r="2326" spans="1:9">
      <c r="A2326" s="1">
        <v>45060</v>
      </c>
      <c r="B2326">
        <v>17400</v>
      </c>
      <c r="C2326">
        <v>35653</v>
      </c>
      <c r="D2326">
        <v>19801</v>
      </c>
      <c r="E2326">
        <v>9907</v>
      </c>
      <c r="F2326">
        <v>66</v>
      </c>
      <c r="G2326" t="s">
        <v>9</v>
      </c>
      <c r="H2326" t="str" cm="1">
        <f t="array" ref="H2326">_xlfn.IFS(Grammys[[#This Row],[date]] &gt;= DATE(2022,2,1),"Grammys",TRUE,"Grammys TRA")</f>
        <v>Grammys</v>
      </c>
      <c r="I2326">
        <f>_xlfn.XLOOKUP(Grammys[[#This Row],[date]],mobile_visits[date],mobile_visits[mobile_visitors],0)</f>
        <v>14688</v>
      </c>
    </row>
    <row r="2327" spans="1:9">
      <c r="A2327" s="1">
        <v>45061</v>
      </c>
      <c r="B2327">
        <v>15662</v>
      </c>
      <c r="C2327">
        <v>29597</v>
      </c>
      <c r="D2327">
        <v>16850</v>
      </c>
      <c r="E2327">
        <v>8966</v>
      </c>
      <c r="F2327">
        <v>86</v>
      </c>
      <c r="G2327" t="s">
        <v>9</v>
      </c>
      <c r="H2327" t="str" cm="1">
        <f t="array" ref="H2327">_xlfn.IFS(Grammys[[#This Row],[date]] &gt;= DATE(2022,2,1),"Grammys",TRUE,"Grammys TRA")</f>
        <v>Grammys</v>
      </c>
      <c r="I2327">
        <f>_xlfn.XLOOKUP(Grammys[[#This Row],[date]],mobile_visits[date],mobile_visits[mobile_visitors],0)</f>
        <v>11255</v>
      </c>
    </row>
    <row r="2328" spans="1:9">
      <c r="A2328" s="1">
        <v>45062</v>
      </c>
      <c r="B2328">
        <v>13441</v>
      </c>
      <c r="C2328">
        <v>25008</v>
      </c>
      <c r="D2328">
        <v>14480</v>
      </c>
      <c r="E2328">
        <v>7802</v>
      </c>
      <c r="F2328">
        <v>81</v>
      </c>
      <c r="G2328" t="s">
        <v>9</v>
      </c>
      <c r="H2328" t="str" cm="1">
        <f t="array" ref="H2328">_xlfn.IFS(Grammys[[#This Row],[date]] &gt;= DATE(2022,2,1),"Grammys",TRUE,"Grammys TRA")</f>
        <v>Grammys</v>
      </c>
      <c r="I2328">
        <f>_xlfn.XLOOKUP(Grammys[[#This Row],[date]],mobile_visits[date],mobile_visits[mobile_visitors],0)</f>
        <v>8591</v>
      </c>
    </row>
    <row r="2329" spans="1:9">
      <c r="A2329" s="1">
        <v>45063</v>
      </c>
      <c r="B2329">
        <v>14293</v>
      </c>
      <c r="C2329">
        <v>26016</v>
      </c>
      <c r="D2329">
        <v>15375</v>
      </c>
      <c r="E2329">
        <v>8206</v>
      </c>
      <c r="F2329">
        <v>78</v>
      </c>
      <c r="G2329" t="s">
        <v>9</v>
      </c>
      <c r="H2329" t="str" cm="1">
        <f t="array" ref="H2329">_xlfn.IFS(Grammys[[#This Row],[date]] &gt;= DATE(2022,2,1),"Grammys",TRUE,"Grammys TRA")</f>
        <v>Grammys</v>
      </c>
      <c r="I2329">
        <f>_xlfn.XLOOKUP(Grammys[[#This Row],[date]],mobile_visits[date],mobile_visits[mobile_visitors],0)</f>
        <v>9052</v>
      </c>
    </row>
    <row r="2330" spans="1:9">
      <c r="A2330" s="1">
        <v>45064</v>
      </c>
      <c r="B2330">
        <v>13468</v>
      </c>
      <c r="C2330">
        <v>24487</v>
      </c>
      <c r="D2330">
        <v>14315</v>
      </c>
      <c r="E2330">
        <v>7459</v>
      </c>
      <c r="F2330">
        <v>83</v>
      </c>
      <c r="G2330" t="s">
        <v>9</v>
      </c>
      <c r="H2330" t="str" cm="1">
        <f t="array" ref="H2330">_xlfn.IFS(Grammys[[#This Row],[date]] &gt;= DATE(2022,2,1),"Grammys",TRUE,"Grammys TRA")</f>
        <v>Grammys</v>
      </c>
      <c r="I2330">
        <f>_xlfn.XLOOKUP(Grammys[[#This Row],[date]],mobile_visits[date],mobile_visits[mobile_visitors],0)</f>
        <v>8279</v>
      </c>
    </row>
    <row r="2331" spans="1:9">
      <c r="A2331" s="1">
        <v>45065</v>
      </c>
      <c r="B2331">
        <v>17532</v>
      </c>
      <c r="C2331">
        <v>33040</v>
      </c>
      <c r="D2331">
        <v>18615</v>
      </c>
      <c r="E2331">
        <v>9198</v>
      </c>
      <c r="F2331">
        <v>84</v>
      </c>
      <c r="G2331" t="s">
        <v>9</v>
      </c>
      <c r="H2331" t="str" cm="1">
        <f t="array" ref="H2331">_xlfn.IFS(Grammys[[#This Row],[date]] &gt;= DATE(2022,2,1),"Grammys",TRUE,"Grammys TRA")</f>
        <v>Grammys</v>
      </c>
      <c r="I2331">
        <f>_xlfn.XLOOKUP(Grammys[[#This Row],[date]],mobile_visits[date],mobile_visits[mobile_visitors],0)</f>
        <v>12395</v>
      </c>
    </row>
    <row r="2332" spans="1:9">
      <c r="A2332" s="1">
        <v>45066</v>
      </c>
      <c r="B2332">
        <v>17796</v>
      </c>
      <c r="C2332">
        <v>33296</v>
      </c>
      <c r="D2332">
        <v>18934</v>
      </c>
      <c r="E2332">
        <v>9166</v>
      </c>
      <c r="F2332">
        <v>75</v>
      </c>
      <c r="G2332" t="s">
        <v>9</v>
      </c>
      <c r="H2332" t="str" cm="1">
        <f t="array" ref="H2332">_xlfn.IFS(Grammys[[#This Row],[date]] &gt;= DATE(2022,2,1),"Grammys",TRUE,"Grammys TRA")</f>
        <v>Grammys</v>
      </c>
      <c r="I2332">
        <f>_xlfn.XLOOKUP(Grammys[[#This Row],[date]],mobile_visits[date],mobile_visits[mobile_visitors],0)</f>
        <v>13937</v>
      </c>
    </row>
    <row r="2333" spans="1:9">
      <c r="A2333" s="1">
        <v>45067</v>
      </c>
      <c r="B2333">
        <v>16294</v>
      </c>
      <c r="C2333">
        <v>30442</v>
      </c>
      <c r="D2333">
        <v>17846</v>
      </c>
      <c r="E2333">
        <v>9248</v>
      </c>
      <c r="F2333">
        <v>71</v>
      </c>
      <c r="G2333" t="s">
        <v>9</v>
      </c>
      <c r="H2333" t="str" cm="1">
        <f t="array" ref="H2333">_xlfn.IFS(Grammys[[#This Row],[date]] &gt;= DATE(2022,2,1),"Grammys",TRUE,"Grammys TRA")</f>
        <v>Grammys</v>
      </c>
      <c r="I2333">
        <f>_xlfn.XLOOKUP(Grammys[[#This Row],[date]],mobile_visits[date],mobile_visits[mobile_visitors],0)</f>
        <v>12513</v>
      </c>
    </row>
    <row r="2334" spans="1:9">
      <c r="A2334" s="1">
        <v>45068</v>
      </c>
      <c r="B2334">
        <v>15471</v>
      </c>
      <c r="C2334">
        <v>34636</v>
      </c>
      <c r="D2334">
        <v>17583</v>
      </c>
      <c r="E2334">
        <v>7157</v>
      </c>
      <c r="F2334">
        <v>73</v>
      </c>
      <c r="G2334" t="s">
        <v>9</v>
      </c>
      <c r="H2334" t="str" cm="1">
        <f t="array" ref="H2334">_xlfn.IFS(Grammys[[#This Row],[date]] &gt;= DATE(2022,2,1),"Grammys",TRUE,"Grammys TRA")</f>
        <v>Grammys</v>
      </c>
      <c r="I2334">
        <f>_xlfn.XLOOKUP(Grammys[[#This Row],[date]],mobile_visits[date],mobile_visits[mobile_visitors],0)</f>
        <v>11455</v>
      </c>
    </row>
    <row r="2335" spans="1:9">
      <c r="A2335" s="1">
        <v>45069</v>
      </c>
      <c r="B2335">
        <v>17691</v>
      </c>
      <c r="C2335">
        <v>41993</v>
      </c>
      <c r="D2335">
        <v>18982</v>
      </c>
      <c r="E2335">
        <v>6916</v>
      </c>
      <c r="F2335">
        <v>77</v>
      </c>
      <c r="G2335" t="s">
        <v>9</v>
      </c>
      <c r="H2335" t="str" cm="1">
        <f t="array" ref="H2335">_xlfn.IFS(Grammys[[#This Row],[date]] &gt;= DATE(2022,2,1),"Grammys",TRUE,"Grammys TRA")</f>
        <v>Grammys</v>
      </c>
      <c r="I2335">
        <f>_xlfn.XLOOKUP(Grammys[[#This Row],[date]],mobile_visits[date],mobile_visits[mobile_visitors],0)</f>
        <v>11146</v>
      </c>
    </row>
    <row r="2336" spans="1:9">
      <c r="A2336" s="1">
        <v>45070</v>
      </c>
      <c r="B2336">
        <v>19607</v>
      </c>
      <c r="C2336">
        <v>46388</v>
      </c>
      <c r="D2336">
        <v>20908</v>
      </c>
      <c r="E2336">
        <v>7918</v>
      </c>
      <c r="F2336">
        <v>83</v>
      </c>
      <c r="G2336" t="s">
        <v>9</v>
      </c>
      <c r="H2336" t="str" cm="1">
        <f t="array" ref="H2336">_xlfn.IFS(Grammys[[#This Row],[date]] &gt;= DATE(2022,2,1),"Grammys",TRUE,"Grammys TRA")</f>
        <v>Grammys</v>
      </c>
      <c r="I2336">
        <f>_xlfn.XLOOKUP(Grammys[[#This Row],[date]],mobile_visits[date],mobile_visits[mobile_visitors],0)</f>
        <v>13245</v>
      </c>
    </row>
    <row r="2337" spans="1:9">
      <c r="A2337" s="1">
        <v>45071</v>
      </c>
      <c r="B2337">
        <v>21680</v>
      </c>
      <c r="C2337">
        <v>51484</v>
      </c>
      <c r="D2337">
        <v>23319</v>
      </c>
      <c r="E2337">
        <v>8353</v>
      </c>
      <c r="F2337">
        <v>80</v>
      </c>
      <c r="G2337" t="s">
        <v>9</v>
      </c>
      <c r="H2337" t="str" cm="1">
        <f t="array" ref="H2337">_xlfn.IFS(Grammys[[#This Row],[date]] &gt;= DATE(2022,2,1),"Grammys",TRUE,"Grammys TRA")</f>
        <v>Grammys</v>
      </c>
      <c r="I2337">
        <f>_xlfn.XLOOKUP(Grammys[[#This Row],[date]],mobile_visits[date],mobile_visits[mobile_visitors],0)</f>
        <v>15970</v>
      </c>
    </row>
    <row r="2338" spans="1:9">
      <c r="A2338" s="1">
        <v>45072</v>
      </c>
      <c r="B2338">
        <v>17211</v>
      </c>
      <c r="C2338">
        <v>41580</v>
      </c>
      <c r="D2338">
        <v>18453</v>
      </c>
      <c r="E2338">
        <v>6417</v>
      </c>
      <c r="F2338">
        <v>74</v>
      </c>
      <c r="G2338" t="s">
        <v>9</v>
      </c>
      <c r="H2338" t="str" cm="1">
        <f t="array" ref="H2338">_xlfn.IFS(Grammys[[#This Row],[date]] &gt;= DATE(2022,2,1),"Grammys",TRUE,"Grammys TRA")</f>
        <v>Grammys</v>
      </c>
      <c r="I2338">
        <f>_xlfn.XLOOKUP(Grammys[[#This Row],[date]],mobile_visits[date],mobile_visits[mobile_visitors],0)</f>
        <v>12674</v>
      </c>
    </row>
    <row r="2339" spans="1:9">
      <c r="A2339" s="1">
        <v>45073</v>
      </c>
      <c r="B2339">
        <v>14332</v>
      </c>
      <c r="C2339">
        <v>34178</v>
      </c>
      <c r="D2339">
        <v>15430</v>
      </c>
      <c r="E2339">
        <v>5424</v>
      </c>
      <c r="F2339">
        <v>75</v>
      </c>
      <c r="G2339" t="s">
        <v>9</v>
      </c>
      <c r="H2339" t="str" cm="1">
        <f t="array" ref="H2339">_xlfn.IFS(Grammys[[#This Row],[date]] &gt;= DATE(2022,2,1),"Grammys",TRUE,"Grammys TRA")</f>
        <v>Grammys</v>
      </c>
      <c r="I2339">
        <f>_xlfn.XLOOKUP(Grammys[[#This Row],[date]],mobile_visits[date],mobile_visits[mobile_visitors],0)</f>
        <v>11412</v>
      </c>
    </row>
    <row r="2340" spans="1:9">
      <c r="A2340" s="1">
        <v>45074</v>
      </c>
      <c r="B2340">
        <v>13798</v>
      </c>
      <c r="C2340">
        <v>31708</v>
      </c>
      <c r="D2340">
        <v>14662</v>
      </c>
      <c r="E2340">
        <v>5509</v>
      </c>
      <c r="F2340">
        <v>73</v>
      </c>
      <c r="G2340" t="s">
        <v>9</v>
      </c>
      <c r="H2340" t="str" cm="1">
        <f t="array" ref="H2340">_xlfn.IFS(Grammys[[#This Row],[date]] &gt;= DATE(2022,2,1),"Grammys",TRUE,"Grammys TRA")</f>
        <v>Grammys</v>
      </c>
      <c r="I2340">
        <f>_xlfn.XLOOKUP(Grammys[[#This Row],[date]],mobile_visits[date],mobile_visits[mobile_visitors],0)</f>
        <v>11060</v>
      </c>
    </row>
    <row r="2341" spans="1:9">
      <c r="A2341" s="1">
        <v>45075</v>
      </c>
      <c r="B2341">
        <v>20563</v>
      </c>
      <c r="C2341">
        <v>53396</v>
      </c>
      <c r="D2341">
        <v>22244</v>
      </c>
      <c r="E2341">
        <v>7005</v>
      </c>
      <c r="F2341">
        <v>92</v>
      </c>
      <c r="G2341" t="s">
        <v>9</v>
      </c>
      <c r="H2341" t="str" cm="1">
        <f t="array" ref="H2341">_xlfn.IFS(Grammys[[#This Row],[date]] &gt;= DATE(2022,2,1),"Grammys",TRUE,"Grammys TRA")</f>
        <v>Grammys</v>
      </c>
      <c r="I2341">
        <f>_xlfn.XLOOKUP(Grammys[[#This Row],[date]],mobile_visits[date],mobile_visits[mobile_visitors],0)</f>
        <v>16834</v>
      </c>
    </row>
    <row r="2342" spans="1:9">
      <c r="A2342" s="1">
        <v>45076</v>
      </c>
      <c r="B2342">
        <v>16105</v>
      </c>
      <c r="C2342">
        <v>37950</v>
      </c>
      <c r="D2342">
        <v>17264</v>
      </c>
      <c r="E2342">
        <v>6452</v>
      </c>
      <c r="F2342">
        <v>87</v>
      </c>
      <c r="G2342" t="s">
        <v>9</v>
      </c>
      <c r="H2342" t="str" cm="1">
        <f t="array" ref="H2342">_xlfn.IFS(Grammys[[#This Row],[date]] &gt;= DATE(2022,2,1),"Grammys",TRUE,"Grammys TRA")</f>
        <v>Grammys</v>
      </c>
      <c r="I2342">
        <f>_xlfn.XLOOKUP(Grammys[[#This Row],[date]],mobile_visits[date],mobile_visits[mobile_visitors],0)</f>
        <v>10734</v>
      </c>
    </row>
    <row r="2343" spans="1:9">
      <c r="A2343" s="1">
        <v>45077</v>
      </c>
      <c r="B2343">
        <v>31253</v>
      </c>
      <c r="C2343">
        <v>85686</v>
      </c>
      <c r="D2343">
        <v>33237</v>
      </c>
      <c r="E2343">
        <v>8200</v>
      </c>
      <c r="F2343">
        <v>106</v>
      </c>
      <c r="G2343" t="s">
        <v>9</v>
      </c>
      <c r="H2343" t="str" cm="1">
        <f t="array" ref="H2343">_xlfn.IFS(Grammys[[#This Row],[date]] &gt;= DATE(2022,2,1),"Grammys",TRUE,"Grammys TRA")</f>
        <v>Grammys</v>
      </c>
      <c r="I2343">
        <f>_xlfn.XLOOKUP(Grammys[[#This Row],[date]],mobile_visits[date],mobile_visits[mobile_visitors],0)</f>
        <v>22726</v>
      </c>
    </row>
  </sheetData>
  <conditionalFormatting sqref="H2:H2343">
    <cfRule type="expression" dxfId="10" priority="1">
      <formula>MOD(ROW(),2)=0</formula>
    </cfRule>
  </conditionalFormatting>
  <conditionalFormatting sqref="I2:I2343">
    <cfRule type="expression" dxfId="9" priority="2">
      <formula>MOD(ROW(),2)=0</formula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86"/>
  <sheetViews>
    <sheetView workbookViewId="0">
      <selection sqref="A1:G1"/>
    </sheetView>
  </sheetViews>
  <sheetFormatPr defaultColWidth="11" defaultRowHeight="15.95"/>
  <cols>
    <col min="1" max="1" width="16" customWidth="1"/>
    <col min="2" max="2" width="18.375" style="2" customWidth="1"/>
    <col min="4" max="4" width="12.375" customWidth="1"/>
    <col min="6" max="6" width="18.125" customWidth="1"/>
    <col min="7" max="7" width="25.875" customWidth="1"/>
  </cols>
  <sheetData>
    <row r="1" spans="1:7">
      <c r="A1" t="s">
        <v>0</v>
      </c>
      <c r="B1" s="2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44593</v>
      </c>
      <c r="B2" s="2">
        <f>YEAR(TRA[[#This Row],[date]])</f>
        <v>2022</v>
      </c>
      <c r="C2">
        <v>928</v>
      </c>
      <c r="D2">
        <v>2856</v>
      </c>
      <c r="E2">
        <v>1092</v>
      </c>
      <c r="F2">
        <v>591</v>
      </c>
      <c r="G2">
        <v>148</v>
      </c>
    </row>
    <row r="3" spans="1:7">
      <c r="A3" s="1">
        <v>44594</v>
      </c>
      <c r="B3" s="2">
        <f>YEAR(TRA[[#This Row],[date]])</f>
        <v>2022</v>
      </c>
      <c r="C3">
        <v>1329</v>
      </c>
      <c r="D3">
        <v>3233</v>
      </c>
      <c r="E3">
        <v>1490</v>
      </c>
      <c r="F3">
        <v>923</v>
      </c>
      <c r="G3">
        <v>90</v>
      </c>
    </row>
    <row r="4" spans="1:7">
      <c r="A4" s="1">
        <v>44595</v>
      </c>
      <c r="B4" s="2">
        <f>YEAR(TRA[[#This Row],[date]])</f>
        <v>2022</v>
      </c>
      <c r="C4">
        <v>1138</v>
      </c>
      <c r="D4">
        <v>3340</v>
      </c>
      <c r="E4">
        <v>1322</v>
      </c>
      <c r="F4">
        <v>754</v>
      </c>
      <c r="G4">
        <v>127</v>
      </c>
    </row>
    <row r="5" spans="1:7">
      <c r="A5" s="1">
        <v>44596</v>
      </c>
      <c r="B5" s="2">
        <f>YEAR(TRA[[#This Row],[date]])</f>
        <v>2022</v>
      </c>
      <c r="C5">
        <v>811</v>
      </c>
      <c r="D5">
        <v>2552</v>
      </c>
      <c r="E5">
        <v>963</v>
      </c>
      <c r="F5">
        <v>534</v>
      </c>
      <c r="G5">
        <v>142</v>
      </c>
    </row>
    <row r="6" spans="1:7">
      <c r="A6" s="1">
        <v>44597</v>
      </c>
      <c r="B6" s="2">
        <f>YEAR(TRA[[#This Row],[date]])</f>
        <v>2022</v>
      </c>
      <c r="C6">
        <v>541</v>
      </c>
      <c r="D6">
        <v>1530</v>
      </c>
      <c r="E6">
        <v>602</v>
      </c>
      <c r="F6">
        <v>326</v>
      </c>
      <c r="G6">
        <v>111</v>
      </c>
    </row>
    <row r="7" spans="1:7">
      <c r="A7" s="1">
        <v>44598</v>
      </c>
      <c r="B7" s="2">
        <f>YEAR(TRA[[#This Row],[date]])</f>
        <v>2022</v>
      </c>
      <c r="C7">
        <v>536</v>
      </c>
      <c r="D7">
        <v>1669</v>
      </c>
      <c r="E7">
        <v>610</v>
      </c>
      <c r="F7">
        <v>339</v>
      </c>
      <c r="G7">
        <v>147</v>
      </c>
    </row>
    <row r="8" spans="1:7">
      <c r="A8" s="1">
        <v>44599</v>
      </c>
      <c r="B8" s="2">
        <f>YEAR(TRA[[#This Row],[date]])</f>
        <v>2022</v>
      </c>
      <c r="C8">
        <v>921</v>
      </c>
      <c r="D8">
        <v>3512</v>
      </c>
      <c r="E8">
        <v>1117</v>
      </c>
      <c r="F8">
        <v>567</v>
      </c>
      <c r="G8">
        <v>198</v>
      </c>
    </row>
    <row r="9" spans="1:7">
      <c r="A9" s="1">
        <v>44600</v>
      </c>
      <c r="B9" s="2">
        <f>YEAR(TRA[[#This Row],[date]])</f>
        <v>2022</v>
      </c>
      <c r="C9">
        <v>1106</v>
      </c>
      <c r="D9">
        <v>3662</v>
      </c>
      <c r="E9">
        <v>1296</v>
      </c>
      <c r="F9">
        <v>661</v>
      </c>
      <c r="G9">
        <v>163</v>
      </c>
    </row>
    <row r="10" spans="1:7">
      <c r="A10" s="1">
        <v>44601</v>
      </c>
      <c r="B10" s="2">
        <f>YEAR(TRA[[#This Row],[date]])</f>
        <v>2022</v>
      </c>
      <c r="C10">
        <v>1181</v>
      </c>
      <c r="D10">
        <v>4209</v>
      </c>
      <c r="E10">
        <v>1382</v>
      </c>
      <c r="F10">
        <v>725</v>
      </c>
      <c r="G10">
        <v>150</v>
      </c>
    </row>
    <row r="11" spans="1:7">
      <c r="A11" s="1">
        <v>44602</v>
      </c>
      <c r="B11" s="2">
        <f>YEAR(TRA[[#This Row],[date]])</f>
        <v>2022</v>
      </c>
      <c r="C11">
        <v>1134</v>
      </c>
      <c r="D11">
        <v>3473</v>
      </c>
      <c r="E11">
        <v>1341</v>
      </c>
      <c r="F11">
        <v>727</v>
      </c>
      <c r="G11">
        <v>140</v>
      </c>
    </row>
    <row r="12" spans="1:7">
      <c r="A12" s="1">
        <v>44603</v>
      </c>
      <c r="B12" s="2">
        <f>YEAR(TRA[[#This Row],[date]])</f>
        <v>2022</v>
      </c>
      <c r="C12">
        <v>871</v>
      </c>
      <c r="D12">
        <v>3263</v>
      </c>
      <c r="E12">
        <v>1045</v>
      </c>
      <c r="F12">
        <v>577</v>
      </c>
      <c r="G12">
        <v>183</v>
      </c>
    </row>
    <row r="13" spans="1:7">
      <c r="A13" s="1">
        <v>44604</v>
      </c>
      <c r="B13" s="2">
        <f>YEAR(TRA[[#This Row],[date]])</f>
        <v>2022</v>
      </c>
      <c r="C13">
        <v>628</v>
      </c>
      <c r="D13">
        <v>1791</v>
      </c>
      <c r="E13">
        <v>726</v>
      </c>
      <c r="F13">
        <v>418</v>
      </c>
      <c r="G13">
        <v>116</v>
      </c>
    </row>
    <row r="14" spans="1:7">
      <c r="A14" s="1">
        <v>44605</v>
      </c>
      <c r="B14" s="2">
        <f>YEAR(TRA[[#This Row],[date]])</f>
        <v>2022</v>
      </c>
      <c r="C14">
        <v>658</v>
      </c>
      <c r="D14">
        <v>1861</v>
      </c>
      <c r="E14">
        <v>766</v>
      </c>
      <c r="F14">
        <v>443</v>
      </c>
      <c r="G14">
        <v>122</v>
      </c>
    </row>
    <row r="15" spans="1:7">
      <c r="A15" s="1">
        <v>44606</v>
      </c>
      <c r="B15" s="2">
        <f>YEAR(TRA[[#This Row],[date]])</f>
        <v>2022</v>
      </c>
      <c r="C15">
        <v>1111</v>
      </c>
      <c r="D15">
        <v>4054</v>
      </c>
      <c r="E15">
        <v>1365</v>
      </c>
      <c r="F15">
        <v>687</v>
      </c>
      <c r="G15">
        <v>167</v>
      </c>
    </row>
    <row r="16" spans="1:7">
      <c r="A16" s="1">
        <v>44607</v>
      </c>
      <c r="B16" s="2">
        <f>YEAR(TRA[[#This Row],[date]])</f>
        <v>2022</v>
      </c>
      <c r="C16">
        <v>1331</v>
      </c>
      <c r="D16">
        <v>4734</v>
      </c>
      <c r="E16">
        <v>1656</v>
      </c>
      <c r="F16">
        <v>849</v>
      </c>
      <c r="G16">
        <v>171</v>
      </c>
    </row>
    <row r="17" spans="1:7">
      <c r="A17" s="1">
        <v>44608</v>
      </c>
      <c r="B17" s="2">
        <f>YEAR(TRA[[#This Row],[date]])</f>
        <v>2022</v>
      </c>
      <c r="C17">
        <v>1136</v>
      </c>
      <c r="D17">
        <v>3648</v>
      </c>
      <c r="E17">
        <v>1350</v>
      </c>
      <c r="F17">
        <v>722</v>
      </c>
      <c r="G17">
        <v>148</v>
      </c>
    </row>
    <row r="18" spans="1:7">
      <c r="A18" s="1">
        <v>44609</v>
      </c>
      <c r="B18" s="2">
        <f>YEAR(TRA[[#This Row],[date]])</f>
        <v>2022</v>
      </c>
      <c r="C18">
        <v>1121</v>
      </c>
      <c r="D18">
        <v>3612</v>
      </c>
      <c r="E18">
        <v>1319</v>
      </c>
      <c r="F18">
        <v>711</v>
      </c>
      <c r="G18">
        <v>138</v>
      </c>
    </row>
    <row r="19" spans="1:7">
      <c r="A19" s="1">
        <v>44610</v>
      </c>
      <c r="B19" s="2">
        <f>YEAR(TRA[[#This Row],[date]])</f>
        <v>2022</v>
      </c>
      <c r="C19">
        <v>1077</v>
      </c>
      <c r="D19">
        <v>3590</v>
      </c>
      <c r="E19">
        <v>1283</v>
      </c>
      <c r="F19">
        <v>742</v>
      </c>
      <c r="G19">
        <v>159</v>
      </c>
    </row>
    <row r="20" spans="1:7">
      <c r="A20" s="1">
        <v>44611</v>
      </c>
      <c r="B20" s="2">
        <f>YEAR(TRA[[#This Row],[date]])</f>
        <v>2022</v>
      </c>
      <c r="C20">
        <v>726</v>
      </c>
      <c r="D20">
        <v>1954</v>
      </c>
      <c r="E20">
        <v>830</v>
      </c>
      <c r="F20">
        <v>515</v>
      </c>
      <c r="G20">
        <v>128</v>
      </c>
    </row>
    <row r="21" spans="1:7">
      <c r="A21" s="1">
        <v>44612</v>
      </c>
      <c r="B21" s="2">
        <f>YEAR(TRA[[#This Row],[date]])</f>
        <v>2022</v>
      </c>
      <c r="C21">
        <v>717</v>
      </c>
      <c r="D21">
        <v>1927</v>
      </c>
      <c r="E21">
        <v>828</v>
      </c>
      <c r="F21">
        <v>511</v>
      </c>
      <c r="G21">
        <v>146</v>
      </c>
    </row>
    <row r="22" spans="1:7">
      <c r="A22" s="1">
        <v>44613</v>
      </c>
      <c r="B22" s="2">
        <f>YEAR(TRA[[#This Row],[date]])</f>
        <v>2022</v>
      </c>
      <c r="C22">
        <v>1071</v>
      </c>
      <c r="D22">
        <v>3469</v>
      </c>
      <c r="E22">
        <v>1278</v>
      </c>
      <c r="F22">
        <v>717</v>
      </c>
      <c r="G22">
        <v>144</v>
      </c>
    </row>
    <row r="23" spans="1:7">
      <c r="A23" s="1">
        <v>44614</v>
      </c>
      <c r="B23" s="2">
        <f>YEAR(TRA[[#This Row],[date]])</f>
        <v>2022</v>
      </c>
      <c r="C23">
        <v>1498</v>
      </c>
      <c r="D23">
        <v>5491</v>
      </c>
      <c r="E23">
        <v>1842</v>
      </c>
      <c r="F23">
        <v>968</v>
      </c>
      <c r="G23">
        <v>159</v>
      </c>
    </row>
    <row r="24" spans="1:7">
      <c r="A24" s="1">
        <v>44615</v>
      </c>
      <c r="B24" s="2">
        <f>YEAR(TRA[[#This Row],[date]])</f>
        <v>2022</v>
      </c>
      <c r="C24">
        <v>1584</v>
      </c>
      <c r="D24">
        <v>6208</v>
      </c>
      <c r="E24">
        <v>1937</v>
      </c>
      <c r="F24">
        <v>936</v>
      </c>
      <c r="G24">
        <v>169</v>
      </c>
    </row>
    <row r="25" spans="1:7">
      <c r="A25" s="1">
        <v>44616</v>
      </c>
      <c r="B25" s="2">
        <f>YEAR(TRA[[#This Row],[date]])</f>
        <v>2022</v>
      </c>
      <c r="C25">
        <v>1367</v>
      </c>
      <c r="D25">
        <v>5040</v>
      </c>
      <c r="E25">
        <v>1697</v>
      </c>
      <c r="F25">
        <v>852</v>
      </c>
      <c r="G25">
        <v>194</v>
      </c>
    </row>
    <row r="26" spans="1:7">
      <c r="A26" s="1">
        <v>44617</v>
      </c>
      <c r="B26" s="2">
        <f>YEAR(TRA[[#This Row],[date]])</f>
        <v>2022</v>
      </c>
      <c r="C26">
        <v>1513</v>
      </c>
      <c r="D26">
        <v>4637</v>
      </c>
      <c r="E26">
        <v>1818</v>
      </c>
      <c r="F26">
        <v>991</v>
      </c>
      <c r="G26">
        <v>141</v>
      </c>
    </row>
    <row r="27" spans="1:7">
      <c r="A27" s="1">
        <v>44618</v>
      </c>
      <c r="B27" s="2">
        <f>YEAR(TRA[[#This Row],[date]])</f>
        <v>2022</v>
      </c>
      <c r="C27">
        <v>925</v>
      </c>
      <c r="D27">
        <v>2699</v>
      </c>
      <c r="E27">
        <v>1085</v>
      </c>
      <c r="F27">
        <v>602</v>
      </c>
      <c r="G27">
        <v>129</v>
      </c>
    </row>
    <row r="28" spans="1:7">
      <c r="A28" s="1">
        <v>44619</v>
      </c>
      <c r="B28" s="2">
        <f>YEAR(TRA[[#This Row],[date]])</f>
        <v>2022</v>
      </c>
      <c r="C28">
        <v>952</v>
      </c>
      <c r="D28">
        <v>3214</v>
      </c>
      <c r="E28">
        <v>1161</v>
      </c>
      <c r="F28">
        <v>565</v>
      </c>
      <c r="G28">
        <v>201</v>
      </c>
    </row>
    <row r="29" spans="1:7">
      <c r="A29" s="1">
        <v>44620</v>
      </c>
      <c r="B29" s="2">
        <f>YEAR(TRA[[#This Row],[date]])</f>
        <v>2022</v>
      </c>
      <c r="C29">
        <v>1966</v>
      </c>
      <c r="D29">
        <v>8951</v>
      </c>
      <c r="E29">
        <v>2717</v>
      </c>
      <c r="F29">
        <v>1114</v>
      </c>
      <c r="G29">
        <v>237</v>
      </c>
    </row>
    <row r="30" spans="1:7">
      <c r="A30" s="1">
        <v>44621</v>
      </c>
      <c r="B30" s="2">
        <f>YEAR(TRA[[#This Row],[date]])</f>
        <v>2022</v>
      </c>
      <c r="C30">
        <v>1571</v>
      </c>
      <c r="D30">
        <v>6180</v>
      </c>
      <c r="E30">
        <v>2073</v>
      </c>
      <c r="F30">
        <v>1008</v>
      </c>
      <c r="G30">
        <v>188</v>
      </c>
    </row>
    <row r="31" spans="1:7">
      <c r="A31" s="1">
        <v>44622</v>
      </c>
      <c r="B31" s="2">
        <f>YEAR(TRA[[#This Row],[date]])</f>
        <v>2022</v>
      </c>
      <c r="C31">
        <v>1052</v>
      </c>
      <c r="D31">
        <v>2885</v>
      </c>
      <c r="E31">
        <v>1207</v>
      </c>
      <c r="F31">
        <v>719</v>
      </c>
      <c r="G31">
        <v>107</v>
      </c>
    </row>
    <row r="32" spans="1:7">
      <c r="A32" s="1">
        <v>44623</v>
      </c>
      <c r="B32" s="2">
        <f>YEAR(TRA[[#This Row],[date]])</f>
        <v>2022</v>
      </c>
      <c r="C32">
        <v>1012</v>
      </c>
      <c r="D32">
        <v>2752</v>
      </c>
      <c r="E32">
        <v>1194</v>
      </c>
      <c r="F32">
        <v>717</v>
      </c>
      <c r="G32">
        <v>117</v>
      </c>
    </row>
    <row r="33" spans="1:7">
      <c r="A33" s="1">
        <v>44624</v>
      </c>
      <c r="B33" s="2">
        <f>YEAR(TRA[[#This Row],[date]])</f>
        <v>2022</v>
      </c>
      <c r="C33">
        <v>831</v>
      </c>
      <c r="D33">
        <v>2431</v>
      </c>
      <c r="E33">
        <v>977</v>
      </c>
      <c r="F33">
        <v>582</v>
      </c>
      <c r="G33">
        <v>126</v>
      </c>
    </row>
    <row r="34" spans="1:7">
      <c r="A34" s="1">
        <v>44625</v>
      </c>
      <c r="B34" s="2">
        <f>YEAR(TRA[[#This Row],[date]])</f>
        <v>2022</v>
      </c>
      <c r="C34">
        <v>579</v>
      </c>
      <c r="D34">
        <v>1409</v>
      </c>
      <c r="E34">
        <v>648</v>
      </c>
      <c r="F34">
        <v>412</v>
      </c>
      <c r="G34">
        <v>89</v>
      </c>
    </row>
    <row r="35" spans="1:7">
      <c r="A35" s="1">
        <v>44626</v>
      </c>
      <c r="B35" s="2">
        <f>YEAR(TRA[[#This Row],[date]])</f>
        <v>2022</v>
      </c>
      <c r="C35">
        <v>653</v>
      </c>
      <c r="D35">
        <v>1574</v>
      </c>
      <c r="E35">
        <v>719</v>
      </c>
      <c r="F35">
        <v>462</v>
      </c>
      <c r="G35">
        <v>98</v>
      </c>
    </row>
    <row r="36" spans="1:7">
      <c r="A36" s="1">
        <v>44627</v>
      </c>
      <c r="B36" s="2">
        <f>YEAR(TRA[[#This Row],[date]])</f>
        <v>2022</v>
      </c>
      <c r="C36">
        <v>1015</v>
      </c>
      <c r="D36">
        <v>2878</v>
      </c>
      <c r="E36">
        <v>1175</v>
      </c>
      <c r="F36">
        <v>723</v>
      </c>
      <c r="G36">
        <v>127</v>
      </c>
    </row>
    <row r="37" spans="1:7">
      <c r="A37" s="1">
        <v>44628</v>
      </c>
      <c r="B37" s="2">
        <f>YEAR(TRA[[#This Row],[date]])</f>
        <v>2022</v>
      </c>
      <c r="C37">
        <v>1493</v>
      </c>
      <c r="D37">
        <v>3662</v>
      </c>
      <c r="E37">
        <v>1703</v>
      </c>
      <c r="F37">
        <v>966</v>
      </c>
      <c r="G37">
        <v>99</v>
      </c>
    </row>
    <row r="38" spans="1:7">
      <c r="A38" s="1">
        <v>44629</v>
      </c>
      <c r="B38" s="2">
        <f>YEAR(TRA[[#This Row],[date]])</f>
        <v>2022</v>
      </c>
      <c r="C38">
        <v>1111</v>
      </c>
      <c r="D38">
        <v>3393</v>
      </c>
      <c r="E38">
        <v>1293</v>
      </c>
      <c r="F38">
        <v>753</v>
      </c>
      <c r="G38">
        <v>112</v>
      </c>
    </row>
    <row r="39" spans="1:7">
      <c r="A39" s="1">
        <v>44630</v>
      </c>
      <c r="B39" s="2">
        <f>YEAR(TRA[[#This Row],[date]])</f>
        <v>2022</v>
      </c>
      <c r="C39">
        <v>1000</v>
      </c>
      <c r="D39">
        <v>2796</v>
      </c>
      <c r="E39">
        <v>1160</v>
      </c>
      <c r="F39">
        <v>696</v>
      </c>
      <c r="G39">
        <v>101</v>
      </c>
    </row>
    <row r="40" spans="1:7">
      <c r="A40" s="1">
        <v>44631</v>
      </c>
      <c r="B40" s="2">
        <f>YEAR(TRA[[#This Row],[date]])</f>
        <v>2022</v>
      </c>
      <c r="C40">
        <v>925</v>
      </c>
      <c r="D40">
        <v>2592</v>
      </c>
      <c r="E40">
        <v>1082</v>
      </c>
      <c r="F40">
        <v>648</v>
      </c>
      <c r="G40">
        <v>116</v>
      </c>
    </row>
    <row r="41" spans="1:7">
      <c r="A41" s="1">
        <v>44632</v>
      </c>
      <c r="B41" s="2">
        <f>YEAR(TRA[[#This Row],[date]])</f>
        <v>2022</v>
      </c>
      <c r="C41">
        <v>637</v>
      </c>
      <c r="D41">
        <v>1589</v>
      </c>
      <c r="E41">
        <v>722</v>
      </c>
      <c r="F41">
        <v>456</v>
      </c>
      <c r="G41">
        <v>115</v>
      </c>
    </row>
    <row r="42" spans="1:7">
      <c r="A42" s="1">
        <v>44633</v>
      </c>
      <c r="B42" s="2">
        <f>YEAR(TRA[[#This Row],[date]])</f>
        <v>2022</v>
      </c>
      <c r="C42">
        <v>720</v>
      </c>
      <c r="D42">
        <v>1622</v>
      </c>
      <c r="E42">
        <v>792</v>
      </c>
      <c r="F42">
        <v>492</v>
      </c>
      <c r="G42">
        <v>67</v>
      </c>
    </row>
    <row r="43" spans="1:7">
      <c r="A43" s="1">
        <v>44634</v>
      </c>
      <c r="B43" s="2">
        <f>YEAR(TRA[[#This Row],[date]])</f>
        <v>2022</v>
      </c>
      <c r="C43">
        <v>1109</v>
      </c>
      <c r="D43">
        <v>2742</v>
      </c>
      <c r="E43">
        <v>1254</v>
      </c>
      <c r="F43">
        <v>765</v>
      </c>
      <c r="G43">
        <v>99</v>
      </c>
    </row>
    <row r="44" spans="1:7">
      <c r="A44" s="1">
        <v>44635</v>
      </c>
      <c r="B44" s="2">
        <f>YEAR(TRA[[#This Row],[date]])</f>
        <v>2022</v>
      </c>
      <c r="C44">
        <v>1974</v>
      </c>
      <c r="D44">
        <v>4475</v>
      </c>
      <c r="E44">
        <v>2199</v>
      </c>
      <c r="F44">
        <v>1365</v>
      </c>
      <c r="G44">
        <v>73</v>
      </c>
    </row>
    <row r="45" spans="1:7">
      <c r="A45" s="1">
        <v>44636</v>
      </c>
      <c r="B45" s="2">
        <f>YEAR(TRA[[#This Row],[date]])</f>
        <v>2022</v>
      </c>
      <c r="C45">
        <v>1433</v>
      </c>
      <c r="D45">
        <v>3572</v>
      </c>
      <c r="E45">
        <v>1622</v>
      </c>
      <c r="F45">
        <v>993</v>
      </c>
      <c r="G45">
        <v>93</v>
      </c>
    </row>
    <row r="46" spans="1:7">
      <c r="A46" s="1">
        <v>44637</v>
      </c>
      <c r="B46" s="2">
        <f>YEAR(TRA[[#This Row],[date]])</f>
        <v>2022</v>
      </c>
      <c r="C46">
        <v>1186</v>
      </c>
      <c r="D46">
        <v>2802</v>
      </c>
      <c r="E46">
        <v>1331</v>
      </c>
      <c r="F46">
        <v>854</v>
      </c>
      <c r="G46">
        <v>85</v>
      </c>
    </row>
    <row r="47" spans="1:7">
      <c r="A47" s="1">
        <v>44638</v>
      </c>
      <c r="B47" s="2">
        <f>YEAR(TRA[[#This Row],[date]])</f>
        <v>2022</v>
      </c>
      <c r="C47">
        <v>1320</v>
      </c>
      <c r="D47">
        <v>2796</v>
      </c>
      <c r="E47">
        <v>1483</v>
      </c>
      <c r="F47">
        <v>1042</v>
      </c>
      <c r="G47">
        <v>80</v>
      </c>
    </row>
    <row r="48" spans="1:7">
      <c r="A48" s="1">
        <v>44639</v>
      </c>
      <c r="B48" s="2">
        <f>YEAR(TRA[[#This Row],[date]])</f>
        <v>2022</v>
      </c>
      <c r="C48">
        <v>978</v>
      </c>
      <c r="D48">
        <v>2000</v>
      </c>
      <c r="E48">
        <v>1100</v>
      </c>
      <c r="F48">
        <v>756</v>
      </c>
      <c r="G48">
        <v>69</v>
      </c>
    </row>
    <row r="49" spans="1:7">
      <c r="A49" s="1">
        <v>44640</v>
      </c>
      <c r="B49" s="2">
        <f>YEAR(TRA[[#This Row],[date]])</f>
        <v>2022</v>
      </c>
      <c r="C49">
        <v>1006</v>
      </c>
      <c r="D49">
        <v>2165</v>
      </c>
      <c r="E49">
        <v>1103</v>
      </c>
      <c r="F49">
        <v>722</v>
      </c>
      <c r="G49">
        <v>72</v>
      </c>
    </row>
    <row r="50" spans="1:7">
      <c r="A50" s="1">
        <v>44641</v>
      </c>
      <c r="B50" s="2">
        <f>YEAR(TRA[[#This Row],[date]])</f>
        <v>2022</v>
      </c>
      <c r="C50">
        <v>1508</v>
      </c>
      <c r="D50">
        <v>3417</v>
      </c>
      <c r="E50">
        <v>1682</v>
      </c>
      <c r="F50">
        <v>1080</v>
      </c>
      <c r="G50">
        <v>84</v>
      </c>
    </row>
    <row r="51" spans="1:7">
      <c r="A51" s="1">
        <v>44642</v>
      </c>
      <c r="B51" s="2">
        <f>YEAR(TRA[[#This Row],[date]])</f>
        <v>2022</v>
      </c>
      <c r="C51">
        <v>1701</v>
      </c>
      <c r="D51">
        <v>3735</v>
      </c>
      <c r="E51">
        <v>1894</v>
      </c>
      <c r="F51">
        <v>1230</v>
      </c>
      <c r="G51">
        <v>73</v>
      </c>
    </row>
    <row r="52" spans="1:7">
      <c r="A52" s="1">
        <v>44643</v>
      </c>
      <c r="B52" s="2">
        <f>YEAR(TRA[[#This Row],[date]])</f>
        <v>2022</v>
      </c>
      <c r="C52">
        <v>1519</v>
      </c>
      <c r="D52">
        <v>3374</v>
      </c>
      <c r="E52">
        <v>1726</v>
      </c>
      <c r="F52">
        <v>1137</v>
      </c>
      <c r="G52">
        <v>91</v>
      </c>
    </row>
    <row r="53" spans="1:7">
      <c r="A53" s="1">
        <v>44644</v>
      </c>
      <c r="B53" s="2">
        <f>YEAR(TRA[[#This Row],[date]])</f>
        <v>2022</v>
      </c>
      <c r="C53">
        <v>1603</v>
      </c>
      <c r="D53">
        <v>3748</v>
      </c>
      <c r="E53">
        <v>1823</v>
      </c>
      <c r="F53">
        <v>1148</v>
      </c>
      <c r="G53">
        <v>105</v>
      </c>
    </row>
    <row r="54" spans="1:7">
      <c r="A54" s="1">
        <v>44645</v>
      </c>
      <c r="B54" s="2">
        <f>YEAR(TRA[[#This Row],[date]])</f>
        <v>2022</v>
      </c>
      <c r="C54">
        <v>1387</v>
      </c>
      <c r="D54">
        <v>3329</v>
      </c>
      <c r="E54">
        <v>1586</v>
      </c>
      <c r="F54">
        <v>1042</v>
      </c>
      <c r="G54">
        <v>97</v>
      </c>
    </row>
    <row r="55" spans="1:7">
      <c r="A55" s="1">
        <v>44646</v>
      </c>
      <c r="B55" s="2">
        <f>YEAR(TRA[[#This Row],[date]])</f>
        <v>2022</v>
      </c>
      <c r="C55">
        <v>1113</v>
      </c>
      <c r="D55">
        <v>2419</v>
      </c>
      <c r="E55">
        <v>1240</v>
      </c>
      <c r="F55">
        <v>840</v>
      </c>
      <c r="G55">
        <v>94</v>
      </c>
    </row>
    <row r="56" spans="1:7">
      <c r="A56" s="1">
        <v>44647</v>
      </c>
      <c r="B56" s="2">
        <f>YEAR(TRA[[#This Row],[date]])</f>
        <v>2022</v>
      </c>
      <c r="C56">
        <v>2656</v>
      </c>
      <c r="D56">
        <v>4702</v>
      </c>
      <c r="E56">
        <v>2890</v>
      </c>
      <c r="F56">
        <v>2013</v>
      </c>
      <c r="G56">
        <v>55</v>
      </c>
    </row>
    <row r="57" spans="1:7">
      <c r="A57" s="1">
        <v>44648</v>
      </c>
      <c r="B57" s="2">
        <f>YEAR(TRA[[#This Row],[date]])</f>
        <v>2022</v>
      </c>
      <c r="C57">
        <v>4746</v>
      </c>
      <c r="D57">
        <v>9155</v>
      </c>
      <c r="E57">
        <v>5278</v>
      </c>
      <c r="F57">
        <v>3561</v>
      </c>
      <c r="G57">
        <v>59</v>
      </c>
    </row>
    <row r="58" spans="1:7">
      <c r="A58" s="1">
        <v>44649</v>
      </c>
      <c r="B58" s="2">
        <f>YEAR(TRA[[#This Row],[date]])</f>
        <v>2022</v>
      </c>
      <c r="C58">
        <v>4532</v>
      </c>
      <c r="D58">
        <v>9373</v>
      </c>
      <c r="E58">
        <v>5008</v>
      </c>
      <c r="F58">
        <v>3251</v>
      </c>
      <c r="G58">
        <v>64</v>
      </c>
    </row>
    <row r="59" spans="1:7">
      <c r="A59" s="1">
        <v>44650</v>
      </c>
      <c r="B59" s="2">
        <f>YEAR(TRA[[#This Row],[date]])</f>
        <v>2022</v>
      </c>
      <c r="C59">
        <v>3711</v>
      </c>
      <c r="D59">
        <v>8221</v>
      </c>
      <c r="E59">
        <v>4171</v>
      </c>
      <c r="F59">
        <v>2662</v>
      </c>
      <c r="G59">
        <v>77</v>
      </c>
    </row>
    <row r="60" spans="1:7">
      <c r="A60" s="1">
        <v>44651</v>
      </c>
      <c r="B60" s="2">
        <f>YEAR(TRA[[#This Row],[date]])</f>
        <v>2022</v>
      </c>
      <c r="C60">
        <v>3118</v>
      </c>
      <c r="D60">
        <v>6953</v>
      </c>
      <c r="E60">
        <v>3479</v>
      </c>
      <c r="F60">
        <v>2281</v>
      </c>
      <c r="G60">
        <v>78</v>
      </c>
    </row>
    <row r="61" spans="1:7">
      <c r="A61" s="1">
        <v>44652</v>
      </c>
      <c r="B61" s="2">
        <f>YEAR(TRA[[#This Row],[date]])</f>
        <v>2022</v>
      </c>
      <c r="C61">
        <v>3918</v>
      </c>
      <c r="D61">
        <v>8155</v>
      </c>
      <c r="E61">
        <v>4309</v>
      </c>
      <c r="F61">
        <v>2829</v>
      </c>
      <c r="G61">
        <v>67</v>
      </c>
    </row>
    <row r="62" spans="1:7">
      <c r="A62" s="1">
        <v>44653</v>
      </c>
      <c r="B62" s="2">
        <f>YEAR(TRA[[#This Row],[date]])</f>
        <v>2022</v>
      </c>
      <c r="C62">
        <v>6955</v>
      </c>
      <c r="D62">
        <v>12913</v>
      </c>
      <c r="E62">
        <v>7465</v>
      </c>
      <c r="F62">
        <v>5174</v>
      </c>
      <c r="G62">
        <v>54</v>
      </c>
    </row>
    <row r="63" spans="1:7">
      <c r="A63" s="1">
        <v>44654</v>
      </c>
      <c r="B63" s="2">
        <f>YEAR(TRA[[#This Row],[date]])</f>
        <v>2022</v>
      </c>
      <c r="C63">
        <v>65411</v>
      </c>
      <c r="D63">
        <v>114987</v>
      </c>
      <c r="E63">
        <v>70782</v>
      </c>
      <c r="F63">
        <v>49152</v>
      </c>
      <c r="G63">
        <v>53</v>
      </c>
    </row>
    <row r="64" spans="1:7">
      <c r="A64" s="1">
        <v>44655</v>
      </c>
      <c r="B64" s="2">
        <f>YEAR(TRA[[#This Row],[date]])</f>
        <v>2022</v>
      </c>
      <c r="C64">
        <v>15241</v>
      </c>
      <c r="D64">
        <v>27645</v>
      </c>
      <c r="E64">
        <v>16523</v>
      </c>
      <c r="F64">
        <v>11763</v>
      </c>
      <c r="G64">
        <v>57</v>
      </c>
    </row>
    <row r="65" spans="1:7">
      <c r="A65" s="1">
        <v>44656</v>
      </c>
      <c r="B65" s="2">
        <f>YEAR(TRA[[#This Row],[date]])</f>
        <v>2022</v>
      </c>
      <c r="C65">
        <v>5493</v>
      </c>
      <c r="D65">
        <v>10697</v>
      </c>
      <c r="E65">
        <v>6066</v>
      </c>
      <c r="F65">
        <v>4241</v>
      </c>
      <c r="G65">
        <v>69</v>
      </c>
    </row>
    <row r="66" spans="1:7">
      <c r="A66" s="1">
        <v>44657</v>
      </c>
      <c r="B66" s="2">
        <f>YEAR(TRA[[#This Row],[date]])</f>
        <v>2022</v>
      </c>
      <c r="C66">
        <v>3061</v>
      </c>
      <c r="D66">
        <v>6253</v>
      </c>
      <c r="E66">
        <v>3452</v>
      </c>
      <c r="F66">
        <v>2383</v>
      </c>
      <c r="G66">
        <v>73</v>
      </c>
    </row>
    <row r="67" spans="1:7">
      <c r="A67" s="1">
        <v>44658</v>
      </c>
      <c r="B67" s="2">
        <f>YEAR(TRA[[#This Row],[date]])</f>
        <v>2022</v>
      </c>
      <c r="C67">
        <v>2281</v>
      </c>
      <c r="D67">
        <v>4857</v>
      </c>
      <c r="E67">
        <v>2560</v>
      </c>
      <c r="F67">
        <v>1694</v>
      </c>
      <c r="G67">
        <v>88</v>
      </c>
    </row>
    <row r="68" spans="1:7">
      <c r="A68" s="1">
        <v>44659</v>
      </c>
      <c r="B68" s="2">
        <f>YEAR(TRA[[#This Row],[date]])</f>
        <v>2022</v>
      </c>
      <c r="C68">
        <v>1855</v>
      </c>
      <c r="D68">
        <v>3833</v>
      </c>
      <c r="E68">
        <v>2069</v>
      </c>
      <c r="F68">
        <v>1401</v>
      </c>
      <c r="G68">
        <v>76</v>
      </c>
    </row>
    <row r="69" spans="1:7">
      <c r="A69" s="1">
        <v>44660</v>
      </c>
      <c r="B69" s="2">
        <f>YEAR(TRA[[#This Row],[date]])</f>
        <v>2022</v>
      </c>
      <c r="C69">
        <v>1528</v>
      </c>
      <c r="D69">
        <v>2844</v>
      </c>
      <c r="E69">
        <v>1700</v>
      </c>
      <c r="F69">
        <v>1255</v>
      </c>
      <c r="G69">
        <v>61</v>
      </c>
    </row>
    <row r="70" spans="1:7">
      <c r="A70" s="1">
        <v>44661</v>
      </c>
      <c r="B70" s="2">
        <f>YEAR(TRA[[#This Row],[date]])</f>
        <v>2022</v>
      </c>
      <c r="C70">
        <v>1165</v>
      </c>
      <c r="D70">
        <v>2336</v>
      </c>
      <c r="E70">
        <v>1308</v>
      </c>
      <c r="F70">
        <v>920</v>
      </c>
      <c r="G70">
        <v>78</v>
      </c>
    </row>
    <row r="71" spans="1:7">
      <c r="A71" s="1">
        <v>44662</v>
      </c>
      <c r="B71" s="2">
        <f>YEAR(TRA[[#This Row],[date]])</f>
        <v>2022</v>
      </c>
      <c r="C71">
        <v>1481</v>
      </c>
      <c r="D71">
        <v>3440</v>
      </c>
      <c r="E71">
        <v>1695</v>
      </c>
      <c r="F71">
        <v>1110</v>
      </c>
      <c r="G71">
        <v>92</v>
      </c>
    </row>
    <row r="72" spans="1:7">
      <c r="A72" s="1">
        <v>44663</v>
      </c>
      <c r="B72" s="2">
        <f>YEAR(TRA[[#This Row],[date]])</f>
        <v>2022</v>
      </c>
      <c r="C72">
        <v>1278</v>
      </c>
      <c r="D72">
        <v>3721</v>
      </c>
      <c r="E72">
        <v>1558</v>
      </c>
      <c r="F72">
        <v>954</v>
      </c>
      <c r="G72">
        <v>136</v>
      </c>
    </row>
    <row r="73" spans="1:7">
      <c r="A73" s="1">
        <v>44664</v>
      </c>
      <c r="B73" s="2">
        <f>YEAR(TRA[[#This Row],[date]])</f>
        <v>2022</v>
      </c>
      <c r="C73">
        <v>1127</v>
      </c>
      <c r="D73">
        <v>2813</v>
      </c>
      <c r="E73">
        <v>1278</v>
      </c>
      <c r="F73">
        <v>790</v>
      </c>
      <c r="G73">
        <v>132</v>
      </c>
    </row>
    <row r="74" spans="1:7">
      <c r="A74" s="1">
        <v>44665</v>
      </c>
      <c r="B74" s="2">
        <f>YEAR(TRA[[#This Row],[date]])</f>
        <v>2022</v>
      </c>
      <c r="C74">
        <v>1011</v>
      </c>
      <c r="D74">
        <v>2270</v>
      </c>
      <c r="E74">
        <v>1146</v>
      </c>
      <c r="F74">
        <v>769</v>
      </c>
      <c r="G74">
        <v>91</v>
      </c>
    </row>
    <row r="75" spans="1:7">
      <c r="A75" s="1">
        <v>44666</v>
      </c>
      <c r="B75" s="2">
        <f>YEAR(TRA[[#This Row],[date]])</f>
        <v>2022</v>
      </c>
      <c r="C75">
        <v>812</v>
      </c>
      <c r="D75">
        <v>1781</v>
      </c>
      <c r="E75">
        <v>900</v>
      </c>
      <c r="F75">
        <v>589</v>
      </c>
      <c r="G75">
        <v>82</v>
      </c>
    </row>
    <row r="76" spans="1:7">
      <c r="A76" s="1">
        <v>44667</v>
      </c>
      <c r="B76" s="2">
        <f>YEAR(TRA[[#This Row],[date]])</f>
        <v>2022</v>
      </c>
      <c r="C76">
        <v>665</v>
      </c>
      <c r="D76">
        <v>1375</v>
      </c>
      <c r="E76">
        <v>753</v>
      </c>
      <c r="F76">
        <v>529</v>
      </c>
      <c r="G76">
        <v>80</v>
      </c>
    </row>
    <row r="77" spans="1:7">
      <c r="A77" s="1">
        <v>44668</v>
      </c>
      <c r="B77" s="2">
        <f>YEAR(TRA[[#This Row],[date]])</f>
        <v>2022</v>
      </c>
      <c r="C77">
        <v>687</v>
      </c>
      <c r="D77">
        <v>1521</v>
      </c>
      <c r="E77">
        <v>782</v>
      </c>
      <c r="F77">
        <v>530</v>
      </c>
      <c r="G77">
        <v>84</v>
      </c>
    </row>
    <row r="78" spans="1:7">
      <c r="A78" s="1">
        <v>44669</v>
      </c>
      <c r="B78" s="2">
        <f>YEAR(TRA[[#This Row],[date]])</f>
        <v>2022</v>
      </c>
      <c r="C78">
        <v>1014</v>
      </c>
      <c r="D78">
        <v>2311</v>
      </c>
      <c r="E78">
        <v>1138</v>
      </c>
      <c r="F78">
        <v>737</v>
      </c>
      <c r="G78">
        <v>85</v>
      </c>
    </row>
    <row r="79" spans="1:7">
      <c r="A79" s="1">
        <v>44670</v>
      </c>
      <c r="B79" s="2">
        <f>YEAR(TRA[[#This Row],[date]])</f>
        <v>2022</v>
      </c>
      <c r="C79">
        <v>1017</v>
      </c>
      <c r="D79">
        <v>2534</v>
      </c>
      <c r="E79">
        <v>1147</v>
      </c>
      <c r="F79">
        <v>729</v>
      </c>
      <c r="G79">
        <v>102</v>
      </c>
    </row>
    <row r="80" spans="1:7">
      <c r="A80" s="1">
        <v>44671</v>
      </c>
      <c r="B80" s="2">
        <f>YEAR(TRA[[#This Row],[date]])</f>
        <v>2022</v>
      </c>
      <c r="C80">
        <v>916</v>
      </c>
      <c r="D80">
        <v>2232</v>
      </c>
      <c r="E80">
        <v>1072</v>
      </c>
      <c r="F80">
        <v>686</v>
      </c>
      <c r="G80">
        <v>110</v>
      </c>
    </row>
    <row r="81" spans="1:7">
      <c r="A81" s="1">
        <v>44672</v>
      </c>
      <c r="B81" s="2">
        <f>YEAR(TRA[[#This Row],[date]])</f>
        <v>2022</v>
      </c>
      <c r="C81">
        <v>994</v>
      </c>
      <c r="D81">
        <v>2350</v>
      </c>
      <c r="E81">
        <v>1145</v>
      </c>
      <c r="F81">
        <v>723</v>
      </c>
      <c r="G81">
        <v>92</v>
      </c>
    </row>
    <row r="82" spans="1:7">
      <c r="A82" s="1">
        <v>44673</v>
      </c>
      <c r="B82" s="2">
        <f>YEAR(TRA[[#This Row],[date]])</f>
        <v>2022</v>
      </c>
      <c r="C82">
        <v>862</v>
      </c>
      <c r="D82">
        <v>2105</v>
      </c>
      <c r="E82">
        <v>988</v>
      </c>
      <c r="F82">
        <v>636</v>
      </c>
      <c r="G82">
        <v>120</v>
      </c>
    </row>
    <row r="83" spans="1:7">
      <c r="A83" s="1">
        <v>44674</v>
      </c>
      <c r="B83" s="2">
        <f>YEAR(TRA[[#This Row],[date]])</f>
        <v>2022</v>
      </c>
      <c r="C83">
        <v>660</v>
      </c>
      <c r="D83">
        <v>1415</v>
      </c>
      <c r="E83">
        <v>767</v>
      </c>
      <c r="F83">
        <v>533</v>
      </c>
      <c r="G83">
        <v>68</v>
      </c>
    </row>
    <row r="84" spans="1:7">
      <c r="A84" s="1">
        <v>44675</v>
      </c>
      <c r="B84" s="2">
        <f>YEAR(TRA[[#This Row],[date]])</f>
        <v>2022</v>
      </c>
      <c r="C84">
        <v>663</v>
      </c>
      <c r="D84">
        <v>1368</v>
      </c>
      <c r="E84">
        <v>750</v>
      </c>
      <c r="F84">
        <v>525</v>
      </c>
      <c r="G84">
        <v>80</v>
      </c>
    </row>
    <row r="85" spans="1:7">
      <c r="A85" s="1">
        <v>44676</v>
      </c>
      <c r="B85" s="2">
        <f>YEAR(TRA[[#This Row],[date]])</f>
        <v>2022</v>
      </c>
      <c r="C85">
        <v>1282</v>
      </c>
      <c r="D85">
        <v>3091</v>
      </c>
      <c r="E85">
        <v>1528</v>
      </c>
      <c r="F85">
        <v>983</v>
      </c>
      <c r="G85">
        <v>97</v>
      </c>
    </row>
    <row r="86" spans="1:7">
      <c r="A86" s="1">
        <v>44677</v>
      </c>
      <c r="B86" s="2">
        <f>YEAR(TRA[[#This Row],[date]])</f>
        <v>2022</v>
      </c>
      <c r="C86">
        <v>1092</v>
      </c>
      <c r="D86">
        <v>3324</v>
      </c>
      <c r="E86">
        <v>1296</v>
      </c>
      <c r="F86">
        <v>845</v>
      </c>
      <c r="G86">
        <v>112</v>
      </c>
    </row>
    <row r="87" spans="1:7">
      <c r="A87" s="1">
        <v>44678</v>
      </c>
      <c r="B87" s="2">
        <f>YEAR(TRA[[#This Row],[date]])</f>
        <v>2022</v>
      </c>
      <c r="C87">
        <v>1088</v>
      </c>
      <c r="D87">
        <v>3052</v>
      </c>
      <c r="E87">
        <v>1298</v>
      </c>
      <c r="F87">
        <v>837</v>
      </c>
      <c r="G87">
        <v>98</v>
      </c>
    </row>
    <row r="88" spans="1:7">
      <c r="A88" s="1">
        <v>44679</v>
      </c>
      <c r="B88" s="2">
        <f>YEAR(TRA[[#This Row],[date]])</f>
        <v>2022</v>
      </c>
      <c r="C88">
        <v>1748</v>
      </c>
      <c r="D88">
        <v>3652</v>
      </c>
      <c r="E88">
        <v>2049</v>
      </c>
      <c r="F88">
        <v>1518</v>
      </c>
      <c r="G88">
        <v>79</v>
      </c>
    </row>
    <row r="89" spans="1:7">
      <c r="A89" s="1">
        <v>44680</v>
      </c>
      <c r="B89" s="2">
        <f>YEAR(TRA[[#This Row],[date]])</f>
        <v>2022</v>
      </c>
      <c r="C89">
        <v>977</v>
      </c>
      <c r="D89">
        <v>2304</v>
      </c>
      <c r="E89">
        <v>1151</v>
      </c>
      <c r="F89">
        <v>771</v>
      </c>
      <c r="G89">
        <v>81</v>
      </c>
    </row>
    <row r="90" spans="1:7">
      <c r="A90" s="1">
        <v>44681</v>
      </c>
      <c r="B90" s="2">
        <f>YEAR(TRA[[#This Row],[date]])</f>
        <v>2022</v>
      </c>
      <c r="C90">
        <v>658</v>
      </c>
      <c r="D90">
        <v>1448</v>
      </c>
      <c r="E90">
        <v>741</v>
      </c>
      <c r="F90">
        <v>532</v>
      </c>
      <c r="G90">
        <v>70</v>
      </c>
    </row>
    <row r="91" spans="1:7">
      <c r="A91" s="1">
        <v>44682</v>
      </c>
      <c r="B91" s="2">
        <f>YEAR(TRA[[#This Row],[date]])</f>
        <v>2022</v>
      </c>
      <c r="C91">
        <v>700</v>
      </c>
      <c r="D91">
        <v>1544</v>
      </c>
      <c r="E91">
        <v>813</v>
      </c>
      <c r="F91">
        <v>580</v>
      </c>
      <c r="G91">
        <v>76</v>
      </c>
    </row>
    <row r="92" spans="1:7">
      <c r="A92" s="1">
        <v>44683</v>
      </c>
      <c r="B92" s="2">
        <f>YEAR(TRA[[#This Row],[date]])</f>
        <v>2022</v>
      </c>
      <c r="C92">
        <v>878</v>
      </c>
      <c r="D92">
        <v>2311</v>
      </c>
      <c r="E92">
        <v>990</v>
      </c>
      <c r="F92">
        <v>631</v>
      </c>
      <c r="G92">
        <v>100</v>
      </c>
    </row>
    <row r="93" spans="1:7">
      <c r="A93" s="1">
        <v>44684</v>
      </c>
      <c r="B93" s="2">
        <f>YEAR(TRA[[#This Row],[date]])</f>
        <v>2022</v>
      </c>
      <c r="C93">
        <v>1338</v>
      </c>
      <c r="D93">
        <v>2777</v>
      </c>
      <c r="E93">
        <v>1482</v>
      </c>
      <c r="F93">
        <v>1026</v>
      </c>
      <c r="G93">
        <v>88</v>
      </c>
    </row>
    <row r="94" spans="1:7">
      <c r="A94" s="1">
        <v>44685</v>
      </c>
      <c r="B94" s="2">
        <f>YEAR(TRA[[#This Row],[date]])</f>
        <v>2022</v>
      </c>
      <c r="C94">
        <v>979</v>
      </c>
      <c r="D94">
        <v>2139</v>
      </c>
      <c r="E94">
        <v>1111</v>
      </c>
      <c r="F94">
        <v>751</v>
      </c>
      <c r="G94">
        <v>90</v>
      </c>
    </row>
    <row r="95" spans="1:7">
      <c r="A95" s="1">
        <v>44686</v>
      </c>
      <c r="B95" s="2">
        <f>YEAR(TRA[[#This Row],[date]])</f>
        <v>2022</v>
      </c>
      <c r="C95">
        <v>887</v>
      </c>
      <c r="D95">
        <v>2971</v>
      </c>
      <c r="E95">
        <v>1047</v>
      </c>
      <c r="F95">
        <v>652</v>
      </c>
      <c r="G95">
        <v>126</v>
      </c>
    </row>
    <row r="96" spans="1:7">
      <c r="A96" s="1">
        <v>44687</v>
      </c>
      <c r="B96" s="2">
        <f>YEAR(TRA[[#This Row],[date]])</f>
        <v>2022</v>
      </c>
      <c r="C96">
        <v>818</v>
      </c>
      <c r="D96">
        <v>2363</v>
      </c>
      <c r="E96">
        <v>944</v>
      </c>
      <c r="F96">
        <v>599</v>
      </c>
      <c r="G96">
        <v>121</v>
      </c>
    </row>
    <row r="97" spans="1:7">
      <c r="A97" s="1">
        <v>44688</v>
      </c>
      <c r="B97" s="2">
        <f>YEAR(TRA[[#This Row],[date]])</f>
        <v>2022</v>
      </c>
      <c r="C97">
        <v>541</v>
      </c>
      <c r="D97">
        <v>1118</v>
      </c>
      <c r="E97">
        <v>607</v>
      </c>
      <c r="F97">
        <v>418</v>
      </c>
      <c r="G97">
        <v>79</v>
      </c>
    </row>
    <row r="98" spans="1:7">
      <c r="A98" s="1">
        <v>44689</v>
      </c>
      <c r="B98" s="2">
        <f>YEAR(TRA[[#This Row],[date]])</f>
        <v>2022</v>
      </c>
      <c r="C98">
        <v>589</v>
      </c>
      <c r="D98">
        <v>1260</v>
      </c>
      <c r="E98">
        <v>649</v>
      </c>
      <c r="F98">
        <v>464</v>
      </c>
      <c r="G98">
        <v>92</v>
      </c>
    </row>
    <row r="99" spans="1:7">
      <c r="A99" s="1">
        <v>44690</v>
      </c>
      <c r="B99" s="2">
        <f>YEAR(TRA[[#This Row],[date]])</f>
        <v>2022</v>
      </c>
      <c r="C99">
        <v>908</v>
      </c>
      <c r="D99">
        <v>2244</v>
      </c>
      <c r="E99">
        <v>1026</v>
      </c>
      <c r="F99">
        <v>662</v>
      </c>
      <c r="G99">
        <v>105</v>
      </c>
    </row>
    <row r="100" spans="1:7">
      <c r="A100" s="1">
        <v>44691</v>
      </c>
      <c r="B100" s="2">
        <f>YEAR(TRA[[#This Row],[date]])</f>
        <v>2022</v>
      </c>
      <c r="C100">
        <v>1066</v>
      </c>
      <c r="D100">
        <v>2661</v>
      </c>
      <c r="E100">
        <v>1234</v>
      </c>
      <c r="F100">
        <v>798</v>
      </c>
      <c r="G100">
        <v>106</v>
      </c>
    </row>
    <row r="101" spans="1:7">
      <c r="A101" s="1">
        <v>44692</v>
      </c>
      <c r="B101" s="2">
        <f>YEAR(TRA[[#This Row],[date]])</f>
        <v>2022</v>
      </c>
      <c r="C101">
        <v>943</v>
      </c>
      <c r="D101">
        <v>2459</v>
      </c>
      <c r="E101">
        <v>1083</v>
      </c>
      <c r="F101">
        <v>698</v>
      </c>
      <c r="G101">
        <v>107</v>
      </c>
    </row>
    <row r="102" spans="1:7">
      <c r="A102" s="1">
        <v>44693</v>
      </c>
      <c r="B102" s="2">
        <f>YEAR(TRA[[#This Row],[date]])</f>
        <v>2022</v>
      </c>
      <c r="C102">
        <v>1303</v>
      </c>
      <c r="D102">
        <v>2982</v>
      </c>
      <c r="E102">
        <v>1492</v>
      </c>
      <c r="F102">
        <v>1047</v>
      </c>
      <c r="G102">
        <v>97</v>
      </c>
    </row>
    <row r="103" spans="1:7">
      <c r="A103" s="1">
        <v>44694</v>
      </c>
      <c r="B103" s="2">
        <f>YEAR(TRA[[#This Row],[date]])</f>
        <v>2022</v>
      </c>
      <c r="C103">
        <v>1100</v>
      </c>
      <c r="D103">
        <v>2713</v>
      </c>
      <c r="E103">
        <v>1246</v>
      </c>
      <c r="F103">
        <v>814</v>
      </c>
      <c r="G103">
        <v>92</v>
      </c>
    </row>
    <row r="104" spans="1:7">
      <c r="A104" s="1">
        <v>44695</v>
      </c>
      <c r="B104" s="2">
        <f>YEAR(TRA[[#This Row],[date]])</f>
        <v>2022</v>
      </c>
      <c r="C104">
        <v>701</v>
      </c>
      <c r="D104">
        <v>1446</v>
      </c>
      <c r="E104">
        <v>786</v>
      </c>
      <c r="F104">
        <v>550</v>
      </c>
      <c r="G104">
        <v>66</v>
      </c>
    </row>
    <row r="105" spans="1:7">
      <c r="A105" s="1">
        <v>44696</v>
      </c>
      <c r="B105" s="2">
        <f>YEAR(TRA[[#This Row],[date]])</f>
        <v>2022</v>
      </c>
      <c r="C105">
        <v>715</v>
      </c>
      <c r="D105">
        <v>1538</v>
      </c>
      <c r="E105">
        <v>789</v>
      </c>
      <c r="F105">
        <v>543</v>
      </c>
      <c r="G105">
        <v>96</v>
      </c>
    </row>
    <row r="106" spans="1:7">
      <c r="A106" s="1">
        <v>44697</v>
      </c>
      <c r="B106" s="2">
        <f>YEAR(TRA[[#This Row],[date]])</f>
        <v>2022</v>
      </c>
      <c r="C106">
        <v>1085</v>
      </c>
      <c r="D106">
        <v>2626</v>
      </c>
      <c r="E106">
        <v>1219</v>
      </c>
      <c r="F106">
        <v>808</v>
      </c>
      <c r="G106">
        <v>98</v>
      </c>
    </row>
    <row r="107" spans="1:7">
      <c r="A107" s="1">
        <v>44698</v>
      </c>
      <c r="B107" s="2">
        <f>YEAR(TRA[[#This Row],[date]])</f>
        <v>2022</v>
      </c>
      <c r="C107">
        <v>1078</v>
      </c>
      <c r="D107">
        <v>3435</v>
      </c>
      <c r="E107">
        <v>1252</v>
      </c>
      <c r="F107">
        <v>768</v>
      </c>
      <c r="G107">
        <v>129</v>
      </c>
    </row>
    <row r="108" spans="1:7">
      <c r="A108" s="1">
        <v>44699</v>
      </c>
      <c r="B108" s="2">
        <f>YEAR(TRA[[#This Row],[date]])</f>
        <v>2022</v>
      </c>
      <c r="C108">
        <v>1015</v>
      </c>
      <c r="D108">
        <v>3480</v>
      </c>
      <c r="E108">
        <v>1179</v>
      </c>
      <c r="F108">
        <v>764</v>
      </c>
      <c r="G108">
        <v>147</v>
      </c>
    </row>
    <row r="109" spans="1:7">
      <c r="A109" s="1">
        <v>44700</v>
      </c>
      <c r="B109" s="2">
        <f>YEAR(TRA[[#This Row],[date]])</f>
        <v>2022</v>
      </c>
      <c r="C109">
        <v>867</v>
      </c>
      <c r="D109">
        <v>1937</v>
      </c>
      <c r="E109">
        <v>985</v>
      </c>
      <c r="F109">
        <v>665</v>
      </c>
      <c r="G109">
        <v>89</v>
      </c>
    </row>
    <row r="110" spans="1:7">
      <c r="A110" s="1">
        <v>44701</v>
      </c>
      <c r="B110" s="2">
        <f>YEAR(TRA[[#This Row],[date]])</f>
        <v>2022</v>
      </c>
      <c r="C110">
        <v>800</v>
      </c>
      <c r="D110">
        <v>1582</v>
      </c>
      <c r="E110">
        <v>873</v>
      </c>
      <c r="F110">
        <v>607</v>
      </c>
      <c r="G110">
        <v>73</v>
      </c>
    </row>
    <row r="111" spans="1:7">
      <c r="A111" s="1">
        <v>44702</v>
      </c>
      <c r="B111" s="2">
        <f>YEAR(TRA[[#This Row],[date]])</f>
        <v>2022</v>
      </c>
      <c r="C111">
        <v>590</v>
      </c>
      <c r="D111">
        <v>1074</v>
      </c>
      <c r="E111">
        <v>648</v>
      </c>
      <c r="F111">
        <v>457</v>
      </c>
      <c r="G111">
        <v>56</v>
      </c>
    </row>
    <row r="112" spans="1:7">
      <c r="A112" s="1">
        <v>44703</v>
      </c>
      <c r="B112" s="2">
        <f>YEAR(TRA[[#This Row],[date]])</f>
        <v>2022</v>
      </c>
      <c r="C112">
        <v>646</v>
      </c>
      <c r="D112">
        <v>1074</v>
      </c>
      <c r="E112">
        <v>697</v>
      </c>
      <c r="F112">
        <v>521</v>
      </c>
      <c r="G112">
        <v>52</v>
      </c>
    </row>
    <row r="113" spans="1:7">
      <c r="A113" s="1">
        <v>44704</v>
      </c>
      <c r="B113" s="2">
        <f>YEAR(TRA[[#This Row],[date]])</f>
        <v>2022</v>
      </c>
      <c r="C113">
        <v>925</v>
      </c>
      <c r="D113">
        <v>1798</v>
      </c>
      <c r="E113">
        <v>1036</v>
      </c>
      <c r="F113">
        <v>750</v>
      </c>
      <c r="G113">
        <v>66</v>
      </c>
    </row>
    <row r="114" spans="1:7">
      <c r="A114" s="1">
        <v>44705</v>
      </c>
      <c r="B114" s="2">
        <f>YEAR(TRA[[#This Row],[date]])</f>
        <v>2022</v>
      </c>
      <c r="C114">
        <v>977</v>
      </c>
      <c r="D114">
        <v>1765</v>
      </c>
      <c r="E114">
        <v>1077</v>
      </c>
      <c r="F114">
        <v>797</v>
      </c>
      <c r="G114">
        <v>71</v>
      </c>
    </row>
    <row r="115" spans="1:7">
      <c r="A115" s="1">
        <v>44706</v>
      </c>
      <c r="B115" s="2">
        <f>YEAR(TRA[[#This Row],[date]])</f>
        <v>2022</v>
      </c>
      <c r="C115">
        <v>928</v>
      </c>
      <c r="D115">
        <v>1646</v>
      </c>
      <c r="E115">
        <v>1037</v>
      </c>
      <c r="F115">
        <v>756</v>
      </c>
      <c r="G115">
        <v>61</v>
      </c>
    </row>
    <row r="116" spans="1:7">
      <c r="A116" s="1">
        <v>44707</v>
      </c>
      <c r="B116" s="2">
        <f>YEAR(TRA[[#This Row],[date]])</f>
        <v>2022</v>
      </c>
      <c r="C116">
        <v>987</v>
      </c>
      <c r="D116">
        <v>1810</v>
      </c>
      <c r="E116">
        <v>1090</v>
      </c>
      <c r="F116">
        <v>805</v>
      </c>
      <c r="G116">
        <v>75</v>
      </c>
    </row>
    <row r="117" spans="1:7">
      <c r="A117" s="1">
        <v>44708</v>
      </c>
      <c r="B117" s="2">
        <f>YEAR(TRA[[#This Row],[date]])</f>
        <v>2022</v>
      </c>
      <c r="C117">
        <v>844</v>
      </c>
      <c r="D117">
        <v>1381</v>
      </c>
      <c r="E117">
        <v>920</v>
      </c>
      <c r="F117">
        <v>712</v>
      </c>
      <c r="G117">
        <v>60</v>
      </c>
    </row>
    <row r="118" spans="1:7">
      <c r="A118" s="1">
        <v>44709</v>
      </c>
      <c r="B118" s="2">
        <f>YEAR(TRA[[#This Row],[date]])</f>
        <v>2022</v>
      </c>
      <c r="C118">
        <v>814</v>
      </c>
      <c r="D118">
        <v>1249</v>
      </c>
      <c r="E118">
        <v>881</v>
      </c>
      <c r="F118">
        <v>728</v>
      </c>
      <c r="G118">
        <v>69</v>
      </c>
    </row>
    <row r="119" spans="1:7">
      <c r="A119" s="1">
        <v>44710</v>
      </c>
      <c r="B119" s="2">
        <f>YEAR(TRA[[#This Row],[date]])</f>
        <v>2022</v>
      </c>
      <c r="C119">
        <v>552</v>
      </c>
      <c r="D119">
        <v>1098</v>
      </c>
      <c r="E119">
        <v>609</v>
      </c>
      <c r="F119">
        <v>479</v>
      </c>
      <c r="G119">
        <v>63</v>
      </c>
    </row>
    <row r="120" spans="1:7">
      <c r="A120" s="1">
        <v>44711</v>
      </c>
      <c r="B120" s="2">
        <f>YEAR(TRA[[#This Row],[date]])</f>
        <v>2022</v>
      </c>
      <c r="C120">
        <v>619</v>
      </c>
      <c r="D120">
        <v>1146</v>
      </c>
      <c r="E120">
        <v>683</v>
      </c>
      <c r="F120">
        <v>496</v>
      </c>
      <c r="G120">
        <v>55</v>
      </c>
    </row>
    <row r="121" spans="1:7">
      <c r="A121" s="1">
        <v>44712</v>
      </c>
      <c r="B121" s="2">
        <f>YEAR(TRA[[#This Row],[date]])</f>
        <v>2022</v>
      </c>
      <c r="C121">
        <v>787</v>
      </c>
      <c r="D121">
        <v>1473</v>
      </c>
      <c r="E121">
        <v>872</v>
      </c>
      <c r="F121">
        <v>625</v>
      </c>
      <c r="G121">
        <v>80</v>
      </c>
    </row>
    <row r="122" spans="1:7">
      <c r="A122" s="1">
        <v>44713</v>
      </c>
      <c r="B122" s="2">
        <f>YEAR(TRA[[#This Row],[date]])</f>
        <v>2022</v>
      </c>
      <c r="C122">
        <v>1548</v>
      </c>
      <c r="D122">
        <v>2937</v>
      </c>
      <c r="E122">
        <v>1737</v>
      </c>
      <c r="F122">
        <v>1229</v>
      </c>
      <c r="G122">
        <v>63</v>
      </c>
    </row>
    <row r="123" spans="1:7">
      <c r="A123" s="1">
        <v>44714</v>
      </c>
      <c r="B123" s="2">
        <f>YEAR(TRA[[#This Row],[date]])</f>
        <v>2022</v>
      </c>
      <c r="C123">
        <v>1060</v>
      </c>
      <c r="D123">
        <v>2050</v>
      </c>
      <c r="E123">
        <v>1178</v>
      </c>
      <c r="F123">
        <v>829</v>
      </c>
      <c r="G123">
        <v>76</v>
      </c>
    </row>
    <row r="124" spans="1:7">
      <c r="A124" s="1">
        <v>44715</v>
      </c>
      <c r="B124" s="2">
        <f>YEAR(TRA[[#This Row],[date]])</f>
        <v>2022</v>
      </c>
      <c r="C124">
        <v>874</v>
      </c>
      <c r="D124">
        <v>1780</v>
      </c>
      <c r="E124">
        <v>968</v>
      </c>
      <c r="F124">
        <v>690</v>
      </c>
      <c r="G124">
        <v>93</v>
      </c>
    </row>
    <row r="125" spans="1:7">
      <c r="A125" s="1">
        <v>44716</v>
      </c>
      <c r="B125" s="2">
        <f>YEAR(TRA[[#This Row],[date]])</f>
        <v>2022</v>
      </c>
      <c r="C125">
        <v>636</v>
      </c>
      <c r="D125">
        <v>1142</v>
      </c>
      <c r="E125">
        <v>708</v>
      </c>
      <c r="F125">
        <v>530</v>
      </c>
      <c r="G125">
        <v>69</v>
      </c>
    </row>
    <row r="126" spans="1:7">
      <c r="A126" s="1">
        <v>44717</v>
      </c>
      <c r="B126" s="2">
        <f>YEAR(TRA[[#This Row],[date]])</f>
        <v>2022</v>
      </c>
      <c r="C126">
        <v>673</v>
      </c>
      <c r="D126">
        <v>1275</v>
      </c>
      <c r="E126">
        <v>731</v>
      </c>
      <c r="F126">
        <v>523</v>
      </c>
      <c r="G126">
        <v>86</v>
      </c>
    </row>
    <row r="127" spans="1:7">
      <c r="A127" s="1">
        <v>44718</v>
      </c>
      <c r="B127" s="2">
        <f>YEAR(TRA[[#This Row],[date]])</f>
        <v>2022</v>
      </c>
      <c r="C127">
        <v>993</v>
      </c>
      <c r="D127">
        <v>1801</v>
      </c>
      <c r="E127">
        <v>1086</v>
      </c>
      <c r="F127">
        <v>784</v>
      </c>
      <c r="G127">
        <v>63</v>
      </c>
    </row>
    <row r="128" spans="1:7">
      <c r="A128" s="1">
        <v>44719</v>
      </c>
      <c r="B128" s="2">
        <f>YEAR(TRA[[#This Row],[date]])</f>
        <v>2022</v>
      </c>
      <c r="C128">
        <v>1042</v>
      </c>
      <c r="D128">
        <v>2184</v>
      </c>
      <c r="E128">
        <v>1176</v>
      </c>
      <c r="F128">
        <v>829</v>
      </c>
      <c r="G128">
        <v>94</v>
      </c>
    </row>
    <row r="129" spans="1:7">
      <c r="A129" s="1">
        <v>44720</v>
      </c>
      <c r="B129" s="2">
        <f>YEAR(TRA[[#This Row],[date]])</f>
        <v>2022</v>
      </c>
      <c r="C129">
        <v>1077</v>
      </c>
      <c r="D129">
        <v>2024</v>
      </c>
      <c r="E129">
        <v>1216</v>
      </c>
      <c r="F129">
        <v>884</v>
      </c>
      <c r="G129">
        <v>67</v>
      </c>
    </row>
    <row r="130" spans="1:7">
      <c r="A130" s="1">
        <v>44721</v>
      </c>
      <c r="B130" s="2">
        <f>YEAR(TRA[[#This Row],[date]])</f>
        <v>2022</v>
      </c>
      <c r="C130">
        <v>1090</v>
      </c>
      <c r="D130">
        <v>1010</v>
      </c>
      <c r="E130">
        <v>513</v>
      </c>
      <c r="F130">
        <v>339</v>
      </c>
      <c r="G130">
        <v>152</v>
      </c>
    </row>
    <row r="131" spans="1:7">
      <c r="A131" s="1">
        <v>44722</v>
      </c>
      <c r="B131" s="2">
        <f>YEAR(TRA[[#This Row],[date]])</f>
        <v>2022</v>
      </c>
      <c r="C131">
        <v>634</v>
      </c>
      <c r="D131">
        <v>746</v>
      </c>
      <c r="E131">
        <v>96</v>
      </c>
      <c r="F131">
        <v>39</v>
      </c>
      <c r="G131">
        <v>543</v>
      </c>
    </row>
    <row r="132" spans="1:7">
      <c r="A132" s="1">
        <v>44723</v>
      </c>
      <c r="B132" s="2">
        <f>YEAR(TRA[[#This Row],[date]])</f>
        <v>2022</v>
      </c>
      <c r="C132">
        <v>299</v>
      </c>
      <c r="D132">
        <v>121</v>
      </c>
      <c r="E132">
        <v>19</v>
      </c>
      <c r="F132">
        <v>7</v>
      </c>
      <c r="G132">
        <v>517</v>
      </c>
    </row>
    <row r="133" spans="1:7">
      <c r="A133" s="1">
        <v>44724</v>
      </c>
      <c r="B133" s="2">
        <f>YEAR(TRA[[#This Row],[date]])</f>
        <v>2022</v>
      </c>
      <c r="C133">
        <v>324</v>
      </c>
      <c r="D133">
        <v>235</v>
      </c>
      <c r="E133">
        <v>21</v>
      </c>
      <c r="F133">
        <v>6</v>
      </c>
      <c r="G133">
        <v>1269</v>
      </c>
    </row>
    <row r="134" spans="1:7">
      <c r="A134" s="1">
        <v>44725</v>
      </c>
      <c r="B134" s="2">
        <f>YEAR(TRA[[#This Row],[date]])</f>
        <v>2022</v>
      </c>
      <c r="C134">
        <v>497</v>
      </c>
      <c r="D134">
        <v>582</v>
      </c>
      <c r="E134">
        <v>62</v>
      </c>
      <c r="F134">
        <v>14</v>
      </c>
      <c r="G134">
        <v>707</v>
      </c>
    </row>
    <row r="135" spans="1:7">
      <c r="A135" s="1">
        <v>44726</v>
      </c>
      <c r="B135" s="2">
        <f>YEAR(TRA[[#This Row],[date]])</f>
        <v>2022</v>
      </c>
      <c r="C135">
        <v>742</v>
      </c>
      <c r="D135">
        <v>2931</v>
      </c>
      <c r="E135">
        <v>256</v>
      </c>
      <c r="F135">
        <v>118</v>
      </c>
      <c r="G135">
        <v>272</v>
      </c>
    </row>
    <row r="136" spans="1:7">
      <c r="A136" s="1">
        <v>44727</v>
      </c>
      <c r="B136" s="2">
        <f>YEAR(TRA[[#This Row],[date]])</f>
        <v>2022</v>
      </c>
      <c r="C136">
        <v>920</v>
      </c>
      <c r="D136">
        <v>4471</v>
      </c>
      <c r="E136">
        <v>824</v>
      </c>
      <c r="F136">
        <v>477</v>
      </c>
      <c r="G136">
        <v>199</v>
      </c>
    </row>
    <row r="137" spans="1:7">
      <c r="A137" s="1">
        <v>44728</v>
      </c>
      <c r="B137" s="2">
        <f>YEAR(TRA[[#This Row],[date]])</f>
        <v>2022</v>
      </c>
      <c r="C137">
        <v>1397</v>
      </c>
      <c r="D137">
        <v>4204</v>
      </c>
      <c r="E137">
        <v>1627</v>
      </c>
      <c r="F137">
        <v>1114</v>
      </c>
      <c r="G137">
        <v>85</v>
      </c>
    </row>
    <row r="138" spans="1:7">
      <c r="A138" s="1">
        <v>44729</v>
      </c>
      <c r="B138" s="2">
        <f>YEAR(TRA[[#This Row],[date]])</f>
        <v>2022</v>
      </c>
      <c r="C138">
        <v>1210</v>
      </c>
      <c r="D138">
        <v>2810</v>
      </c>
      <c r="E138">
        <v>1373</v>
      </c>
      <c r="F138">
        <v>986</v>
      </c>
      <c r="G138">
        <v>92</v>
      </c>
    </row>
    <row r="139" spans="1:7">
      <c r="A139" s="1">
        <v>44730</v>
      </c>
      <c r="B139" s="2">
        <f>YEAR(TRA[[#This Row],[date]])</f>
        <v>2022</v>
      </c>
      <c r="C139">
        <v>970</v>
      </c>
      <c r="D139">
        <v>1707</v>
      </c>
      <c r="E139">
        <v>1074</v>
      </c>
      <c r="F139">
        <v>788</v>
      </c>
      <c r="G139">
        <v>63</v>
      </c>
    </row>
    <row r="140" spans="1:7">
      <c r="A140" s="1">
        <v>44731</v>
      </c>
      <c r="B140" s="2">
        <f>YEAR(TRA[[#This Row],[date]])</f>
        <v>2022</v>
      </c>
      <c r="C140">
        <v>867</v>
      </c>
      <c r="D140">
        <v>1486</v>
      </c>
      <c r="E140">
        <v>936</v>
      </c>
      <c r="F140">
        <v>705</v>
      </c>
      <c r="G140">
        <v>61</v>
      </c>
    </row>
    <row r="141" spans="1:7">
      <c r="A141" s="1">
        <v>44732</v>
      </c>
      <c r="B141" s="2">
        <f>YEAR(TRA[[#This Row],[date]])</f>
        <v>2022</v>
      </c>
      <c r="C141">
        <v>1024</v>
      </c>
      <c r="D141">
        <v>2188</v>
      </c>
      <c r="E141">
        <v>1173</v>
      </c>
      <c r="F141">
        <v>819</v>
      </c>
      <c r="G141">
        <v>87</v>
      </c>
    </row>
    <row r="142" spans="1:7">
      <c r="A142" s="1">
        <v>44733</v>
      </c>
      <c r="B142" s="2">
        <f>YEAR(TRA[[#This Row],[date]])</f>
        <v>2022</v>
      </c>
      <c r="C142">
        <v>1436</v>
      </c>
      <c r="D142">
        <v>3587</v>
      </c>
      <c r="E142">
        <v>1756</v>
      </c>
      <c r="F142">
        <v>1176</v>
      </c>
      <c r="G142">
        <v>98</v>
      </c>
    </row>
    <row r="143" spans="1:7">
      <c r="A143" s="1">
        <v>44734</v>
      </c>
      <c r="B143" s="2">
        <f>YEAR(TRA[[#This Row],[date]])</f>
        <v>2022</v>
      </c>
      <c r="C143">
        <v>1660</v>
      </c>
      <c r="D143">
        <v>3966</v>
      </c>
      <c r="E143">
        <v>1980</v>
      </c>
      <c r="F143">
        <v>1367</v>
      </c>
      <c r="G143">
        <v>83</v>
      </c>
    </row>
    <row r="144" spans="1:7">
      <c r="A144" s="1">
        <v>44735</v>
      </c>
      <c r="B144" s="2">
        <f>YEAR(TRA[[#This Row],[date]])</f>
        <v>2022</v>
      </c>
      <c r="C144">
        <v>1331</v>
      </c>
      <c r="D144">
        <v>4801</v>
      </c>
      <c r="E144">
        <v>1635</v>
      </c>
      <c r="F144">
        <v>1117</v>
      </c>
      <c r="G144">
        <v>157</v>
      </c>
    </row>
    <row r="145" spans="1:7">
      <c r="A145" s="1">
        <v>44736</v>
      </c>
      <c r="B145" s="2">
        <f>YEAR(TRA[[#This Row],[date]])</f>
        <v>2022</v>
      </c>
      <c r="C145">
        <v>895</v>
      </c>
      <c r="D145">
        <v>3035</v>
      </c>
      <c r="E145">
        <v>1108</v>
      </c>
      <c r="F145">
        <v>758</v>
      </c>
      <c r="G145">
        <v>170</v>
      </c>
    </row>
    <row r="146" spans="1:7">
      <c r="A146" s="1">
        <v>44737</v>
      </c>
      <c r="B146" s="2">
        <f>YEAR(TRA[[#This Row],[date]])</f>
        <v>2022</v>
      </c>
      <c r="C146">
        <v>609</v>
      </c>
      <c r="D146">
        <v>2004</v>
      </c>
      <c r="E146">
        <v>734</v>
      </c>
      <c r="F146">
        <v>515</v>
      </c>
      <c r="G146">
        <v>223</v>
      </c>
    </row>
    <row r="147" spans="1:7">
      <c r="A147" s="1">
        <v>44738</v>
      </c>
      <c r="B147" s="2">
        <f>YEAR(TRA[[#This Row],[date]])</f>
        <v>2022</v>
      </c>
      <c r="C147">
        <v>598</v>
      </c>
      <c r="D147">
        <v>3180</v>
      </c>
      <c r="E147">
        <v>724</v>
      </c>
      <c r="F147">
        <v>511</v>
      </c>
      <c r="G147">
        <v>276</v>
      </c>
    </row>
    <row r="148" spans="1:7">
      <c r="A148" s="1">
        <v>44739</v>
      </c>
      <c r="B148" s="2">
        <f>YEAR(TRA[[#This Row],[date]])</f>
        <v>2022</v>
      </c>
      <c r="C148">
        <v>928</v>
      </c>
      <c r="D148">
        <v>2248</v>
      </c>
      <c r="E148">
        <v>1165</v>
      </c>
      <c r="F148">
        <v>765</v>
      </c>
      <c r="G148">
        <v>145</v>
      </c>
    </row>
    <row r="149" spans="1:7">
      <c r="A149" s="1">
        <v>44740</v>
      </c>
      <c r="B149" s="2">
        <f>YEAR(TRA[[#This Row],[date]])</f>
        <v>2022</v>
      </c>
      <c r="C149">
        <v>1875</v>
      </c>
      <c r="D149">
        <v>4975</v>
      </c>
      <c r="E149">
        <v>2302</v>
      </c>
      <c r="F149">
        <v>1384</v>
      </c>
      <c r="G149">
        <v>139</v>
      </c>
    </row>
    <row r="150" spans="1:7">
      <c r="A150" s="1">
        <v>44741</v>
      </c>
      <c r="B150" s="2">
        <f>YEAR(TRA[[#This Row],[date]])</f>
        <v>2022</v>
      </c>
      <c r="C150">
        <v>1741</v>
      </c>
      <c r="D150">
        <v>4458</v>
      </c>
      <c r="E150">
        <v>2181</v>
      </c>
      <c r="F150">
        <v>1313</v>
      </c>
      <c r="G150">
        <v>113</v>
      </c>
    </row>
    <row r="151" spans="1:7">
      <c r="A151" s="1">
        <v>44742</v>
      </c>
      <c r="B151" s="2">
        <f>YEAR(TRA[[#This Row],[date]])</f>
        <v>2022</v>
      </c>
      <c r="C151">
        <v>1470</v>
      </c>
      <c r="D151">
        <v>3707</v>
      </c>
      <c r="E151">
        <v>1796</v>
      </c>
      <c r="F151">
        <v>1101</v>
      </c>
      <c r="G151">
        <v>107</v>
      </c>
    </row>
    <row r="152" spans="1:7">
      <c r="A152" s="1">
        <v>44743</v>
      </c>
      <c r="B152" s="2">
        <f>YEAR(TRA[[#This Row],[date]])</f>
        <v>2022</v>
      </c>
      <c r="C152">
        <v>1263</v>
      </c>
      <c r="D152">
        <v>3291</v>
      </c>
      <c r="E152">
        <v>1534</v>
      </c>
      <c r="F152">
        <v>918</v>
      </c>
      <c r="G152">
        <v>99</v>
      </c>
    </row>
    <row r="153" spans="1:7">
      <c r="A153" s="1">
        <v>44744</v>
      </c>
      <c r="B153" s="2">
        <f>YEAR(TRA[[#This Row],[date]])</f>
        <v>2022</v>
      </c>
      <c r="C153">
        <v>790</v>
      </c>
      <c r="D153">
        <v>1953</v>
      </c>
      <c r="E153">
        <v>968</v>
      </c>
      <c r="F153">
        <v>597</v>
      </c>
      <c r="G153">
        <v>79</v>
      </c>
    </row>
    <row r="154" spans="1:7">
      <c r="A154" s="1">
        <v>44745</v>
      </c>
      <c r="B154" s="2">
        <f>YEAR(TRA[[#This Row],[date]])</f>
        <v>2022</v>
      </c>
      <c r="C154">
        <v>708</v>
      </c>
      <c r="D154">
        <v>1618</v>
      </c>
      <c r="E154">
        <v>823</v>
      </c>
      <c r="F154">
        <v>504</v>
      </c>
      <c r="G154">
        <v>103</v>
      </c>
    </row>
    <row r="155" spans="1:7">
      <c r="A155" s="1">
        <v>44746</v>
      </c>
      <c r="B155" s="2">
        <f>YEAR(TRA[[#This Row],[date]])</f>
        <v>2022</v>
      </c>
      <c r="C155">
        <v>639</v>
      </c>
      <c r="D155">
        <v>1305</v>
      </c>
      <c r="E155">
        <v>760</v>
      </c>
      <c r="F155">
        <v>533</v>
      </c>
      <c r="G155">
        <v>89</v>
      </c>
    </row>
    <row r="156" spans="1:7">
      <c r="A156" s="1">
        <v>44747</v>
      </c>
      <c r="B156" s="2">
        <f>YEAR(TRA[[#This Row],[date]])</f>
        <v>2022</v>
      </c>
      <c r="C156">
        <v>1273</v>
      </c>
      <c r="D156">
        <v>2921</v>
      </c>
      <c r="E156">
        <v>1560</v>
      </c>
      <c r="F156">
        <v>1065</v>
      </c>
      <c r="G156">
        <v>85</v>
      </c>
    </row>
    <row r="157" spans="1:7">
      <c r="A157" s="1">
        <v>44748</v>
      </c>
      <c r="B157" s="2">
        <f>YEAR(TRA[[#This Row],[date]])</f>
        <v>2022</v>
      </c>
      <c r="C157">
        <v>1169</v>
      </c>
      <c r="D157">
        <v>2757</v>
      </c>
      <c r="E157">
        <v>1389</v>
      </c>
      <c r="F157">
        <v>914</v>
      </c>
      <c r="G157">
        <v>83</v>
      </c>
    </row>
    <row r="158" spans="1:7">
      <c r="A158" s="1">
        <v>44749</v>
      </c>
      <c r="B158" s="2">
        <f>YEAR(TRA[[#This Row],[date]])</f>
        <v>2022</v>
      </c>
      <c r="C158">
        <v>956</v>
      </c>
      <c r="D158">
        <v>2246</v>
      </c>
      <c r="E158">
        <v>1238</v>
      </c>
      <c r="F158">
        <v>807</v>
      </c>
      <c r="G158">
        <v>98</v>
      </c>
    </row>
    <row r="159" spans="1:7">
      <c r="A159" s="1">
        <v>44750</v>
      </c>
      <c r="B159" s="2">
        <f>YEAR(TRA[[#This Row],[date]])</f>
        <v>2022</v>
      </c>
      <c r="C159">
        <v>795</v>
      </c>
      <c r="D159">
        <v>1845</v>
      </c>
      <c r="E159">
        <v>992</v>
      </c>
      <c r="F159">
        <v>669</v>
      </c>
      <c r="G159">
        <v>112</v>
      </c>
    </row>
    <row r="160" spans="1:7">
      <c r="A160" s="1">
        <v>44751</v>
      </c>
      <c r="B160" s="2">
        <f>YEAR(TRA[[#This Row],[date]])</f>
        <v>2022</v>
      </c>
      <c r="C160">
        <v>573</v>
      </c>
      <c r="D160">
        <v>1123</v>
      </c>
      <c r="E160">
        <v>686</v>
      </c>
      <c r="F160">
        <v>475</v>
      </c>
      <c r="G160">
        <v>82</v>
      </c>
    </row>
    <row r="161" spans="1:7">
      <c r="A161" s="1">
        <v>44752</v>
      </c>
      <c r="B161" s="2">
        <f>YEAR(TRA[[#This Row],[date]])</f>
        <v>2022</v>
      </c>
      <c r="C161">
        <v>563</v>
      </c>
      <c r="D161">
        <v>1183</v>
      </c>
      <c r="E161">
        <v>664</v>
      </c>
      <c r="F161">
        <v>446</v>
      </c>
      <c r="G161">
        <v>81</v>
      </c>
    </row>
    <row r="162" spans="1:7">
      <c r="A162" s="1">
        <v>44753</v>
      </c>
      <c r="B162" s="2">
        <f>YEAR(TRA[[#This Row],[date]])</f>
        <v>2022</v>
      </c>
      <c r="C162">
        <v>1169</v>
      </c>
      <c r="D162">
        <v>2830</v>
      </c>
      <c r="E162">
        <v>1516</v>
      </c>
      <c r="F162">
        <v>985</v>
      </c>
      <c r="G162">
        <v>108</v>
      </c>
    </row>
    <row r="163" spans="1:7">
      <c r="A163" s="1">
        <v>44754</v>
      </c>
      <c r="B163" s="2">
        <f>YEAR(TRA[[#This Row],[date]])</f>
        <v>2022</v>
      </c>
      <c r="C163">
        <v>1320</v>
      </c>
      <c r="D163">
        <v>2946</v>
      </c>
      <c r="E163">
        <v>1663</v>
      </c>
      <c r="F163">
        <v>1114</v>
      </c>
      <c r="G163">
        <v>93</v>
      </c>
    </row>
    <row r="164" spans="1:7">
      <c r="A164" s="1">
        <v>44755</v>
      </c>
      <c r="B164" s="2">
        <f>YEAR(TRA[[#This Row],[date]])</f>
        <v>2022</v>
      </c>
      <c r="C164">
        <v>1113</v>
      </c>
      <c r="D164">
        <v>2548</v>
      </c>
      <c r="E164">
        <v>1448</v>
      </c>
      <c r="F164">
        <v>966</v>
      </c>
      <c r="G164">
        <v>119</v>
      </c>
    </row>
    <row r="165" spans="1:7">
      <c r="A165" s="1">
        <v>44756</v>
      </c>
      <c r="B165" s="2">
        <f>YEAR(TRA[[#This Row],[date]])</f>
        <v>2022</v>
      </c>
      <c r="C165">
        <v>1219</v>
      </c>
      <c r="D165">
        <v>2880</v>
      </c>
      <c r="E165">
        <v>1543</v>
      </c>
      <c r="F165">
        <v>1042</v>
      </c>
      <c r="G165">
        <v>117</v>
      </c>
    </row>
    <row r="166" spans="1:7">
      <c r="A166" s="1">
        <v>44757</v>
      </c>
      <c r="B166" s="2">
        <f>YEAR(TRA[[#This Row],[date]])</f>
        <v>2022</v>
      </c>
      <c r="C166">
        <v>898</v>
      </c>
      <c r="D166">
        <v>2085</v>
      </c>
      <c r="E166">
        <v>1157</v>
      </c>
      <c r="F166">
        <v>801</v>
      </c>
      <c r="G166">
        <v>107</v>
      </c>
    </row>
    <row r="167" spans="1:7">
      <c r="A167" s="1">
        <v>44758</v>
      </c>
      <c r="B167" s="2">
        <f>YEAR(TRA[[#This Row],[date]])</f>
        <v>2022</v>
      </c>
      <c r="C167">
        <v>682</v>
      </c>
      <c r="D167">
        <v>1541</v>
      </c>
      <c r="E167">
        <v>816</v>
      </c>
      <c r="F167">
        <v>580</v>
      </c>
      <c r="G167">
        <v>131</v>
      </c>
    </row>
    <row r="168" spans="1:7">
      <c r="A168" s="1">
        <v>44759</v>
      </c>
      <c r="B168" s="2">
        <f>YEAR(TRA[[#This Row],[date]])</f>
        <v>2022</v>
      </c>
      <c r="C168">
        <v>615</v>
      </c>
      <c r="D168">
        <v>1347</v>
      </c>
      <c r="E168">
        <v>730</v>
      </c>
      <c r="F168">
        <v>513</v>
      </c>
      <c r="G168">
        <v>104</v>
      </c>
    </row>
    <row r="169" spans="1:7">
      <c r="A169" s="1">
        <v>44760</v>
      </c>
      <c r="B169" s="2">
        <f>YEAR(TRA[[#This Row],[date]])</f>
        <v>2022</v>
      </c>
      <c r="C169">
        <v>1225</v>
      </c>
      <c r="D169">
        <v>2876</v>
      </c>
      <c r="E169">
        <v>1550</v>
      </c>
      <c r="F169">
        <v>1044</v>
      </c>
      <c r="G169">
        <v>126</v>
      </c>
    </row>
    <row r="170" spans="1:7">
      <c r="A170" s="1">
        <v>44761</v>
      </c>
      <c r="B170" s="2">
        <f>YEAR(TRA[[#This Row],[date]])</f>
        <v>2022</v>
      </c>
      <c r="C170">
        <v>1305</v>
      </c>
      <c r="D170">
        <v>2958</v>
      </c>
      <c r="E170">
        <v>1659</v>
      </c>
      <c r="F170">
        <v>1175</v>
      </c>
      <c r="G170">
        <v>112</v>
      </c>
    </row>
    <row r="171" spans="1:7">
      <c r="A171" s="1">
        <v>44762</v>
      </c>
      <c r="B171" s="2">
        <f>YEAR(TRA[[#This Row],[date]])</f>
        <v>2022</v>
      </c>
      <c r="C171">
        <v>1410</v>
      </c>
      <c r="D171">
        <v>3491</v>
      </c>
      <c r="E171">
        <v>1795</v>
      </c>
      <c r="F171">
        <v>1219</v>
      </c>
      <c r="G171">
        <v>164</v>
      </c>
    </row>
    <row r="172" spans="1:7">
      <c r="A172" s="1">
        <v>44763</v>
      </c>
      <c r="B172" s="2">
        <f>YEAR(TRA[[#This Row],[date]])</f>
        <v>2022</v>
      </c>
      <c r="C172">
        <v>1258</v>
      </c>
      <c r="D172">
        <v>3064</v>
      </c>
      <c r="E172">
        <v>1613</v>
      </c>
      <c r="F172">
        <v>1056</v>
      </c>
      <c r="G172">
        <v>162</v>
      </c>
    </row>
    <row r="173" spans="1:7">
      <c r="A173" s="1">
        <v>44764</v>
      </c>
      <c r="B173" s="2">
        <f>YEAR(TRA[[#This Row],[date]])</f>
        <v>2022</v>
      </c>
      <c r="C173">
        <v>1034</v>
      </c>
      <c r="D173">
        <v>2193</v>
      </c>
      <c r="E173">
        <v>1334</v>
      </c>
      <c r="F173">
        <v>925</v>
      </c>
      <c r="G173">
        <v>104</v>
      </c>
    </row>
    <row r="174" spans="1:7">
      <c r="A174" s="1">
        <v>44765</v>
      </c>
      <c r="B174" s="2">
        <f>YEAR(TRA[[#This Row],[date]])</f>
        <v>2022</v>
      </c>
      <c r="C174">
        <v>730</v>
      </c>
      <c r="D174">
        <v>1482</v>
      </c>
      <c r="E174">
        <v>887</v>
      </c>
      <c r="F174">
        <v>636</v>
      </c>
      <c r="G174">
        <v>81</v>
      </c>
    </row>
    <row r="175" spans="1:7">
      <c r="A175" s="1">
        <v>44766</v>
      </c>
      <c r="B175" s="2">
        <f>YEAR(TRA[[#This Row],[date]])</f>
        <v>2022</v>
      </c>
      <c r="C175">
        <v>606</v>
      </c>
      <c r="D175">
        <v>1389</v>
      </c>
      <c r="E175">
        <v>787</v>
      </c>
      <c r="F175">
        <v>567</v>
      </c>
      <c r="G175">
        <v>90</v>
      </c>
    </row>
    <row r="176" spans="1:7">
      <c r="A176" s="1">
        <v>44767</v>
      </c>
      <c r="B176" s="2">
        <f>YEAR(TRA[[#This Row],[date]])</f>
        <v>2022</v>
      </c>
      <c r="C176">
        <v>1089</v>
      </c>
      <c r="D176">
        <v>2558</v>
      </c>
      <c r="E176">
        <v>1390</v>
      </c>
      <c r="F176">
        <v>1010</v>
      </c>
      <c r="G176">
        <v>93</v>
      </c>
    </row>
    <row r="177" spans="1:7">
      <c r="A177" s="1">
        <v>44768</v>
      </c>
      <c r="B177" s="2">
        <f>YEAR(TRA[[#This Row],[date]])</f>
        <v>2022</v>
      </c>
      <c r="C177">
        <v>1032</v>
      </c>
      <c r="D177">
        <v>2483</v>
      </c>
      <c r="E177">
        <v>1417</v>
      </c>
      <c r="F177">
        <v>963</v>
      </c>
      <c r="G177">
        <v>82</v>
      </c>
    </row>
    <row r="178" spans="1:7">
      <c r="A178" s="1">
        <v>44769</v>
      </c>
      <c r="B178" s="2">
        <f>YEAR(TRA[[#This Row],[date]])</f>
        <v>2022</v>
      </c>
      <c r="C178">
        <v>1109</v>
      </c>
      <c r="D178">
        <v>2675</v>
      </c>
      <c r="E178">
        <v>1446</v>
      </c>
      <c r="F178">
        <v>998</v>
      </c>
      <c r="G178">
        <v>97</v>
      </c>
    </row>
    <row r="179" spans="1:7">
      <c r="A179" s="1">
        <v>44770</v>
      </c>
      <c r="B179" s="2">
        <f>YEAR(TRA[[#This Row],[date]])</f>
        <v>2022</v>
      </c>
      <c r="C179">
        <v>993</v>
      </c>
      <c r="D179">
        <v>3075</v>
      </c>
      <c r="E179">
        <v>1356</v>
      </c>
      <c r="F179">
        <v>903</v>
      </c>
      <c r="G179">
        <v>127</v>
      </c>
    </row>
    <row r="180" spans="1:7">
      <c r="A180" s="1">
        <v>44771</v>
      </c>
      <c r="B180" s="2">
        <f>YEAR(TRA[[#This Row],[date]])</f>
        <v>2022</v>
      </c>
      <c r="C180">
        <v>1087</v>
      </c>
      <c r="D180">
        <v>2353</v>
      </c>
      <c r="E180">
        <v>1393</v>
      </c>
      <c r="F180">
        <v>985</v>
      </c>
      <c r="G180">
        <v>89</v>
      </c>
    </row>
    <row r="181" spans="1:7">
      <c r="A181" s="1">
        <v>44772</v>
      </c>
      <c r="B181" s="2">
        <f>YEAR(TRA[[#This Row],[date]])</f>
        <v>2022</v>
      </c>
      <c r="C181">
        <v>673</v>
      </c>
      <c r="D181">
        <v>1314</v>
      </c>
      <c r="E181">
        <v>834</v>
      </c>
      <c r="F181">
        <v>627</v>
      </c>
      <c r="G181">
        <v>64</v>
      </c>
    </row>
    <row r="182" spans="1:7">
      <c r="A182" s="1">
        <v>44773</v>
      </c>
      <c r="B182" s="2">
        <f>YEAR(TRA[[#This Row],[date]])</f>
        <v>2022</v>
      </c>
      <c r="C182">
        <v>633</v>
      </c>
      <c r="D182">
        <v>1258</v>
      </c>
      <c r="E182">
        <v>769</v>
      </c>
      <c r="F182">
        <v>563</v>
      </c>
      <c r="G182">
        <v>59</v>
      </c>
    </row>
    <row r="183" spans="1:7">
      <c r="A183" s="1">
        <v>44774</v>
      </c>
      <c r="B183" s="2">
        <f>YEAR(TRA[[#This Row],[date]])</f>
        <v>2022</v>
      </c>
      <c r="C183">
        <v>973</v>
      </c>
      <c r="D183">
        <v>2055</v>
      </c>
      <c r="E183">
        <v>1207</v>
      </c>
      <c r="F183">
        <v>812</v>
      </c>
      <c r="G183">
        <v>84</v>
      </c>
    </row>
    <row r="184" spans="1:7">
      <c r="A184" s="1">
        <v>44775</v>
      </c>
      <c r="B184" s="2">
        <f>YEAR(TRA[[#This Row],[date]])</f>
        <v>2022</v>
      </c>
      <c r="C184">
        <v>1063</v>
      </c>
      <c r="D184">
        <v>2251</v>
      </c>
      <c r="E184">
        <v>1341</v>
      </c>
      <c r="F184">
        <v>959</v>
      </c>
      <c r="G184">
        <v>89</v>
      </c>
    </row>
    <row r="185" spans="1:7">
      <c r="A185" s="1">
        <v>44776</v>
      </c>
      <c r="B185" s="2">
        <f>YEAR(TRA[[#This Row],[date]])</f>
        <v>2022</v>
      </c>
      <c r="C185">
        <v>1136</v>
      </c>
      <c r="D185">
        <v>2289</v>
      </c>
      <c r="E185">
        <v>1400</v>
      </c>
      <c r="F185">
        <v>994</v>
      </c>
      <c r="G185">
        <v>65</v>
      </c>
    </row>
    <row r="186" spans="1:7">
      <c r="A186" s="1">
        <v>44777</v>
      </c>
      <c r="B186" s="2">
        <f>YEAR(TRA[[#This Row],[date]])</f>
        <v>2022</v>
      </c>
      <c r="C186">
        <v>1328</v>
      </c>
      <c r="D186">
        <v>2621</v>
      </c>
      <c r="E186">
        <v>1595</v>
      </c>
      <c r="F186">
        <v>1143</v>
      </c>
      <c r="G186">
        <v>85</v>
      </c>
    </row>
    <row r="187" spans="1:7">
      <c r="A187" s="1">
        <v>44778</v>
      </c>
      <c r="B187" s="2">
        <f>YEAR(TRA[[#This Row],[date]])</f>
        <v>2022</v>
      </c>
      <c r="C187">
        <v>1053</v>
      </c>
      <c r="D187">
        <v>2721</v>
      </c>
      <c r="E187">
        <v>1322</v>
      </c>
      <c r="F187">
        <v>940</v>
      </c>
      <c r="G187">
        <v>177</v>
      </c>
    </row>
    <row r="188" spans="1:7">
      <c r="A188" s="1">
        <v>44779</v>
      </c>
      <c r="B188" s="2">
        <f>YEAR(TRA[[#This Row],[date]])</f>
        <v>2022</v>
      </c>
      <c r="C188">
        <v>739</v>
      </c>
      <c r="D188">
        <v>2115</v>
      </c>
      <c r="E188">
        <v>925</v>
      </c>
      <c r="F188">
        <v>685</v>
      </c>
      <c r="G188">
        <v>224</v>
      </c>
    </row>
    <row r="189" spans="1:7">
      <c r="A189" s="1">
        <v>44780</v>
      </c>
      <c r="B189" s="2">
        <f>YEAR(TRA[[#This Row],[date]])</f>
        <v>2022</v>
      </c>
      <c r="C189">
        <v>761</v>
      </c>
      <c r="D189">
        <v>1928</v>
      </c>
      <c r="E189">
        <v>917</v>
      </c>
      <c r="F189">
        <v>701</v>
      </c>
      <c r="G189">
        <v>127</v>
      </c>
    </row>
    <row r="190" spans="1:7">
      <c r="A190" s="1">
        <v>44781</v>
      </c>
      <c r="B190" s="2">
        <f>YEAR(TRA[[#This Row],[date]])</f>
        <v>2022</v>
      </c>
      <c r="C190">
        <v>1212</v>
      </c>
      <c r="D190">
        <v>2493</v>
      </c>
      <c r="E190">
        <v>1492</v>
      </c>
      <c r="F190">
        <v>1075</v>
      </c>
      <c r="G190">
        <v>79</v>
      </c>
    </row>
    <row r="191" spans="1:7">
      <c r="A191" s="1">
        <v>44782</v>
      </c>
      <c r="B191" s="2">
        <f>YEAR(TRA[[#This Row],[date]])</f>
        <v>2022</v>
      </c>
      <c r="C191">
        <v>1213</v>
      </c>
      <c r="D191">
        <v>3230</v>
      </c>
      <c r="E191">
        <v>1524</v>
      </c>
      <c r="F191">
        <v>821</v>
      </c>
      <c r="G191">
        <v>126</v>
      </c>
    </row>
    <row r="192" spans="1:7">
      <c r="A192" s="1">
        <v>44783</v>
      </c>
      <c r="B192" s="2">
        <f>YEAR(TRA[[#This Row],[date]])</f>
        <v>2022</v>
      </c>
      <c r="C192">
        <v>1037</v>
      </c>
      <c r="D192">
        <v>4184</v>
      </c>
      <c r="E192">
        <v>1321</v>
      </c>
      <c r="F192">
        <v>118</v>
      </c>
      <c r="G192">
        <v>118</v>
      </c>
    </row>
    <row r="193" spans="1:7">
      <c r="A193" s="1">
        <v>44784</v>
      </c>
      <c r="B193" s="2">
        <f>YEAR(TRA[[#This Row],[date]])</f>
        <v>2022</v>
      </c>
      <c r="C193">
        <v>1086</v>
      </c>
      <c r="D193">
        <v>4370</v>
      </c>
      <c r="E193">
        <v>1367</v>
      </c>
      <c r="F193">
        <v>127</v>
      </c>
      <c r="G193">
        <v>125</v>
      </c>
    </row>
    <row r="194" spans="1:7">
      <c r="A194" s="1">
        <v>44785</v>
      </c>
      <c r="B194" s="2">
        <f>YEAR(TRA[[#This Row],[date]])</f>
        <v>2022</v>
      </c>
      <c r="C194">
        <v>1044</v>
      </c>
      <c r="D194">
        <v>3901</v>
      </c>
      <c r="E194">
        <v>1304</v>
      </c>
      <c r="F194">
        <v>125</v>
      </c>
      <c r="G194">
        <v>83</v>
      </c>
    </row>
    <row r="195" spans="1:7">
      <c r="A195" s="1">
        <v>44786</v>
      </c>
      <c r="B195" s="2">
        <f>YEAR(TRA[[#This Row],[date]])</f>
        <v>2022</v>
      </c>
      <c r="C195">
        <v>751</v>
      </c>
      <c r="D195">
        <v>3055</v>
      </c>
      <c r="E195">
        <v>936</v>
      </c>
      <c r="F195">
        <v>119</v>
      </c>
      <c r="G195">
        <v>107</v>
      </c>
    </row>
    <row r="196" spans="1:7">
      <c r="A196" s="1">
        <v>44787</v>
      </c>
      <c r="B196" s="2">
        <f>YEAR(TRA[[#This Row],[date]])</f>
        <v>2022</v>
      </c>
      <c r="C196">
        <v>719</v>
      </c>
      <c r="D196">
        <v>2631</v>
      </c>
      <c r="E196">
        <v>912</v>
      </c>
      <c r="F196">
        <v>75</v>
      </c>
      <c r="G196">
        <v>71</v>
      </c>
    </row>
    <row r="197" spans="1:7">
      <c r="A197" s="1">
        <v>44788</v>
      </c>
      <c r="B197" s="2">
        <f>YEAR(TRA[[#This Row],[date]])</f>
        <v>2022</v>
      </c>
      <c r="C197">
        <v>1114</v>
      </c>
      <c r="D197">
        <v>4493</v>
      </c>
      <c r="E197">
        <v>1415</v>
      </c>
      <c r="F197">
        <v>125</v>
      </c>
      <c r="G197">
        <v>93</v>
      </c>
    </row>
    <row r="198" spans="1:7">
      <c r="A198" s="1">
        <v>44789</v>
      </c>
      <c r="B198" s="2">
        <f>YEAR(TRA[[#This Row],[date]])</f>
        <v>2022</v>
      </c>
      <c r="C198">
        <v>1081</v>
      </c>
      <c r="D198">
        <v>4713</v>
      </c>
      <c r="E198">
        <v>1406</v>
      </c>
      <c r="F198">
        <v>110</v>
      </c>
      <c r="G198">
        <v>145</v>
      </c>
    </row>
    <row r="199" spans="1:7">
      <c r="A199" s="1">
        <v>44790</v>
      </c>
      <c r="B199" s="2">
        <f>YEAR(TRA[[#This Row],[date]])</f>
        <v>2022</v>
      </c>
      <c r="C199">
        <v>1284</v>
      </c>
      <c r="D199">
        <v>5535</v>
      </c>
      <c r="E199">
        <v>1687</v>
      </c>
      <c r="F199">
        <v>109</v>
      </c>
      <c r="G199">
        <v>150</v>
      </c>
    </row>
    <row r="200" spans="1:7">
      <c r="A200" s="1">
        <v>44791</v>
      </c>
      <c r="B200" s="2">
        <f>YEAR(TRA[[#This Row],[date]])</f>
        <v>2022</v>
      </c>
      <c r="C200">
        <v>1082</v>
      </c>
      <c r="D200">
        <v>4582</v>
      </c>
      <c r="E200">
        <v>1424</v>
      </c>
      <c r="F200">
        <v>89</v>
      </c>
      <c r="G200">
        <v>144</v>
      </c>
    </row>
    <row r="201" spans="1:7">
      <c r="A201" s="1">
        <v>44792</v>
      </c>
      <c r="B201" s="2">
        <f>YEAR(TRA[[#This Row],[date]])</f>
        <v>2022</v>
      </c>
      <c r="C201">
        <v>1064</v>
      </c>
      <c r="D201">
        <v>4047</v>
      </c>
      <c r="E201">
        <v>1362</v>
      </c>
      <c r="F201">
        <v>112</v>
      </c>
      <c r="G201">
        <v>110</v>
      </c>
    </row>
    <row r="202" spans="1:7">
      <c r="A202" s="1">
        <v>44793</v>
      </c>
      <c r="B202" s="2">
        <f>YEAR(TRA[[#This Row],[date]])</f>
        <v>2022</v>
      </c>
      <c r="C202">
        <v>758</v>
      </c>
      <c r="D202">
        <v>2744</v>
      </c>
      <c r="E202">
        <v>951</v>
      </c>
      <c r="F202">
        <v>88</v>
      </c>
      <c r="G202">
        <v>91</v>
      </c>
    </row>
    <row r="203" spans="1:7">
      <c r="A203" s="1">
        <v>44794</v>
      </c>
      <c r="B203" s="2">
        <f>YEAR(TRA[[#This Row],[date]])</f>
        <v>2022</v>
      </c>
      <c r="C203">
        <v>800</v>
      </c>
      <c r="D203">
        <v>3073</v>
      </c>
      <c r="E203">
        <v>1038</v>
      </c>
      <c r="F203">
        <v>79</v>
      </c>
      <c r="G203">
        <v>141</v>
      </c>
    </row>
    <row r="204" spans="1:7">
      <c r="A204" s="1">
        <v>44795</v>
      </c>
      <c r="B204" s="2">
        <f>YEAR(TRA[[#This Row],[date]])</f>
        <v>2022</v>
      </c>
      <c r="C204">
        <v>1272</v>
      </c>
      <c r="D204">
        <v>4843</v>
      </c>
      <c r="E204">
        <v>1634</v>
      </c>
      <c r="F204">
        <v>97</v>
      </c>
      <c r="G204">
        <v>106</v>
      </c>
    </row>
    <row r="205" spans="1:7">
      <c r="A205" s="1">
        <v>44796</v>
      </c>
      <c r="B205" s="2">
        <f>YEAR(TRA[[#This Row],[date]])</f>
        <v>2022</v>
      </c>
      <c r="C205">
        <v>1295</v>
      </c>
      <c r="D205">
        <v>5388</v>
      </c>
      <c r="E205">
        <v>1711</v>
      </c>
      <c r="F205">
        <v>107</v>
      </c>
      <c r="G205">
        <v>114</v>
      </c>
    </row>
    <row r="206" spans="1:7">
      <c r="A206" s="1">
        <v>44797</v>
      </c>
      <c r="B206" s="2">
        <f>YEAR(TRA[[#This Row],[date]])</f>
        <v>2022</v>
      </c>
      <c r="C206">
        <v>1373</v>
      </c>
      <c r="D206">
        <v>5466</v>
      </c>
      <c r="E206">
        <v>1721</v>
      </c>
      <c r="F206">
        <v>126</v>
      </c>
      <c r="G206">
        <v>105</v>
      </c>
    </row>
    <row r="207" spans="1:7">
      <c r="A207" s="1">
        <v>44798</v>
      </c>
      <c r="B207" s="2">
        <f>YEAR(TRA[[#This Row],[date]])</f>
        <v>2022</v>
      </c>
      <c r="C207">
        <v>1383</v>
      </c>
      <c r="D207">
        <v>5278</v>
      </c>
      <c r="E207">
        <v>1754</v>
      </c>
      <c r="F207">
        <v>119</v>
      </c>
      <c r="G207">
        <v>111</v>
      </c>
    </row>
    <row r="208" spans="1:7">
      <c r="A208" s="1">
        <v>44799</v>
      </c>
      <c r="B208" s="2">
        <f>YEAR(TRA[[#This Row],[date]])</f>
        <v>2022</v>
      </c>
      <c r="C208">
        <v>1261</v>
      </c>
      <c r="D208">
        <v>4638</v>
      </c>
      <c r="E208">
        <v>1546</v>
      </c>
      <c r="F208">
        <v>124</v>
      </c>
      <c r="G208">
        <v>102</v>
      </c>
    </row>
    <row r="209" spans="1:7">
      <c r="A209" s="1">
        <v>44800</v>
      </c>
      <c r="B209" s="2">
        <f>YEAR(TRA[[#This Row],[date]])</f>
        <v>2022</v>
      </c>
      <c r="C209">
        <v>817</v>
      </c>
      <c r="D209">
        <v>3146</v>
      </c>
      <c r="E209">
        <v>1032</v>
      </c>
      <c r="F209">
        <v>105</v>
      </c>
      <c r="G209">
        <v>95</v>
      </c>
    </row>
    <row r="210" spans="1:7">
      <c r="A210" s="1">
        <v>44801</v>
      </c>
      <c r="B210" s="2">
        <f>YEAR(TRA[[#This Row],[date]])</f>
        <v>2022</v>
      </c>
      <c r="C210">
        <v>989</v>
      </c>
      <c r="D210">
        <v>3511</v>
      </c>
      <c r="E210">
        <v>1230</v>
      </c>
      <c r="F210">
        <v>71</v>
      </c>
      <c r="G210">
        <v>71</v>
      </c>
    </row>
    <row r="211" spans="1:7">
      <c r="A211" s="1">
        <v>44802</v>
      </c>
      <c r="B211" s="2">
        <f>YEAR(TRA[[#This Row],[date]])</f>
        <v>2022</v>
      </c>
      <c r="C211">
        <v>1558</v>
      </c>
      <c r="D211">
        <v>5890</v>
      </c>
      <c r="E211">
        <v>2015</v>
      </c>
      <c r="F211">
        <v>144</v>
      </c>
      <c r="G211">
        <v>100</v>
      </c>
    </row>
    <row r="212" spans="1:7">
      <c r="A212" s="1">
        <v>44803</v>
      </c>
      <c r="B212" s="2">
        <f>YEAR(TRA[[#This Row],[date]])</f>
        <v>2022</v>
      </c>
      <c r="C212">
        <v>1539</v>
      </c>
      <c r="D212">
        <v>6951</v>
      </c>
      <c r="E212">
        <v>2068</v>
      </c>
      <c r="F212">
        <v>119</v>
      </c>
      <c r="G212">
        <v>126</v>
      </c>
    </row>
    <row r="213" spans="1:7">
      <c r="A213" s="1">
        <v>44804</v>
      </c>
      <c r="B213" s="2">
        <f>YEAR(TRA[[#This Row],[date]])</f>
        <v>2022</v>
      </c>
      <c r="C213">
        <v>2147</v>
      </c>
      <c r="D213">
        <v>7972</v>
      </c>
      <c r="E213">
        <v>2679</v>
      </c>
      <c r="F213">
        <v>127</v>
      </c>
      <c r="G213">
        <v>109</v>
      </c>
    </row>
    <row r="214" spans="1:7">
      <c r="A214" s="1">
        <v>44805</v>
      </c>
      <c r="B214" s="2">
        <f>YEAR(TRA[[#This Row],[date]])</f>
        <v>2022</v>
      </c>
      <c r="C214">
        <v>1330</v>
      </c>
      <c r="D214">
        <v>5228</v>
      </c>
      <c r="E214">
        <v>1718</v>
      </c>
      <c r="F214">
        <v>137</v>
      </c>
      <c r="G214">
        <v>114</v>
      </c>
    </row>
    <row r="215" spans="1:7">
      <c r="A215" s="1">
        <v>44806</v>
      </c>
      <c r="B215" s="2">
        <f>YEAR(TRA[[#This Row],[date]])</f>
        <v>2022</v>
      </c>
      <c r="C215">
        <v>1041</v>
      </c>
      <c r="D215">
        <v>3745</v>
      </c>
      <c r="E215">
        <v>1313</v>
      </c>
      <c r="F215">
        <v>116</v>
      </c>
      <c r="G215">
        <v>101</v>
      </c>
    </row>
    <row r="216" spans="1:7">
      <c r="A216" s="1">
        <v>44807</v>
      </c>
      <c r="B216" s="2">
        <f>YEAR(TRA[[#This Row],[date]])</f>
        <v>2022</v>
      </c>
      <c r="C216">
        <v>600</v>
      </c>
      <c r="D216">
        <v>1922</v>
      </c>
      <c r="E216">
        <v>707</v>
      </c>
      <c r="F216">
        <v>76</v>
      </c>
      <c r="G216">
        <v>85</v>
      </c>
    </row>
    <row r="217" spans="1:7">
      <c r="A217" s="1">
        <v>44808</v>
      </c>
      <c r="B217" s="2">
        <f>YEAR(TRA[[#This Row],[date]])</f>
        <v>2022</v>
      </c>
      <c r="C217">
        <v>651</v>
      </c>
      <c r="D217">
        <v>2275</v>
      </c>
      <c r="E217">
        <v>780</v>
      </c>
      <c r="F217">
        <v>76</v>
      </c>
      <c r="G217">
        <v>86</v>
      </c>
    </row>
    <row r="218" spans="1:7">
      <c r="A218" s="1">
        <v>44809</v>
      </c>
      <c r="B218" s="2">
        <f>YEAR(TRA[[#This Row],[date]])</f>
        <v>2022</v>
      </c>
      <c r="C218">
        <v>851</v>
      </c>
      <c r="D218">
        <v>2901</v>
      </c>
      <c r="E218">
        <v>1003</v>
      </c>
      <c r="F218">
        <v>88</v>
      </c>
      <c r="G218">
        <v>109</v>
      </c>
    </row>
    <row r="219" spans="1:7">
      <c r="A219" s="1">
        <v>44810</v>
      </c>
      <c r="B219" s="2">
        <f>YEAR(TRA[[#This Row],[date]])</f>
        <v>2022</v>
      </c>
      <c r="C219">
        <v>1049</v>
      </c>
      <c r="D219">
        <v>4600</v>
      </c>
      <c r="E219">
        <v>1342</v>
      </c>
      <c r="F219">
        <v>113</v>
      </c>
      <c r="G219">
        <v>134</v>
      </c>
    </row>
    <row r="220" spans="1:7">
      <c r="A220" s="1">
        <v>44811</v>
      </c>
      <c r="B220" s="2">
        <f>YEAR(TRA[[#This Row],[date]])</f>
        <v>2022</v>
      </c>
      <c r="C220">
        <v>984</v>
      </c>
      <c r="D220">
        <v>3920</v>
      </c>
      <c r="E220">
        <v>1278</v>
      </c>
      <c r="F220">
        <v>105</v>
      </c>
      <c r="G220">
        <v>103</v>
      </c>
    </row>
    <row r="221" spans="1:7">
      <c r="A221" s="1">
        <v>44812</v>
      </c>
      <c r="B221" s="2">
        <f>YEAR(TRA[[#This Row],[date]])</f>
        <v>2022</v>
      </c>
      <c r="C221">
        <v>1047</v>
      </c>
      <c r="D221">
        <v>4185</v>
      </c>
      <c r="E221">
        <v>1343</v>
      </c>
      <c r="F221">
        <v>95</v>
      </c>
      <c r="G221">
        <v>147</v>
      </c>
    </row>
    <row r="222" spans="1:7">
      <c r="A222" s="1">
        <v>44813</v>
      </c>
      <c r="B222" s="2">
        <f>YEAR(TRA[[#This Row],[date]])</f>
        <v>2022</v>
      </c>
      <c r="C222">
        <v>1158</v>
      </c>
      <c r="D222">
        <v>4227</v>
      </c>
      <c r="E222">
        <v>1416</v>
      </c>
      <c r="F222">
        <v>113</v>
      </c>
      <c r="G222">
        <v>98</v>
      </c>
    </row>
    <row r="223" spans="1:7">
      <c r="A223" s="1">
        <v>44814</v>
      </c>
      <c r="B223" s="2">
        <f>YEAR(TRA[[#This Row],[date]])</f>
        <v>2022</v>
      </c>
      <c r="C223">
        <v>593</v>
      </c>
      <c r="D223">
        <v>2113</v>
      </c>
      <c r="E223">
        <v>733</v>
      </c>
      <c r="F223">
        <v>117</v>
      </c>
      <c r="G223">
        <v>98</v>
      </c>
    </row>
    <row r="224" spans="1:7">
      <c r="A224" s="1">
        <v>44815</v>
      </c>
      <c r="B224" s="2">
        <f>YEAR(TRA[[#This Row],[date]])</f>
        <v>2022</v>
      </c>
      <c r="C224">
        <v>610</v>
      </c>
      <c r="D224">
        <v>2185</v>
      </c>
      <c r="E224">
        <v>759</v>
      </c>
      <c r="F224">
        <v>93</v>
      </c>
      <c r="G224">
        <v>93</v>
      </c>
    </row>
    <row r="225" spans="1:7">
      <c r="A225" s="1">
        <v>44816</v>
      </c>
      <c r="B225" s="2">
        <f>YEAR(TRA[[#This Row],[date]])</f>
        <v>2022</v>
      </c>
      <c r="C225">
        <v>1125</v>
      </c>
      <c r="D225">
        <v>4175</v>
      </c>
      <c r="E225">
        <v>1434</v>
      </c>
      <c r="F225">
        <v>116</v>
      </c>
      <c r="G225">
        <v>116</v>
      </c>
    </row>
    <row r="226" spans="1:7">
      <c r="A226" s="1">
        <v>44817</v>
      </c>
      <c r="B226" s="2">
        <f>YEAR(TRA[[#This Row],[date]])</f>
        <v>2022</v>
      </c>
      <c r="C226">
        <v>1490</v>
      </c>
      <c r="D226">
        <v>5561</v>
      </c>
      <c r="E226">
        <v>1846</v>
      </c>
      <c r="F226">
        <v>120</v>
      </c>
      <c r="G226">
        <v>97</v>
      </c>
    </row>
    <row r="227" spans="1:7">
      <c r="A227" s="1">
        <v>44818</v>
      </c>
      <c r="B227" s="2">
        <f>YEAR(TRA[[#This Row],[date]])</f>
        <v>2022</v>
      </c>
      <c r="C227">
        <v>1206</v>
      </c>
      <c r="D227">
        <v>4594</v>
      </c>
      <c r="E227">
        <v>1527</v>
      </c>
      <c r="F227">
        <v>101</v>
      </c>
      <c r="G227">
        <v>92</v>
      </c>
    </row>
    <row r="228" spans="1:7">
      <c r="A228" s="1">
        <v>44819</v>
      </c>
      <c r="B228" s="2">
        <f>YEAR(TRA[[#This Row],[date]])</f>
        <v>2022</v>
      </c>
      <c r="C228">
        <v>1321</v>
      </c>
      <c r="D228">
        <v>5016</v>
      </c>
      <c r="E228">
        <v>1647</v>
      </c>
      <c r="F228">
        <v>116</v>
      </c>
      <c r="G228">
        <v>100</v>
      </c>
    </row>
    <row r="229" spans="1:7">
      <c r="A229" s="1">
        <v>44820</v>
      </c>
      <c r="B229" s="2">
        <f>YEAR(TRA[[#This Row],[date]])</f>
        <v>2022</v>
      </c>
      <c r="C229">
        <v>1083</v>
      </c>
      <c r="D229">
        <v>4399</v>
      </c>
      <c r="E229">
        <v>1381</v>
      </c>
      <c r="F229">
        <v>75</v>
      </c>
      <c r="G229">
        <v>112</v>
      </c>
    </row>
    <row r="230" spans="1:7">
      <c r="A230" s="1">
        <v>44821</v>
      </c>
      <c r="B230" s="2">
        <f>YEAR(TRA[[#This Row],[date]])</f>
        <v>2022</v>
      </c>
      <c r="C230">
        <v>654</v>
      </c>
      <c r="D230">
        <v>2216</v>
      </c>
      <c r="E230">
        <v>824</v>
      </c>
      <c r="F230">
        <v>94</v>
      </c>
      <c r="G230">
        <v>66</v>
      </c>
    </row>
    <row r="231" spans="1:7">
      <c r="A231" s="1">
        <v>44822</v>
      </c>
      <c r="B231" s="2">
        <f>YEAR(TRA[[#This Row],[date]])</f>
        <v>2022</v>
      </c>
      <c r="C231">
        <v>640</v>
      </c>
      <c r="D231">
        <v>2307</v>
      </c>
      <c r="E231">
        <v>799</v>
      </c>
      <c r="F231">
        <v>90</v>
      </c>
      <c r="G231">
        <v>99</v>
      </c>
    </row>
    <row r="232" spans="1:7">
      <c r="A232" s="1">
        <v>44823</v>
      </c>
      <c r="B232" s="2">
        <f>YEAR(TRA[[#This Row],[date]])</f>
        <v>2022</v>
      </c>
      <c r="C232">
        <v>1347</v>
      </c>
      <c r="D232">
        <v>4817</v>
      </c>
      <c r="E232">
        <v>1640</v>
      </c>
      <c r="F232">
        <v>117</v>
      </c>
      <c r="G232">
        <v>89</v>
      </c>
    </row>
    <row r="233" spans="1:7">
      <c r="A233" s="1">
        <v>44824</v>
      </c>
      <c r="B233" s="2">
        <f>YEAR(TRA[[#This Row],[date]])</f>
        <v>2022</v>
      </c>
      <c r="C233">
        <v>2127</v>
      </c>
      <c r="D233">
        <v>6692</v>
      </c>
      <c r="E233">
        <v>2477</v>
      </c>
      <c r="F233">
        <v>159</v>
      </c>
      <c r="G233">
        <v>66</v>
      </c>
    </row>
    <row r="234" spans="1:7">
      <c r="A234" s="1">
        <v>44825</v>
      </c>
      <c r="B234" s="2">
        <f>YEAR(TRA[[#This Row],[date]])</f>
        <v>2022</v>
      </c>
      <c r="C234">
        <v>1382</v>
      </c>
      <c r="D234">
        <v>5022</v>
      </c>
      <c r="E234">
        <v>1707</v>
      </c>
      <c r="F234">
        <v>125</v>
      </c>
      <c r="G234">
        <v>119</v>
      </c>
    </row>
    <row r="235" spans="1:7">
      <c r="A235" s="1">
        <v>44826</v>
      </c>
      <c r="B235" s="2">
        <f>YEAR(TRA[[#This Row],[date]])</f>
        <v>2022</v>
      </c>
      <c r="C235">
        <v>1337</v>
      </c>
      <c r="D235">
        <v>4971</v>
      </c>
      <c r="E235">
        <v>1727</v>
      </c>
      <c r="F235">
        <v>135</v>
      </c>
      <c r="G235">
        <v>84</v>
      </c>
    </row>
    <row r="236" spans="1:7">
      <c r="A236" s="1">
        <v>44827</v>
      </c>
      <c r="B236" s="2">
        <f>YEAR(TRA[[#This Row],[date]])</f>
        <v>2022</v>
      </c>
      <c r="C236">
        <v>1141</v>
      </c>
      <c r="D236">
        <v>4382</v>
      </c>
      <c r="E236">
        <v>1417</v>
      </c>
      <c r="F236">
        <v>102</v>
      </c>
      <c r="G236">
        <v>92</v>
      </c>
    </row>
    <row r="237" spans="1:7">
      <c r="A237" s="1">
        <v>44828</v>
      </c>
      <c r="B237" s="2">
        <f>YEAR(TRA[[#This Row],[date]])</f>
        <v>2022</v>
      </c>
      <c r="C237">
        <v>725</v>
      </c>
      <c r="D237">
        <v>2234</v>
      </c>
      <c r="E237">
        <v>886</v>
      </c>
      <c r="F237">
        <v>209</v>
      </c>
      <c r="G237">
        <v>94</v>
      </c>
    </row>
    <row r="238" spans="1:7">
      <c r="A238" s="1">
        <v>44829</v>
      </c>
      <c r="B238" s="2">
        <f>YEAR(TRA[[#This Row],[date]])</f>
        <v>2022</v>
      </c>
      <c r="C238">
        <v>817</v>
      </c>
      <c r="D238">
        <v>2885</v>
      </c>
      <c r="E238">
        <v>974</v>
      </c>
      <c r="F238">
        <v>206</v>
      </c>
      <c r="G238">
        <v>98</v>
      </c>
    </row>
    <row r="239" spans="1:7">
      <c r="A239" s="1">
        <v>44830</v>
      </c>
      <c r="B239" s="2">
        <f>YEAR(TRA[[#This Row],[date]])</f>
        <v>2022</v>
      </c>
      <c r="C239">
        <v>1333</v>
      </c>
      <c r="D239">
        <v>4703</v>
      </c>
      <c r="E239">
        <v>1603</v>
      </c>
      <c r="F239">
        <v>173</v>
      </c>
      <c r="G239">
        <v>86</v>
      </c>
    </row>
    <row r="240" spans="1:7">
      <c r="A240" s="1">
        <v>44831</v>
      </c>
      <c r="B240" s="2">
        <f>YEAR(TRA[[#This Row],[date]])</f>
        <v>2022</v>
      </c>
      <c r="C240">
        <v>1363</v>
      </c>
      <c r="D240">
        <v>5174</v>
      </c>
      <c r="E240">
        <v>1649</v>
      </c>
      <c r="F240">
        <v>98</v>
      </c>
      <c r="G240">
        <v>138</v>
      </c>
    </row>
    <row r="241" spans="1:7">
      <c r="A241" s="1">
        <v>44832</v>
      </c>
      <c r="B241" s="2">
        <f>YEAR(TRA[[#This Row],[date]])</f>
        <v>2022</v>
      </c>
      <c r="C241">
        <v>1343</v>
      </c>
      <c r="D241">
        <v>5184</v>
      </c>
      <c r="E241">
        <v>1679</v>
      </c>
      <c r="F241">
        <v>135</v>
      </c>
      <c r="G241">
        <v>107</v>
      </c>
    </row>
    <row r="242" spans="1:7">
      <c r="A242" s="1">
        <v>44833</v>
      </c>
      <c r="B242" s="2">
        <f>YEAR(TRA[[#This Row],[date]])</f>
        <v>2022</v>
      </c>
      <c r="C242">
        <v>1345</v>
      </c>
      <c r="D242">
        <v>5045</v>
      </c>
      <c r="E242">
        <v>1665</v>
      </c>
      <c r="F242">
        <v>115</v>
      </c>
      <c r="G242">
        <v>119</v>
      </c>
    </row>
    <row r="243" spans="1:7">
      <c r="A243" s="1">
        <v>44834</v>
      </c>
      <c r="B243" s="2">
        <f>YEAR(TRA[[#This Row],[date]])</f>
        <v>2022</v>
      </c>
      <c r="C243">
        <v>1540</v>
      </c>
      <c r="D243">
        <v>6126</v>
      </c>
      <c r="E243">
        <v>1912</v>
      </c>
      <c r="F243">
        <v>118</v>
      </c>
      <c r="G243">
        <v>122</v>
      </c>
    </row>
    <row r="244" spans="1:7">
      <c r="A244" s="1">
        <v>44835</v>
      </c>
      <c r="B244" s="2">
        <f>YEAR(TRA[[#This Row],[date]])</f>
        <v>2022</v>
      </c>
      <c r="C244">
        <v>1297</v>
      </c>
      <c r="D244">
        <v>4353</v>
      </c>
      <c r="E244">
        <v>1480</v>
      </c>
      <c r="F244">
        <v>106</v>
      </c>
      <c r="G244">
        <v>57</v>
      </c>
    </row>
    <row r="245" spans="1:7">
      <c r="A245" s="1">
        <v>44836</v>
      </c>
      <c r="B245" s="2">
        <f>YEAR(TRA[[#This Row],[date]])</f>
        <v>2022</v>
      </c>
      <c r="C245">
        <v>2553</v>
      </c>
      <c r="D245">
        <v>8530</v>
      </c>
      <c r="E245">
        <v>2875</v>
      </c>
      <c r="F245">
        <v>517</v>
      </c>
      <c r="G245">
        <v>67</v>
      </c>
    </row>
    <row r="246" spans="1:7">
      <c r="A246" s="1">
        <v>44837</v>
      </c>
      <c r="B246" s="2">
        <f>YEAR(TRA[[#This Row],[date]])</f>
        <v>2022</v>
      </c>
      <c r="C246">
        <v>2504</v>
      </c>
      <c r="D246">
        <v>9575</v>
      </c>
      <c r="E246">
        <v>3006</v>
      </c>
      <c r="F246">
        <v>288</v>
      </c>
      <c r="G246">
        <v>103</v>
      </c>
    </row>
    <row r="247" spans="1:7">
      <c r="A247" s="1">
        <v>44838</v>
      </c>
      <c r="B247" s="2">
        <f>YEAR(TRA[[#This Row],[date]])</f>
        <v>2022</v>
      </c>
      <c r="C247">
        <v>1876</v>
      </c>
      <c r="D247">
        <v>7250</v>
      </c>
      <c r="E247">
        <v>2301</v>
      </c>
      <c r="F247">
        <v>116</v>
      </c>
      <c r="G247">
        <v>117</v>
      </c>
    </row>
    <row r="248" spans="1:7">
      <c r="A248" s="1">
        <v>44839</v>
      </c>
      <c r="B248" s="2">
        <f>YEAR(TRA[[#This Row],[date]])</f>
        <v>2022</v>
      </c>
      <c r="C248">
        <v>1601</v>
      </c>
      <c r="D248">
        <v>6688</v>
      </c>
      <c r="E248">
        <v>2013</v>
      </c>
      <c r="F248">
        <v>57</v>
      </c>
      <c r="G248">
        <v>126</v>
      </c>
    </row>
    <row r="249" spans="1:7">
      <c r="A249" s="1">
        <v>44840</v>
      </c>
      <c r="B249" s="2">
        <f>YEAR(TRA[[#This Row],[date]])</f>
        <v>2022</v>
      </c>
      <c r="C249">
        <v>1942</v>
      </c>
      <c r="D249">
        <v>7979</v>
      </c>
      <c r="E249">
        <v>2466</v>
      </c>
      <c r="F249">
        <v>79</v>
      </c>
      <c r="G249">
        <v>128</v>
      </c>
    </row>
    <row r="250" spans="1:7">
      <c r="A250" s="1">
        <v>44841</v>
      </c>
      <c r="B250" s="2">
        <f>YEAR(TRA[[#This Row],[date]])</f>
        <v>2022</v>
      </c>
      <c r="C250">
        <v>1366</v>
      </c>
      <c r="D250">
        <v>5168</v>
      </c>
      <c r="E250">
        <v>1687</v>
      </c>
      <c r="F250">
        <v>64</v>
      </c>
      <c r="G250">
        <v>112</v>
      </c>
    </row>
    <row r="251" spans="1:7">
      <c r="A251" s="1">
        <v>44842</v>
      </c>
      <c r="B251" s="2">
        <f>YEAR(TRA[[#This Row],[date]])</f>
        <v>2022</v>
      </c>
      <c r="C251">
        <v>835</v>
      </c>
      <c r="D251">
        <v>2899</v>
      </c>
      <c r="E251">
        <v>1010</v>
      </c>
      <c r="F251">
        <v>59</v>
      </c>
      <c r="G251">
        <v>68</v>
      </c>
    </row>
    <row r="252" spans="1:7">
      <c r="A252" s="1">
        <v>44843</v>
      </c>
      <c r="B252" s="2">
        <f>YEAR(TRA[[#This Row],[date]])</f>
        <v>2022</v>
      </c>
      <c r="C252">
        <v>840</v>
      </c>
      <c r="D252">
        <v>3030</v>
      </c>
      <c r="E252">
        <v>1015</v>
      </c>
      <c r="F252">
        <v>47</v>
      </c>
      <c r="G252">
        <v>96</v>
      </c>
    </row>
    <row r="253" spans="1:7">
      <c r="A253" s="1">
        <v>44844</v>
      </c>
      <c r="B253" s="2">
        <f>YEAR(TRA[[#This Row],[date]])</f>
        <v>2022</v>
      </c>
      <c r="C253">
        <v>1429</v>
      </c>
      <c r="D253">
        <v>5341</v>
      </c>
      <c r="E253">
        <v>1741</v>
      </c>
      <c r="F253">
        <v>61</v>
      </c>
      <c r="G253">
        <v>103</v>
      </c>
    </row>
    <row r="254" spans="1:7">
      <c r="A254" s="1">
        <v>44845</v>
      </c>
      <c r="B254" s="2">
        <f>YEAR(TRA[[#This Row],[date]])</f>
        <v>2022</v>
      </c>
      <c r="C254">
        <v>3688</v>
      </c>
      <c r="D254">
        <v>12321</v>
      </c>
      <c r="E254">
        <v>4195</v>
      </c>
      <c r="F254">
        <v>95</v>
      </c>
      <c r="G254">
        <v>101</v>
      </c>
    </row>
    <row r="255" spans="1:7">
      <c r="A255" s="1">
        <v>44846</v>
      </c>
      <c r="B255" s="2">
        <f>YEAR(TRA[[#This Row],[date]])</f>
        <v>2022</v>
      </c>
      <c r="C255">
        <v>3525</v>
      </c>
      <c r="D255">
        <v>13224</v>
      </c>
      <c r="E255">
        <v>4247</v>
      </c>
      <c r="F255">
        <v>110</v>
      </c>
      <c r="G255">
        <v>100</v>
      </c>
    </row>
    <row r="256" spans="1:7">
      <c r="A256" s="1">
        <v>44847</v>
      </c>
      <c r="B256" s="2">
        <f>YEAR(TRA[[#This Row],[date]])</f>
        <v>2022</v>
      </c>
      <c r="C256">
        <v>11797</v>
      </c>
      <c r="D256">
        <v>44500</v>
      </c>
      <c r="E256">
        <v>13620</v>
      </c>
      <c r="F256">
        <v>243</v>
      </c>
      <c r="G256">
        <v>66</v>
      </c>
    </row>
    <row r="257" spans="1:7">
      <c r="A257" s="1">
        <v>44848</v>
      </c>
      <c r="B257" s="2">
        <f>YEAR(TRA[[#This Row],[date]])</f>
        <v>2022</v>
      </c>
      <c r="C257">
        <v>9872</v>
      </c>
      <c r="D257">
        <v>36593</v>
      </c>
      <c r="E257">
        <v>11327</v>
      </c>
      <c r="F257">
        <v>228</v>
      </c>
      <c r="G257">
        <v>66</v>
      </c>
    </row>
    <row r="258" spans="1:7">
      <c r="A258" s="1">
        <v>44849</v>
      </c>
      <c r="B258" s="2">
        <f>YEAR(TRA[[#This Row],[date]])</f>
        <v>2022</v>
      </c>
      <c r="C258">
        <v>4951</v>
      </c>
      <c r="D258">
        <v>18032</v>
      </c>
      <c r="E258">
        <v>5609</v>
      </c>
      <c r="F258">
        <v>105</v>
      </c>
      <c r="G258">
        <v>66</v>
      </c>
    </row>
    <row r="259" spans="1:7">
      <c r="A259" s="1">
        <v>44850</v>
      </c>
      <c r="B259" s="2">
        <f>YEAR(TRA[[#This Row],[date]])</f>
        <v>2022</v>
      </c>
      <c r="C259">
        <v>4003</v>
      </c>
      <c r="D259">
        <v>14968</v>
      </c>
      <c r="E259">
        <v>4582</v>
      </c>
      <c r="F259">
        <v>103</v>
      </c>
      <c r="G259">
        <v>67</v>
      </c>
    </row>
    <row r="260" spans="1:7">
      <c r="A260" s="1">
        <v>44851</v>
      </c>
      <c r="B260" s="2">
        <f>YEAR(TRA[[#This Row],[date]])</f>
        <v>2022</v>
      </c>
      <c r="C260">
        <v>5034</v>
      </c>
      <c r="D260">
        <v>18634</v>
      </c>
      <c r="E260">
        <v>5893</v>
      </c>
      <c r="F260">
        <v>144</v>
      </c>
      <c r="G260">
        <v>76</v>
      </c>
    </row>
    <row r="261" spans="1:7">
      <c r="A261" s="1">
        <v>44852</v>
      </c>
      <c r="B261" s="2">
        <f>YEAR(TRA[[#This Row],[date]])</f>
        <v>2022</v>
      </c>
      <c r="C261">
        <v>5367</v>
      </c>
      <c r="D261">
        <v>20446</v>
      </c>
      <c r="E261">
        <v>6294</v>
      </c>
      <c r="F261">
        <v>140</v>
      </c>
      <c r="G261">
        <v>91</v>
      </c>
    </row>
    <row r="262" spans="1:7">
      <c r="A262" s="1">
        <v>44853</v>
      </c>
      <c r="B262" s="2">
        <f>YEAR(TRA[[#This Row],[date]])</f>
        <v>2022</v>
      </c>
      <c r="C262">
        <v>5866</v>
      </c>
      <c r="D262">
        <v>20983</v>
      </c>
      <c r="E262">
        <v>6720</v>
      </c>
      <c r="F262">
        <v>109</v>
      </c>
      <c r="G262">
        <v>72</v>
      </c>
    </row>
    <row r="263" spans="1:7">
      <c r="A263" s="1">
        <v>44854</v>
      </c>
      <c r="B263" s="2">
        <f>YEAR(TRA[[#This Row],[date]])</f>
        <v>2022</v>
      </c>
      <c r="C263">
        <v>4678</v>
      </c>
      <c r="D263">
        <v>16412</v>
      </c>
      <c r="E263">
        <v>5414</v>
      </c>
      <c r="F263">
        <v>93</v>
      </c>
      <c r="G263">
        <v>67</v>
      </c>
    </row>
    <row r="264" spans="1:7">
      <c r="A264" s="1">
        <v>44855</v>
      </c>
      <c r="B264" s="2">
        <f>YEAR(TRA[[#This Row],[date]])</f>
        <v>2022</v>
      </c>
      <c r="C264">
        <v>4246</v>
      </c>
      <c r="D264">
        <v>16224</v>
      </c>
      <c r="E264">
        <v>4936</v>
      </c>
      <c r="F264">
        <v>102</v>
      </c>
      <c r="G264">
        <v>73</v>
      </c>
    </row>
    <row r="265" spans="1:7">
      <c r="A265" s="1">
        <v>44856</v>
      </c>
      <c r="B265" s="2">
        <f>YEAR(TRA[[#This Row],[date]])</f>
        <v>2022</v>
      </c>
      <c r="C265">
        <v>3716</v>
      </c>
      <c r="D265">
        <v>14263</v>
      </c>
      <c r="E265">
        <v>4255</v>
      </c>
      <c r="F265">
        <v>100</v>
      </c>
      <c r="G265">
        <v>65</v>
      </c>
    </row>
    <row r="266" spans="1:7">
      <c r="A266" s="1">
        <v>44857</v>
      </c>
      <c r="B266" s="2">
        <f>YEAR(TRA[[#This Row],[date]])</f>
        <v>2022</v>
      </c>
      <c r="C266">
        <v>6353</v>
      </c>
      <c r="D266">
        <v>24953</v>
      </c>
      <c r="E266">
        <v>7257</v>
      </c>
      <c r="F266">
        <v>78</v>
      </c>
      <c r="G266">
        <v>65</v>
      </c>
    </row>
    <row r="267" spans="1:7">
      <c r="A267" s="1">
        <v>44858</v>
      </c>
      <c r="B267" s="2">
        <f>YEAR(TRA[[#This Row],[date]])</f>
        <v>2022</v>
      </c>
      <c r="C267">
        <v>3377</v>
      </c>
      <c r="D267">
        <v>12692</v>
      </c>
      <c r="E267">
        <v>3977</v>
      </c>
      <c r="F267">
        <v>82</v>
      </c>
      <c r="G267">
        <v>86</v>
      </c>
    </row>
    <row r="268" spans="1:7">
      <c r="A268" s="1">
        <v>44859</v>
      </c>
      <c r="B268" s="2">
        <f>YEAR(TRA[[#This Row],[date]])</f>
        <v>2022</v>
      </c>
      <c r="C268">
        <v>2040</v>
      </c>
      <c r="D268">
        <v>7907</v>
      </c>
      <c r="E268">
        <v>2443</v>
      </c>
      <c r="F268">
        <v>54</v>
      </c>
      <c r="G268">
        <v>121</v>
      </c>
    </row>
    <row r="269" spans="1:7">
      <c r="A269" s="1">
        <v>44860</v>
      </c>
      <c r="B269" s="2">
        <f>YEAR(TRA[[#This Row],[date]])</f>
        <v>2022</v>
      </c>
      <c r="C269">
        <v>1811</v>
      </c>
      <c r="D269">
        <v>7009</v>
      </c>
      <c r="E269">
        <v>2222</v>
      </c>
      <c r="F269">
        <v>64</v>
      </c>
      <c r="G269">
        <v>121</v>
      </c>
    </row>
    <row r="270" spans="1:7">
      <c r="A270" s="1">
        <v>44861</v>
      </c>
      <c r="B270" s="2">
        <f>YEAR(TRA[[#This Row],[date]])</f>
        <v>2022</v>
      </c>
      <c r="C270">
        <v>1680</v>
      </c>
      <c r="D270">
        <v>6546</v>
      </c>
      <c r="E270">
        <v>2035</v>
      </c>
      <c r="F270">
        <v>74</v>
      </c>
      <c r="G270">
        <v>142</v>
      </c>
    </row>
    <row r="271" spans="1:7">
      <c r="A271" s="1">
        <v>44862</v>
      </c>
      <c r="B271" s="2">
        <f>YEAR(TRA[[#This Row],[date]])</f>
        <v>2022</v>
      </c>
      <c r="C271">
        <v>1305</v>
      </c>
      <c r="D271">
        <v>4586</v>
      </c>
      <c r="E271">
        <v>1514</v>
      </c>
      <c r="F271">
        <v>47</v>
      </c>
      <c r="G271">
        <v>85</v>
      </c>
    </row>
    <row r="272" spans="1:7">
      <c r="A272" s="1">
        <v>44863</v>
      </c>
      <c r="B272" s="2">
        <f>YEAR(TRA[[#This Row],[date]])</f>
        <v>2022</v>
      </c>
      <c r="C272">
        <v>897</v>
      </c>
      <c r="D272">
        <v>3156</v>
      </c>
      <c r="E272">
        <v>1037</v>
      </c>
      <c r="F272">
        <v>55</v>
      </c>
      <c r="G272">
        <v>86</v>
      </c>
    </row>
    <row r="273" spans="1:7">
      <c r="A273" s="1">
        <v>44864</v>
      </c>
      <c r="B273" s="2">
        <f>YEAR(TRA[[#This Row],[date]])</f>
        <v>2022</v>
      </c>
      <c r="C273">
        <v>972</v>
      </c>
      <c r="D273">
        <v>3496</v>
      </c>
      <c r="E273">
        <v>1116</v>
      </c>
      <c r="F273">
        <v>17</v>
      </c>
      <c r="G273">
        <v>70</v>
      </c>
    </row>
    <row r="274" spans="1:7">
      <c r="A274" s="1">
        <v>44865</v>
      </c>
      <c r="B274" s="2">
        <f>YEAR(TRA[[#This Row],[date]])</f>
        <v>2022</v>
      </c>
      <c r="C274">
        <v>1251</v>
      </c>
      <c r="D274">
        <v>4734</v>
      </c>
      <c r="E274">
        <v>1543</v>
      </c>
      <c r="F274">
        <v>34</v>
      </c>
      <c r="G274">
        <v>91</v>
      </c>
    </row>
    <row r="275" spans="1:7">
      <c r="A275" s="1">
        <v>44866</v>
      </c>
      <c r="B275" s="2">
        <f>YEAR(TRA[[#This Row],[date]])</f>
        <v>2022</v>
      </c>
      <c r="C275">
        <v>1517</v>
      </c>
      <c r="D275">
        <v>6560</v>
      </c>
      <c r="E275">
        <v>1887</v>
      </c>
      <c r="F275">
        <v>38</v>
      </c>
      <c r="G275">
        <v>133</v>
      </c>
    </row>
    <row r="276" spans="1:7">
      <c r="A276" s="1">
        <v>44867</v>
      </c>
      <c r="B276" s="2">
        <f>YEAR(TRA[[#This Row],[date]])</f>
        <v>2022</v>
      </c>
      <c r="C276">
        <v>1612</v>
      </c>
      <c r="D276">
        <v>6107</v>
      </c>
      <c r="E276">
        <v>1940</v>
      </c>
      <c r="F276">
        <v>40</v>
      </c>
      <c r="G276">
        <v>97</v>
      </c>
    </row>
    <row r="277" spans="1:7">
      <c r="A277" s="1">
        <v>44868</v>
      </c>
      <c r="B277" s="2">
        <f>YEAR(TRA[[#This Row],[date]])</f>
        <v>2022</v>
      </c>
      <c r="C277">
        <v>1409</v>
      </c>
      <c r="D277">
        <v>5882</v>
      </c>
      <c r="E277">
        <v>1774</v>
      </c>
      <c r="F277">
        <v>51</v>
      </c>
      <c r="G277">
        <v>119</v>
      </c>
    </row>
    <row r="278" spans="1:7">
      <c r="A278" s="1">
        <v>44869</v>
      </c>
      <c r="B278" s="2">
        <f>YEAR(TRA[[#This Row],[date]])</f>
        <v>2022</v>
      </c>
      <c r="C278">
        <v>1147</v>
      </c>
      <c r="D278">
        <v>4383</v>
      </c>
      <c r="E278">
        <v>1398</v>
      </c>
      <c r="F278">
        <v>38</v>
      </c>
      <c r="G278">
        <v>98</v>
      </c>
    </row>
    <row r="279" spans="1:7">
      <c r="A279" s="1">
        <v>44870</v>
      </c>
      <c r="B279" s="2">
        <f>YEAR(TRA[[#This Row],[date]])</f>
        <v>2022</v>
      </c>
      <c r="C279">
        <v>883</v>
      </c>
      <c r="D279">
        <v>3151</v>
      </c>
      <c r="E279">
        <v>1029</v>
      </c>
      <c r="F279">
        <v>49</v>
      </c>
      <c r="G279">
        <v>111</v>
      </c>
    </row>
    <row r="280" spans="1:7">
      <c r="A280" s="1">
        <v>44871</v>
      </c>
      <c r="B280" s="2">
        <f>YEAR(TRA[[#This Row],[date]])</f>
        <v>2022</v>
      </c>
      <c r="C280">
        <v>916</v>
      </c>
      <c r="D280">
        <v>3350</v>
      </c>
      <c r="E280">
        <v>1089</v>
      </c>
      <c r="F280">
        <v>41</v>
      </c>
      <c r="G280">
        <v>88</v>
      </c>
    </row>
    <row r="281" spans="1:7">
      <c r="A281" s="1">
        <v>44872</v>
      </c>
      <c r="B281" s="2">
        <f>YEAR(TRA[[#This Row],[date]])</f>
        <v>2022</v>
      </c>
      <c r="C281">
        <v>1521</v>
      </c>
      <c r="D281">
        <v>5130</v>
      </c>
      <c r="E281">
        <v>1726</v>
      </c>
      <c r="F281">
        <v>41</v>
      </c>
      <c r="G281">
        <v>82</v>
      </c>
    </row>
    <row r="282" spans="1:7">
      <c r="A282" s="1">
        <v>44873</v>
      </c>
      <c r="B282" s="2">
        <f>YEAR(TRA[[#This Row],[date]])</f>
        <v>2022</v>
      </c>
      <c r="C282">
        <v>1332</v>
      </c>
      <c r="D282">
        <v>4876</v>
      </c>
      <c r="E282">
        <v>1583</v>
      </c>
      <c r="F282">
        <v>38</v>
      </c>
      <c r="G282">
        <v>78</v>
      </c>
    </row>
    <row r="283" spans="1:7">
      <c r="A283" s="1">
        <v>44874</v>
      </c>
      <c r="B283" s="2">
        <f>YEAR(TRA[[#This Row],[date]])</f>
        <v>2022</v>
      </c>
      <c r="C283">
        <v>1233</v>
      </c>
      <c r="D283">
        <v>4585</v>
      </c>
      <c r="E283">
        <v>1479</v>
      </c>
      <c r="F283">
        <v>36</v>
      </c>
      <c r="G283">
        <v>93</v>
      </c>
    </row>
    <row r="284" spans="1:7">
      <c r="A284" s="1">
        <v>44875</v>
      </c>
      <c r="B284" s="2">
        <f>YEAR(TRA[[#This Row],[date]])</f>
        <v>2022</v>
      </c>
      <c r="C284">
        <v>1413</v>
      </c>
      <c r="D284">
        <v>5606</v>
      </c>
      <c r="E284">
        <v>1767</v>
      </c>
      <c r="F284">
        <v>48</v>
      </c>
      <c r="G284">
        <v>89</v>
      </c>
    </row>
    <row r="285" spans="1:7">
      <c r="A285" s="1">
        <v>44876</v>
      </c>
      <c r="B285" s="2">
        <f>YEAR(TRA[[#This Row],[date]])</f>
        <v>2022</v>
      </c>
      <c r="C285">
        <v>1068</v>
      </c>
      <c r="D285">
        <v>4047</v>
      </c>
      <c r="E285">
        <v>1293</v>
      </c>
      <c r="F285">
        <v>40</v>
      </c>
      <c r="G285">
        <v>106</v>
      </c>
    </row>
    <row r="286" spans="1:7">
      <c r="A286" s="1">
        <v>44877</v>
      </c>
      <c r="B286" s="2">
        <f>YEAR(TRA[[#This Row],[date]])</f>
        <v>2022</v>
      </c>
      <c r="C286">
        <v>898</v>
      </c>
      <c r="D286">
        <v>3404</v>
      </c>
      <c r="E286">
        <v>1051</v>
      </c>
      <c r="F286">
        <v>51</v>
      </c>
      <c r="G286">
        <v>70</v>
      </c>
    </row>
    <row r="287" spans="1:7">
      <c r="A287" s="1">
        <v>44878</v>
      </c>
      <c r="B287" s="2">
        <f>YEAR(TRA[[#This Row],[date]])</f>
        <v>2022</v>
      </c>
      <c r="C287">
        <v>1077</v>
      </c>
      <c r="D287">
        <v>3706</v>
      </c>
      <c r="E287">
        <v>1238</v>
      </c>
      <c r="F287">
        <v>31</v>
      </c>
      <c r="G287">
        <v>71</v>
      </c>
    </row>
    <row r="288" spans="1:7">
      <c r="A288" s="1">
        <v>44879</v>
      </c>
      <c r="B288" s="2">
        <f>YEAR(TRA[[#This Row],[date]])</f>
        <v>2022</v>
      </c>
      <c r="C288">
        <v>2383</v>
      </c>
      <c r="D288">
        <v>8805</v>
      </c>
      <c r="E288">
        <v>2791</v>
      </c>
      <c r="F288">
        <v>282</v>
      </c>
      <c r="G288">
        <v>108</v>
      </c>
    </row>
    <row r="289" spans="1:7">
      <c r="A289" s="1">
        <v>44880</v>
      </c>
      <c r="B289" s="2">
        <f>YEAR(TRA[[#This Row],[date]])</f>
        <v>2022</v>
      </c>
      <c r="C289">
        <v>21558</v>
      </c>
      <c r="D289">
        <v>73647</v>
      </c>
      <c r="E289">
        <v>23876</v>
      </c>
      <c r="F289">
        <v>1968</v>
      </c>
      <c r="G289">
        <v>69</v>
      </c>
    </row>
    <row r="290" spans="1:7">
      <c r="A290" s="1">
        <v>44881</v>
      </c>
      <c r="B290" s="2">
        <f>YEAR(TRA[[#This Row],[date]])</f>
        <v>2022</v>
      </c>
      <c r="C290">
        <v>9843</v>
      </c>
      <c r="D290">
        <v>34442</v>
      </c>
      <c r="E290">
        <v>11247</v>
      </c>
      <c r="F290">
        <v>1226</v>
      </c>
      <c r="G290">
        <v>79</v>
      </c>
    </row>
    <row r="291" spans="1:7">
      <c r="A291" s="1">
        <v>44882</v>
      </c>
      <c r="B291" s="2">
        <f>YEAR(TRA[[#This Row],[date]])</f>
        <v>2022</v>
      </c>
      <c r="C291">
        <v>7315</v>
      </c>
      <c r="D291">
        <v>24683</v>
      </c>
      <c r="E291">
        <v>8304</v>
      </c>
      <c r="F291">
        <v>1797</v>
      </c>
      <c r="G291">
        <v>99</v>
      </c>
    </row>
    <row r="292" spans="1:7">
      <c r="A292" s="1">
        <v>44883</v>
      </c>
      <c r="B292" s="2">
        <f>YEAR(TRA[[#This Row],[date]])</f>
        <v>2022</v>
      </c>
      <c r="C292">
        <v>3882</v>
      </c>
      <c r="D292">
        <v>13079</v>
      </c>
      <c r="E292">
        <v>4587</v>
      </c>
      <c r="F292">
        <v>954</v>
      </c>
      <c r="G292">
        <v>94</v>
      </c>
    </row>
    <row r="293" spans="1:7">
      <c r="A293" s="1">
        <v>44884</v>
      </c>
      <c r="B293" s="2">
        <f>YEAR(TRA[[#This Row],[date]])</f>
        <v>2022</v>
      </c>
      <c r="C293">
        <v>2425</v>
      </c>
      <c r="D293">
        <v>8359</v>
      </c>
      <c r="E293">
        <v>2814</v>
      </c>
      <c r="F293">
        <v>510</v>
      </c>
      <c r="G293">
        <v>90</v>
      </c>
    </row>
    <row r="294" spans="1:7">
      <c r="A294" s="1">
        <v>44885</v>
      </c>
      <c r="B294" s="2">
        <f>YEAR(TRA[[#This Row],[date]])</f>
        <v>2022</v>
      </c>
      <c r="C294">
        <v>2476</v>
      </c>
      <c r="D294">
        <v>8463</v>
      </c>
      <c r="E294">
        <v>2855</v>
      </c>
      <c r="F294">
        <v>414</v>
      </c>
      <c r="G294">
        <v>81</v>
      </c>
    </row>
    <row r="295" spans="1:7">
      <c r="A295" s="1">
        <v>44886</v>
      </c>
      <c r="B295" s="2">
        <f>YEAR(TRA[[#This Row],[date]])</f>
        <v>2022</v>
      </c>
      <c r="C295">
        <v>2454</v>
      </c>
      <c r="D295">
        <v>9306</v>
      </c>
      <c r="E295">
        <v>3034</v>
      </c>
      <c r="F295">
        <v>477</v>
      </c>
      <c r="G295">
        <v>97</v>
      </c>
    </row>
    <row r="296" spans="1:7">
      <c r="A296" s="1">
        <v>44887</v>
      </c>
      <c r="B296" s="2">
        <f>YEAR(TRA[[#This Row],[date]])</f>
        <v>2022</v>
      </c>
      <c r="C296">
        <v>1947</v>
      </c>
      <c r="D296">
        <v>7482</v>
      </c>
      <c r="E296">
        <v>2387</v>
      </c>
      <c r="F296">
        <v>388</v>
      </c>
      <c r="G296">
        <v>111</v>
      </c>
    </row>
    <row r="297" spans="1:7">
      <c r="A297" s="1">
        <v>44888</v>
      </c>
      <c r="B297" s="2">
        <f>YEAR(TRA[[#This Row],[date]])</f>
        <v>2022</v>
      </c>
      <c r="C297">
        <v>1490</v>
      </c>
      <c r="D297">
        <v>5636</v>
      </c>
      <c r="E297">
        <v>1758</v>
      </c>
      <c r="F297">
        <v>278</v>
      </c>
      <c r="G297">
        <v>124</v>
      </c>
    </row>
    <row r="298" spans="1:7">
      <c r="A298" s="1">
        <v>44889</v>
      </c>
      <c r="B298" s="2">
        <f>YEAR(TRA[[#This Row],[date]])</f>
        <v>2022</v>
      </c>
      <c r="C298">
        <v>1111</v>
      </c>
      <c r="D298">
        <v>4097</v>
      </c>
      <c r="E298">
        <v>1335</v>
      </c>
      <c r="F298">
        <v>198</v>
      </c>
      <c r="G298">
        <v>137</v>
      </c>
    </row>
    <row r="299" spans="1:7">
      <c r="A299" s="1">
        <v>44890</v>
      </c>
      <c r="B299" s="2">
        <f>YEAR(TRA[[#This Row],[date]])</f>
        <v>2022</v>
      </c>
      <c r="C299">
        <v>1092</v>
      </c>
      <c r="D299">
        <v>4166</v>
      </c>
      <c r="E299">
        <v>1290</v>
      </c>
      <c r="F299">
        <v>228</v>
      </c>
      <c r="G299">
        <v>117</v>
      </c>
    </row>
    <row r="300" spans="1:7">
      <c r="A300" s="1">
        <v>44891</v>
      </c>
      <c r="B300" s="2">
        <f>YEAR(TRA[[#This Row],[date]])</f>
        <v>2022</v>
      </c>
      <c r="C300">
        <v>1070</v>
      </c>
      <c r="D300">
        <v>3823</v>
      </c>
      <c r="E300">
        <v>1230</v>
      </c>
      <c r="F300">
        <v>215</v>
      </c>
      <c r="G300">
        <v>94</v>
      </c>
    </row>
    <row r="301" spans="1:7">
      <c r="A301" s="1">
        <v>44892</v>
      </c>
      <c r="B301" s="2">
        <f>YEAR(TRA[[#This Row],[date]])</f>
        <v>2022</v>
      </c>
      <c r="C301">
        <v>1038</v>
      </c>
      <c r="D301">
        <v>3748</v>
      </c>
      <c r="E301">
        <v>1196</v>
      </c>
      <c r="F301">
        <v>183</v>
      </c>
      <c r="G301">
        <v>135</v>
      </c>
    </row>
    <row r="302" spans="1:7">
      <c r="A302" s="1">
        <v>44893</v>
      </c>
      <c r="B302" s="2">
        <f>YEAR(TRA[[#This Row],[date]])</f>
        <v>2022</v>
      </c>
      <c r="C302">
        <v>2179</v>
      </c>
      <c r="D302">
        <v>9463</v>
      </c>
      <c r="E302">
        <v>2739</v>
      </c>
      <c r="F302">
        <v>578</v>
      </c>
      <c r="G302">
        <v>160</v>
      </c>
    </row>
    <row r="303" spans="1:7">
      <c r="A303" s="1">
        <v>44894</v>
      </c>
      <c r="B303" s="2">
        <f>YEAR(TRA[[#This Row],[date]])</f>
        <v>2022</v>
      </c>
      <c r="C303">
        <v>2047</v>
      </c>
      <c r="D303">
        <v>8804</v>
      </c>
      <c r="E303">
        <v>2586</v>
      </c>
      <c r="F303">
        <v>561</v>
      </c>
      <c r="G303">
        <v>165</v>
      </c>
    </row>
    <row r="304" spans="1:7">
      <c r="A304" s="1">
        <v>44895</v>
      </c>
      <c r="B304" s="2">
        <f>YEAR(TRA[[#This Row],[date]])</f>
        <v>2022</v>
      </c>
      <c r="C304">
        <v>1812</v>
      </c>
      <c r="D304">
        <v>7907</v>
      </c>
      <c r="E304">
        <v>2330</v>
      </c>
      <c r="F304">
        <v>408</v>
      </c>
      <c r="G304">
        <v>165</v>
      </c>
    </row>
    <row r="305" spans="1:7">
      <c r="A305" s="1">
        <v>44896</v>
      </c>
      <c r="B305" s="2">
        <f>YEAR(TRA[[#This Row],[date]])</f>
        <v>2022</v>
      </c>
      <c r="C305">
        <v>1651</v>
      </c>
      <c r="D305">
        <v>6934</v>
      </c>
      <c r="E305">
        <v>2127</v>
      </c>
      <c r="F305">
        <v>404</v>
      </c>
      <c r="G305">
        <v>145</v>
      </c>
    </row>
    <row r="306" spans="1:7">
      <c r="A306" s="1">
        <v>44897</v>
      </c>
      <c r="B306" s="2">
        <f>YEAR(TRA[[#This Row],[date]])</f>
        <v>2022</v>
      </c>
      <c r="C306">
        <v>1392</v>
      </c>
      <c r="D306">
        <v>6520</v>
      </c>
      <c r="E306">
        <v>1755</v>
      </c>
      <c r="F306">
        <v>327</v>
      </c>
      <c r="G306">
        <v>188</v>
      </c>
    </row>
    <row r="307" spans="1:7">
      <c r="A307" s="1">
        <v>44898</v>
      </c>
      <c r="B307" s="2">
        <f>YEAR(TRA[[#This Row],[date]])</f>
        <v>2022</v>
      </c>
      <c r="C307">
        <v>989</v>
      </c>
      <c r="D307">
        <v>3685</v>
      </c>
      <c r="E307">
        <v>1160</v>
      </c>
      <c r="F307">
        <v>224</v>
      </c>
      <c r="G307">
        <v>129</v>
      </c>
    </row>
    <row r="308" spans="1:7">
      <c r="A308" s="1">
        <v>44899</v>
      </c>
      <c r="B308" s="2">
        <f>YEAR(TRA[[#This Row],[date]])</f>
        <v>2022</v>
      </c>
      <c r="C308">
        <v>1236</v>
      </c>
      <c r="D308">
        <v>5126</v>
      </c>
      <c r="E308">
        <v>1442</v>
      </c>
      <c r="F308">
        <v>207</v>
      </c>
      <c r="G308">
        <v>117</v>
      </c>
    </row>
    <row r="309" spans="1:7">
      <c r="A309" s="1">
        <v>44900</v>
      </c>
      <c r="B309" s="2">
        <f>YEAR(TRA[[#This Row],[date]])</f>
        <v>2022</v>
      </c>
      <c r="C309">
        <v>1714</v>
      </c>
      <c r="D309">
        <v>7819</v>
      </c>
      <c r="E309">
        <v>2256</v>
      </c>
      <c r="F309">
        <v>430</v>
      </c>
      <c r="G309">
        <v>163</v>
      </c>
    </row>
    <row r="310" spans="1:7">
      <c r="A310" s="1">
        <v>44901</v>
      </c>
      <c r="B310" s="2">
        <f>YEAR(TRA[[#This Row],[date]])</f>
        <v>2022</v>
      </c>
      <c r="C310">
        <v>2140</v>
      </c>
      <c r="D310">
        <v>9894</v>
      </c>
      <c r="E310">
        <v>2734</v>
      </c>
      <c r="F310">
        <v>539</v>
      </c>
      <c r="G310">
        <v>176</v>
      </c>
    </row>
    <row r="311" spans="1:7">
      <c r="A311" s="1">
        <v>44902</v>
      </c>
      <c r="B311" s="2">
        <f>YEAR(TRA[[#This Row],[date]])</f>
        <v>2022</v>
      </c>
      <c r="C311">
        <v>4256</v>
      </c>
      <c r="D311">
        <v>29158</v>
      </c>
      <c r="E311">
        <v>6458</v>
      </c>
      <c r="F311">
        <v>1647</v>
      </c>
      <c r="G311">
        <v>350</v>
      </c>
    </row>
    <row r="312" spans="1:7">
      <c r="A312" s="1">
        <v>44903</v>
      </c>
      <c r="B312" s="2">
        <f>YEAR(TRA[[#This Row],[date]])</f>
        <v>2022</v>
      </c>
      <c r="C312">
        <v>2053</v>
      </c>
      <c r="D312">
        <v>8875</v>
      </c>
      <c r="E312">
        <v>2665</v>
      </c>
      <c r="F312">
        <v>628</v>
      </c>
      <c r="G312">
        <v>160</v>
      </c>
    </row>
    <row r="313" spans="1:7">
      <c r="A313" s="1">
        <v>44904</v>
      </c>
      <c r="B313" s="2">
        <f>YEAR(TRA[[#This Row],[date]])</f>
        <v>2022</v>
      </c>
      <c r="C313">
        <v>1598</v>
      </c>
      <c r="D313">
        <v>6460</v>
      </c>
      <c r="E313">
        <v>1995</v>
      </c>
      <c r="F313">
        <v>449</v>
      </c>
      <c r="G313">
        <v>152</v>
      </c>
    </row>
    <row r="314" spans="1:7">
      <c r="A314" s="1">
        <v>44905</v>
      </c>
      <c r="B314" s="2">
        <f>YEAR(TRA[[#This Row],[date]])</f>
        <v>2022</v>
      </c>
      <c r="C314">
        <v>1065</v>
      </c>
      <c r="D314">
        <v>4000</v>
      </c>
      <c r="E314">
        <v>1268</v>
      </c>
      <c r="F314">
        <v>297</v>
      </c>
      <c r="G314">
        <v>138</v>
      </c>
    </row>
    <row r="315" spans="1:7">
      <c r="A315" s="1">
        <v>44906</v>
      </c>
      <c r="B315" s="2">
        <f>YEAR(TRA[[#This Row],[date]])</f>
        <v>2022</v>
      </c>
      <c r="C315">
        <v>1003</v>
      </c>
      <c r="D315">
        <v>4198</v>
      </c>
      <c r="E315">
        <v>1218</v>
      </c>
      <c r="F315">
        <v>223</v>
      </c>
      <c r="G315">
        <v>128</v>
      </c>
    </row>
    <row r="316" spans="1:7">
      <c r="A316" s="1">
        <v>44907</v>
      </c>
      <c r="B316" s="2">
        <f>YEAR(TRA[[#This Row],[date]])</f>
        <v>2022</v>
      </c>
      <c r="C316">
        <v>1784</v>
      </c>
      <c r="D316">
        <v>7476</v>
      </c>
      <c r="E316">
        <v>2213</v>
      </c>
      <c r="F316">
        <v>490</v>
      </c>
      <c r="G316">
        <v>152</v>
      </c>
    </row>
    <row r="317" spans="1:7">
      <c r="A317" s="1">
        <v>44908</v>
      </c>
      <c r="B317" s="2">
        <f>YEAR(TRA[[#This Row],[date]])</f>
        <v>2022</v>
      </c>
      <c r="C317">
        <v>1850</v>
      </c>
      <c r="D317">
        <v>8109</v>
      </c>
      <c r="E317">
        <v>2304</v>
      </c>
      <c r="F317">
        <v>450</v>
      </c>
      <c r="G317">
        <v>154</v>
      </c>
    </row>
    <row r="318" spans="1:7">
      <c r="A318" s="1">
        <v>44909</v>
      </c>
      <c r="B318" s="2">
        <f>YEAR(TRA[[#This Row],[date]])</f>
        <v>2022</v>
      </c>
      <c r="C318">
        <v>3850</v>
      </c>
      <c r="D318">
        <v>15743</v>
      </c>
      <c r="E318">
        <v>4722</v>
      </c>
      <c r="F318">
        <v>848</v>
      </c>
      <c r="G318">
        <v>144</v>
      </c>
    </row>
    <row r="319" spans="1:7">
      <c r="A319" s="1">
        <v>44910</v>
      </c>
      <c r="B319" s="2">
        <f>YEAR(TRA[[#This Row],[date]])</f>
        <v>2022</v>
      </c>
      <c r="C319">
        <v>2863</v>
      </c>
      <c r="D319">
        <v>11821</v>
      </c>
      <c r="E319">
        <v>3439</v>
      </c>
      <c r="F319">
        <v>549</v>
      </c>
      <c r="G319">
        <v>132</v>
      </c>
    </row>
    <row r="320" spans="1:7">
      <c r="A320" s="1">
        <v>44911</v>
      </c>
      <c r="B320" s="2">
        <f>YEAR(TRA[[#This Row],[date]])</f>
        <v>2022</v>
      </c>
      <c r="C320">
        <v>2070</v>
      </c>
      <c r="D320">
        <v>8804</v>
      </c>
      <c r="E320">
        <v>2513</v>
      </c>
      <c r="F320">
        <v>440</v>
      </c>
      <c r="G320">
        <v>166</v>
      </c>
    </row>
    <row r="321" spans="1:7">
      <c r="A321" s="1">
        <v>44912</v>
      </c>
      <c r="B321" s="2">
        <f>YEAR(TRA[[#This Row],[date]])</f>
        <v>2022</v>
      </c>
      <c r="C321">
        <v>1452</v>
      </c>
      <c r="D321">
        <v>5647</v>
      </c>
      <c r="E321">
        <v>1736</v>
      </c>
      <c r="F321">
        <v>310</v>
      </c>
      <c r="G321">
        <v>111</v>
      </c>
    </row>
    <row r="322" spans="1:7">
      <c r="A322" s="1">
        <v>44913</v>
      </c>
      <c r="B322" s="2">
        <f>YEAR(TRA[[#This Row],[date]])</f>
        <v>2022</v>
      </c>
      <c r="C322">
        <v>1309</v>
      </c>
      <c r="D322">
        <v>4985</v>
      </c>
      <c r="E322">
        <v>1580</v>
      </c>
      <c r="F322">
        <v>292</v>
      </c>
      <c r="G322">
        <v>106</v>
      </c>
    </row>
    <row r="323" spans="1:7">
      <c r="A323" s="1">
        <v>44914</v>
      </c>
      <c r="B323" s="2">
        <f>YEAR(TRA[[#This Row],[date]])</f>
        <v>2022</v>
      </c>
      <c r="C323">
        <v>1693</v>
      </c>
      <c r="D323">
        <v>6783</v>
      </c>
      <c r="E323">
        <v>2100</v>
      </c>
      <c r="F323">
        <v>431</v>
      </c>
      <c r="G323">
        <v>170</v>
      </c>
    </row>
    <row r="324" spans="1:7">
      <c r="A324" s="1">
        <v>44915</v>
      </c>
      <c r="B324" s="2">
        <f>YEAR(TRA[[#This Row],[date]])</f>
        <v>2022</v>
      </c>
      <c r="C324">
        <v>1743</v>
      </c>
      <c r="D324">
        <v>7171</v>
      </c>
      <c r="E324">
        <v>2178</v>
      </c>
      <c r="F324">
        <v>452</v>
      </c>
      <c r="G324">
        <v>164</v>
      </c>
    </row>
    <row r="325" spans="1:7">
      <c r="A325" s="1">
        <v>44916</v>
      </c>
      <c r="B325" s="2">
        <f>YEAR(TRA[[#This Row],[date]])</f>
        <v>2022</v>
      </c>
      <c r="C325">
        <v>1890</v>
      </c>
      <c r="D325">
        <v>7597</v>
      </c>
      <c r="E325">
        <v>2372</v>
      </c>
      <c r="F325">
        <v>519</v>
      </c>
      <c r="G325">
        <v>151</v>
      </c>
    </row>
    <row r="326" spans="1:7">
      <c r="A326" s="1">
        <v>44917</v>
      </c>
      <c r="B326" s="2">
        <f>YEAR(TRA[[#This Row],[date]])</f>
        <v>2022</v>
      </c>
      <c r="C326">
        <v>1544</v>
      </c>
      <c r="D326">
        <v>6421</v>
      </c>
      <c r="E326">
        <v>1894</v>
      </c>
      <c r="F326">
        <v>368</v>
      </c>
      <c r="G326">
        <v>156</v>
      </c>
    </row>
    <row r="327" spans="1:7">
      <c r="A327" s="1">
        <v>44918</v>
      </c>
      <c r="B327" s="2">
        <f>YEAR(TRA[[#This Row],[date]])</f>
        <v>2022</v>
      </c>
      <c r="C327">
        <v>1198</v>
      </c>
      <c r="D327">
        <v>4302</v>
      </c>
      <c r="E327">
        <v>1433</v>
      </c>
      <c r="F327">
        <v>271</v>
      </c>
      <c r="G327">
        <v>99</v>
      </c>
    </row>
    <row r="328" spans="1:7">
      <c r="A328" s="1">
        <v>44919</v>
      </c>
      <c r="B328" s="2">
        <f>YEAR(TRA[[#This Row],[date]])</f>
        <v>2022</v>
      </c>
      <c r="C328">
        <v>820</v>
      </c>
      <c r="D328">
        <v>3003</v>
      </c>
      <c r="E328">
        <v>981</v>
      </c>
      <c r="F328">
        <v>202</v>
      </c>
      <c r="G328">
        <v>116</v>
      </c>
    </row>
    <row r="329" spans="1:7">
      <c r="A329" s="1">
        <v>44920</v>
      </c>
      <c r="B329" s="2">
        <f>YEAR(TRA[[#This Row],[date]])</f>
        <v>2022</v>
      </c>
      <c r="C329">
        <v>735</v>
      </c>
      <c r="D329">
        <v>3053</v>
      </c>
      <c r="E329">
        <v>873</v>
      </c>
      <c r="F329">
        <v>181</v>
      </c>
      <c r="G329">
        <v>163</v>
      </c>
    </row>
    <row r="330" spans="1:7">
      <c r="A330" s="1">
        <v>44921</v>
      </c>
      <c r="B330" s="2">
        <f>YEAR(TRA[[#This Row],[date]])</f>
        <v>2022</v>
      </c>
      <c r="C330">
        <v>1062</v>
      </c>
      <c r="D330">
        <v>4284</v>
      </c>
      <c r="E330">
        <v>1270</v>
      </c>
      <c r="F330">
        <v>261</v>
      </c>
      <c r="G330">
        <v>149</v>
      </c>
    </row>
    <row r="331" spans="1:7">
      <c r="A331" s="1">
        <v>44922</v>
      </c>
      <c r="B331" s="2">
        <f>YEAR(TRA[[#This Row],[date]])</f>
        <v>2022</v>
      </c>
      <c r="C331">
        <v>1204</v>
      </c>
      <c r="D331">
        <v>4983</v>
      </c>
      <c r="E331">
        <v>1437</v>
      </c>
      <c r="F331">
        <v>266</v>
      </c>
      <c r="G331">
        <v>160</v>
      </c>
    </row>
    <row r="332" spans="1:7">
      <c r="A332" s="1">
        <v>44923</v>
      </c>
      <c r="B332" s="2">
        <f>YEAR(TRA[[#This Row],[date]])</f>
        <v>2022</v>
      </c>
      <c r="C332">
        <v>1741</v>
      </c>
      <c r="D332">
        <v>7374</v>
      </c>
      <c r="E332">
        <v>2155</v>
      </c>
      <c r="F332">
        <v>456</v>
      </c>
      <c r="G332">
        <v>190</v>
      </c>
    </row>
    <row r="333" spans="1:7">
      <c r="A333" s="1">
        <v>44924</v>
      </c>
      <c r="B333" s="2">
        <f>YEAR(TRA[[#This Row],[date]])</f>
        <v>2022</v>
      </c>
      <c r="C333">
        <v>1621</v>
      </c>
      <c r="D333">
        <v>7079</v>
      </c>
      <c r="E333">
        <v>1986</v>
      </c>
      <c r="F333">
        <v>418</v>
      </c>
      <c r="G333">
        <v>221</v>
      </c>
    </row>
    <row r="334" spans="1:7">
      <c r="A334" s="1">
        <v>44925</v>
      </c>
      <c r="B334" s="2">
        <f>YEAR(TRA[[#This Row],[date]])</f>
        <v>2022</v>
      </c>
      <c r="C334">
        <v>1407</v>
      </c>
      <c r="D334">
        <v>5356</v>
      </c>
      <c r="E334">
        <v>1678</v>
      </c>
      <c r="F334">
        <v>308</v>
      </c>
      <c r="G334">
        <v>164</v>
      </c>
    </row>
    <row r="335" spans="1:7">
      <c r="A335" s="1">
        <v>44926</v>
      </c>
      <c r="B335" s="2">
        <f>YEAR(TRA[[#This Row],[date]])</f>
        <v>2022</v>
      </c>
      <c r="C335">
        <v>1107</v>
      </c>
      <c r="D335">
        <v>4012</v>
      </c>
      <c r="E335">
        <v>1301</v>
      </c>
      <c r="F335">
        <v>253</v>
      </c>
      <c r="G335">
        <v>90</v>
      </c>
    </row>
    <row r="336" spans="1:7">
      <c r="A336" s="1">
        <v>44927</v>
      </c>
      <c r="B336" s="2">
        <f>YEAR(TRA[[#This Row],[date]])</f>
        <v>2023</v>
      </c>
      <c r="C336">
        <v>1290</v>
      </c>
      <c r="D336">
        <v>4887</v>
      </c>
      <c r="E336">
        <v>1522</v>
      </c>
      <c r="F336">
        <v>278</v>
      </c>
      <c r="G336">
        <v>124</v>
      </c>
    </row>
    <row r="337" spans="1:7">
      <c r="A337" s="1">
        <v>44928</v>
      </c>
      <c r="B337" s="2">
        <f>YEAR(TRA[[#This Row],[date]])</f>
        <v>2023</v>
      </c>
      <c r="C337">
        <v>3208</v>
      </c>
      <c r="D337">
        <v>12519</v>
      </c>
      <c r="E337">
        <v>3840</v>
      </c>
      <c r="F337">
        <v>552</v>
      </c>
      <c r="G337">
        <v>124</v>
      </c>
    </row>
    <row r="338" spans="1:7">
      <c r="A338" s="1">
        <v>44929</v>
      </c>
      <c r="B338" s="2">
        <f>YEAR(TRA[[#This Row],[date]])</f>
        <v>2023</v>
      </c>
      <c r="C338">
        <v>4813</v>
      </c>
      <c r="D338">
        <v>19933</v>
      </c>
      <c r="E338">
        <v>5920</v>
      </c>
      <c r="F338">
        <v>1096</v>
      </c>
      <c r="G338">
        <v>173</v>
      </c>
    </row>
    <row r="339" spans="1:7">
      <c r="A339" s="1">
        <v>44930</v>
      </c>
      <c r="B339" s="2">
        <f>YEAR(TRA[[#This Row],[date]])</f>
        <v>2023</v>
      </c>
      <c r="C339">
        <v>7721</v>
      </c>
      <c r="D339">
        <v>30001</v>
      </c>
      <c r="E339">
        <v>9344</v>
      </c>
      <c r="F339">
        <v>1820</v>
      </c>
      <c r="G339">
        <v>130</v>
      </c>
    </row>
    <row r="340" spans="1:7">
      <c r="A340" s="1">
        <v>44931</v>
      </c>
      <c r="B340" s="2">
        <f>YEAR(TRA[[#This Row],[date]])</f>
        <v>2023</v>
      </c>
      <c r="C340">
        <v>2661</v>
      </c>
      <c r="D340">
        <v>10505</v>
      </c>
      <c r="E340">
        <v>3206</v>
      </c>
      <c r="F340">
        <v>712</v>
      </c>
      <c r="G340">
        <v>127</v>
      </c>
    </row>
    <row r="341" spans="1:7">
      <c r="A341" s="1">
        <v>44932</v>
      </c>
      <c r="B341" s="2">
        <f>YEAR(TRA[[#This Row],[date]])</f>
        <v>2023</v>
      </c>
      <c r="C341">
        <v>1871</v>
      </c>
      <c r="D341">
        <v>7882</v>
      </c>
      <c r="E341">
        <v>2295</v>
      </c>
      <c r="F341">
        <v>432</v>
      </c>
      <c r="G341">
        <v>145</v>
      </c>
    </row>
    <row r="342" spans="1:7">
      <c r="A342" s="1">
        <v>44933</v>
      </c>
      <c r="B342" s="2">
        <f>YEAR(TRA[[#This Row],[date]])</f>
        <v>2023</v>
      </c>
      <c r="C342">
        <v>1202</v>
      </c>
      <c r="D342">
        <v>4420</v>
      </c>
      <c r="E342">
        <v>1423</v>
      </c>
      <c r="F342">
        <v>275</v>
      </c>
      <c r="G342">
        <v>113</v>
      </c>
    </row>
    <row r="343" spans="1:7">
      <c r="A343" s="1">
        <v>44934</v>
      </c>
      <c r="B343" s="2">
        <f>YEAR(TRA[[#This Row],[date]])</f>
        <v>2023</v>
      </c>
      <c r="C343">
        <v>1294</v>
      </c>
      <c r="D343">
        <v>5143</v>
      </c>
      <c r="E343">
        <v>1503</v>
      </c>
      <c r="F343">
        <v>276</v>
      </c>
      <c r="G343">
        <v>129</v>
      </c>
    </row>
    <row r="344" spans="1:7">
      <c r="A344" s="1">
        <v>44935</v>
      </c>
      <c r="B344" s="2">
        <f>YEAR(TRA[[#This Row],[date]])</f>
        <v>2023</v>
      </c>
      <c r="C344">
        <v>2131</v>
      </c>
      <c r="D344">
        <v>8856</v>
      </c>
      <c r="E344">
        <v>2562</v>
      </c>
      <c r="F344">
        <v>438</v>
      </c>
      <c r="G344">
        <v>133</v>
      </c>
    </row>
    <row r="345" spans="1:7">
      <c r="A345" s="1">
        <v>44936</v>
      </c>
      <c r="B345" s="2">
        <f>YEAR(TRA[[#This Row],[date]])</f>
        <v>2023</v>
      </c>
      <c r="C345">
        <v>2341</v>
      </c>
      <c r="D345">
        <v>10018</v>
      </c>
      <c r="E345">
        <v>2852</v>
      </c>
      <c r="F345">
        <v>520</v>
      </c>
      <c r="G345">
        <v>157</v>
      </c>
    </row>
    <row r="346" spans="1:7">
      <c r="A346" s="1">
        <v>44937</v>
      </c>
      <c r="B346" s="2">
        <f>YEAR(TRA[[#This Row],[date]])</f>
        <v>2023</v>
      </c>
      <c r="C346">
        <v>2389</v>
      </c>
      <c r="D346">
        <v>10388</v>
      </c>
      <c r="E346">
        <v>3020</v>
      </c>
      <c r="F346">
        <v>524</v>
      </c>
      <c r="G346">
        <v>142</v>
      </c>
    </row>
    <row r="347" spans="1:7">
      <c r="A347" s="1">
        <v>44938</v>
      </c>
      <c r="B347" s="2">
        <f>YEAR(TRA[[#This Row],[date]])</f>
        <v>2023</v>
      </c>
      <c r="C347">
        <v>2062</v>
      </c>
      <c r="D347">
        <v>8428</v>
      </c>
      <c r="E347">
        <v>2582</v>
      </c>
      <c r="F347">
        <v>490</v>
      </c>
      <c r="G347">
        <v>136</v>
      </c>
    </row>
    <row r="348" spans="1:7">
      <c r="A348" s="1">
        <v>44939</v>
      </c>
      <c r="B348" s="2">
        <f>YEAR(TRA[[#This Row],[date]])</f>
        <v>2023</v>
      </c>
      <c r="C348">
        <v>1902</v>
      </c>
      <c r="D348">
        <v>7908</v>
      </c>
      <c r="E348">
        <v>2390</v>
      </c>
      <c r="F348">
        <v>520</v>
      </c>
      <c r="G348">
        <v>146</v>
      </c>
    </row>
    <row r="349" spans="1:7">
      <c r="A349" s="1">
        <v>44940</v>
      </c>
      <c r="B349" s="2">
        <f>YEAR(TRA[[#This Row],[date]])</f>
        <v>2023</v>
      </c>
      <c r="C349">
        <v>1284</v>
      </c>
      <c r="D349">
        <v>4952</v>
      </c>
      <c r="E349">
        <v>1577</v>
      </c>
      <c r="F349">
        <v>326</v>
      </c>
      <c r="G349">
        <v>120</v>
      </c>
    </row>
    <row r="350" spans="1:7">
      <c r="A350" s="1">
        <v>44941</v>
      </c>
      <c r="B350" s="2">
        <f>YEAR(TRA[[#This Row],[date]])</f>
        <v>2023</v>
      </c>
      <c r="C350">
        <v>1334</v>
      </c>
      <c r="D350">
        <v>5448</v>
      </c>
      <c r="E350">
        <v>1656</v>
      </c>
      <c r="F350">
        <v>316</v>
      </c>
      <c r="G350">
        <v>124</v>
      </c>
    </row>
    <row r="351" spans="1:7">
      <c r="A351" s="1">
        <v>44942</v>
      </c>
      <c r="B351" s="2">
        <f>YEAR(TRA[[#This Row],[date]])</f>
        <v>2023</v>
      </c>
      <c r="C351">
        <v>1456</v>
      </c>
      <c r="D351">
        <v>6463</v>
      </c>
      <c r="E351">
        <v>1858</v>
      </c>
      <c r="F351">
        <v>304</v>
      </c>
      <c r="G351">
        <v>166</v>
      </c>
    </row>
    <row r="352" spans="1:7">
      <c r="A352" s="1">
        <v>44943</v>
      </c>
      <c r="B352" s="2">
        <f>YEAR(TRA[[#This Row],[date]])</f>
        <v>2023</v>
      </c>
      <c r="C352">
        <v>2209</v>
      </c>
      <c r="D352">
        <v>9858</v>
      </c>
      <c r="E352">
        <v>2806</v>
      </c>
      <c r="F352">
        <v>538</v>
      </c>
      <c r="G352">
        <v>159</v>
      </c>
    </row>
    <row r="353" spans="1:7">
      <c r="A353" s="1">
        <v>44944</v>
      </c>
      <c r="B353" s="2">
        <f>YEAR(TRA[[#This Row],[date]])</f>
        <v>2023</v>
      </c>
      <c r="C353">
        <v>2252</v>
      </c>
      <c r="D353">
        <v>9380</v>
      </c>
      <c r="E353">
        <v>2841</v>
      </c>
      <c r="F353">
        <v>589</v>
      </c>
      <c r="G353">
        <v>154</v>
      </c>
    </row>
    <row r="354" spans="1:7">
      <c r="A354" s="1">
        <v>44945</v>
      </c>
      <c r="B354" s="2">
        <f>YEAR(TRA[[#This Row],[date]])</f>
        <v>2023</v>
      </c>
      <c r="C354">
        <v>2150</v>
      </c>
      <c r="D354">
        <v>9507</v>
      </c>
      <c r="E354">
        <v>2700</v>
      </c>
      <c r="F354">
        <v>543</v>
      </c>
      <c r="G354">
        <v>153</v>
      </c>
    </row>
    <row r="355" spans="1:7">
      <c r="A355" s="1">
        <v>44946</v>
      </c>
      <c r="B355" s="2">
        <f>YEAR(TRA[[#This Row],[date]])</f>
        <v>2023</v>
      </c>
      <c r="C355">
        <v>1938</v>
      </c>
      <c r="D355">
        <v>8322</v>
      </c>
      <c r="E355">
        <v>2440</v>
      </c>
      <c r="F355">
        <v>421</v>
      </c>
      <c r="G355">
        <v>172</v>
      </c>
    </row>
    <row r="356" spans="1:7">
      <c r="A356" s="1">
        <v>44947</v>
      </c>
      <c r="B356" s="2">
        <f>YEAR(TRA[[#This Row],[date]])</f>
        <v>2023</v>
      </c>
      <c r="C356">
        <v>1431</v>
      </c>
      <c r="D356">
        <v>5560</v>
      </c>
      <c r="E356">
        <v>1741</v>
      </c>
      <c r="F356">
        <v>365</v>
      </c>
      <c r="G356">
        <v>130</v>
      </c>
    </row>
    <row r="357" spans="1:7">
      <c r="A357" s="1">
        <v>44948</v>
      </c>
      <c r="B357" s="2">
        <f>YEAR(TRA[[#This Row],[date]])</f>
        <v>2023</v>
      </c>
      <c r="C357">
        <v>2325</v>
      </c>
      <c r="D357">
        <v>8399</v>
      </c>
      <c r="E357">
        <v>2757</v>
      </c>
      <c r="F357">
        <v>398</v>
      </c>
      <c r="G357">
        <v>100</v>
      </c>
    </row>
    <row r="358" spans="1:7">
      <c r="A358" s="1">
        <v>44949</v>
      </c>
      <c r="B358" s="2">
        <f>YEAR(TRA[[#This Row],[date]])</f>
        <v>2023</v>
      </c>
      <c r="C358">
        <v>2627</v>
      </c>
      <c r="D358">
        <v>11517</v>
      </c>
      <c r="E358">
        <v>3303</v>
      </c>
      <c r="F358">
        <v>571</v>
      </c>
      <c r="G358">
        <v>162</v>
      </c>
    </row>
    <row r="359" spans="1:7">
      <c r="A359" s="1">
        <v>44950</v>
      </c>
      <c r="B359" s="2">
        <f>YEAR(TRA[[#This Row],[date]])</f>
        <v>2023</v>
      </c>
      <c r="C359">
        <v>2842</v>
      </c>
      <c r="D359">
        <v>12622</v>
      </c>
      <c r="E359">
        <v>3558</v>
      </c>
      <c r="F359">
        <v>621</v>
      </c>
      <c r="G359">
        <v>160</v>
      </c>
    </row>
    <row r="360" spans="1:7">
      <c r="A360" s="1">
        <v>44951</v>
      </c>
      <c r="B360" s="2">
        <f>YEAR(TRA[[#This Row],[date]])</f>
        <v>2023</v>
      </c>
      <c r="C360">
        <v>2919</v>
      </c>
      <c r="D360">
        <v>12116</v>
      </c>
      <c r="E360">
        <v>3674</v>
      </c>
      <c r="F360">
        <v>668</v>
      </c>
      <c r="G360">
        <v>146</v>
      </c>
    </row>
    <row r="361" spans="1:7">
      <c r="A361" s="1">
        <v>44952</v>
      </c>
      <c r="B361" s="2">
        <f>YEAR(TRA[[#This Row],[date]])</f>
        <v>2023</v>
      </c>
      <c r="C361">
        <v>2786</v>
      </c>
      <c r="D361">
        <v>11842</v>
      </c>
      <c r="E361">
        <v>3447</v>
      </c>
      <c r="F361">
        <v>537</v>
      </c>
      <c r="G361">
        <v>155</v>
      </c>
    </row>
    <row r="362" spans="1:7">
      <c r="A362" s="1">
        <v>44953</v>
      </c>
      <c r="B362" s="2">
        <f>YEAR(TRA[[#This Row],[date]])</f>
        <v>2023</v>
      </c>
      <c r="C362">
        <v>2382</v>
      </c>
      <c r="D362">
        <v>10047</v>
      </c>
      <c r="E362">
        <v>2996</v>
      </c>
      <c r="F362">
        <v>533</v>
      </c>
      <c r="G362">
        <v>148</v>
      </c>
    </row>
    <row r="363" spans="1:7">
      <c r="A363" s="1">
        <v>44954</v>
      </c>
      <c r="B363" s="2">
        <f>YEAR(TRA[[#This Row],[date]])</f>
        <v>2023</v>
      </c>
      <c r="C363">
        <v>1706</v>
      </c>
      <c r="D363">
        <v>6936</v>
      </c>
      <c r="E363">
        <v>2080</v>
      </c>
      <c r="F363">
        <v>310</v>
      </c>
      <c r="G363">
        <v>132</v>
      </c>
    </row>
    <row r="364" spans="1:7">
      <c r="A364" s="1">
        <v>44955</v>
      </c>
      <c r="B364" s="2">
        <f>YEAR(TRA[[#This Row],[date]])</f>
        <v>2023</v>
      </c>
      <c r="C364">
        <v>3212</v>
      </c>
      <c r="D364">
        <v>11975</v>
      </c>
      <c r="E364">
        <v>3830</v>
      </c>
      <c r="F364">
        <v>444</v>
      </c>
      <c r="G364">
        <v>98</v>
      </c>
    </row>
    <row r="365" spans="1:7">
      <c r="A365" s="1">
        <v>44956</v>
      </c>
      <c r="B365" s="2">
        <f>YEAR(TRA[[#This Row],[date]])</f>
        <v>2023</v>
      </c>
      <c r="C365">
        <v>3958</v>
      </c>
      <c r="D365">
        <v>16517</v>
      </c>
      <c r="E365">
        <v>4883</v>
      </c>
      <c r="F365">
        <v>763</v>
      </c>
      <c r="G365">
        <v>149</v>
      </c>
    </row>
    <row r="366" spans="1:7">
      <c r="A366" s="1">
        <v>44957</v>
      </c>
      <c r="B366" s="2">
        <f>YEAR(TRA[[#This Row],[date]])</f>
        <v>2023</v>
      </c>
      <c r="C366">
        <v>4051</v>
      </c>
      <c r="D366">
        <v>17993</v>
      </c>
      <c r="E366">
        <v>5114</v>
      </c>
      <c r="F366">
        <v>814</v>
      </c>
      <c r="G366">
        <v>152</v>
      </c>
    </row>
    <row r="367" spans="1:7">
      <c r="A367" s="1">
        <v>44958</v>
      </c>
      <c r="B367" s="2">
        <f>YEAR(TRA[[#This Row],[date]])</f>
        <v>2023</v>
      </c>
      <c r="C367">
        <v>4393</v>
      </c>
      <c r="D367">
        <v>18337</v>
      </c>
      <c r="E367">
        <v>5354</v>
      </c>
      <c r="F367">
        <v>798</v>
      </c>
      <c r="G367">
        <v>137</v>
      </c>
    </row>
    <row r="368" spans="1:7">
      <c r="A368" s="1">
        <v>44959</v>
      </c>
      <c r="B368" s="2">
        <f>YEAR(TRA[[#This Row],[date]])</f>
        <v>2023</v>
      </c>
      <c r="C368">
        <v>4851</v>
      </c>
      <c r="D368">
        <v>19186</v>
      </c>
      <c r="E368">
        <v>5815</v>
      </c>
      <c r="F368">
        <v>741</v>
      </c>
      <c r="G368">
        <v>126</v>
      </c>
    </row>
    <row r="369" spans="1:7">
      <c r="A369" s="1">
        <v>44960</v>
      </c>
      <c r="B369" s="2">
        <f>YEAR(TRA[[#This Row],[date]])</f>
        <v>2023</v>
      </c>
      <c r="C369">
        <v>6366</v>
      </c>
      <c r="D369">
        <v>23321</v>
      </c>
      <c r="E369">
        <v>7448</v>
      </c>
      <c r="F369">
        <v>902</v>
      </c>
      <c r="G369">
        <v>96</v>
      </c>
    </row>
    <row r="370" spans="1:7">
      <c r="A370" s="1">
        <v>44961</v>
      </c>
      <c r="B370" s="2">
        <f>YEAR(TRA[[#This Row],[date]])</f>
        <v>2023</v>
      </c>
      <c r="C370">
        <v>7618</v>
      </c>
      <c r="D370">
        <v>27906</v>
      </c>
      <c r="E370">
        <v>8796</v>
      </c>
      <c r="F370">
        <v>1118</v>
      </c>
      <c r="G370">
        <v>79</v>
      </c>
    </row>
    <row r="371" spans="1:7">
      <c r="A371" s="1">
        <v>44962</v>
      </c>
      <c r="B371" s="2">
        <f>YEAR(TRA[[#This Row],[date]])</f>
        <v>2023</v>
      </c>
      <c r="C371">
        <v>65106</v>
      </c>
      <c r="D371">
        <v>180432</v>
      </c>
      <c r="E371">
        <v>69413</v>
      </c>
      <c r="F371">
        <v>15202</v>
      </c>
      <c r="G371">
        <v>56</v>
      </c>
    </row>
    <row r="372" spans="1:7">
      <c r="A372" s="1">
        <v>44963</v>
      </c>
      <c r="B372" s="2">
        <f>YEAR(TRA[[#This Row],[date]])</f>
        <v>2023</v>
      </c>
      <c r="C372">
        <v>21736</v>
      </c>
      <c r="D372">
        <v>66012</v>
      </c>
      <c r="E372">
        <v>24058</v>
      </c>
      <c r="F372">
        <v>3953</v>
      </c>
      <c r="G372">
        <v>72</v>
      </c>
    </row>
    <row r="373" spans="1:7">
      <c r="A373" s="1">
        <v>44964</v>
      </c>
      <c r="B373" s="2">
        <f>YEAR(TRA[[#This Row],[date]])</f>
        <v>2023</v>
      </c>
      <c r="C373">
        <v>9349</v>
      </c>
      <c r="D373">
        <v>30780</v>
      </c>
      <c r="E373">
        <v>10672</v>
      </c>
      <c r="F373">
        <v>2000</v>
      </c>
      <c r="G373">
        <v>99</v>
      </c>
    </row>
    <row r="374" spans="1:7">
      <c r="A374" s="1">
        <v>44965</v>
      </c>
      <c r="B374" s="2">
        <f>YEAR(TRA[[#This Row],[date]])</f>
        <v>2023</v>
      </c>
      <c r="C374">
        <v>5839</v>
      </c>
      <c r="D374">
        <v>21176</v>
      </c>
      <c r="E374">
        <v>6944</v>
      </c>
      <c r="F374">
        <v>1318</v>
      </c>
      <c r="G374">
        <v>114</v>
      </c>
    </row>
    <row r="375" spans="1:7">
      <c r="A375" s="1">
        <v>44966</v>
      </c>
      <c r="B375" s="2">
        <f>YEAR(TRA[[#This Row],[date]])</f>
        <v>2023</v>
      </c>
      <c r="C375">
        <v>4395</v>
      </c>
      <c r="D375">
        <v>16272</v>
      </c>
      <c r="E375">
        <v>5240</v>
      </c>
      <c r="F375">
        <v>1106</v>
      </c>
      <c r="G375">
        <v>126</v>
      </c>
    </row>
    <row r="376" spans="1:7">
      <c r="A376" s="1">
        <v>44967</v>
      </c>
      <c r="B376" s="2">
        <f>YEAR(TRA[[#This Row],[date]])</f>
        <v>2023</v>
      </c>
      <c r="C376">
        <v>3178</v>
      </c>
      <c r="D376">
        <v>11740</v>
      </c>
      <c r="E376">
        <v>3831</v>
      </c>
      <c r="F376">
        <v>844</v>
      </c>
      <c r="G376">
        <v>142</v>
      </c>
    </row>
    <row r="377" spans="1:7">
      <c r="A377" s="1">
        <v>44968</v>
      </c>
      <c r="B377" s="2">
        <f>YEAR(TRA[[#This Row],[date]])</f>
        <v>2023</v>
      </c>
      <c r="C377">
        <v>2485</v>
      </c>
      <c r="D377">
        <v>8561</v>
      </c>
      <c r="E377">
        <v>2879</v>
      </c>
      <c r="F377">
        <v>683</v>
      </c>
      <c r="G377">
        <v>148</v>
      </c>
    </row>
    <row r="378" spans="1:7">
      <c r="A378" s="1">
        <v>44969</v>
      </c>
      <c r="B378" s="2">
        <f>YEAR(TRA[[#This Row],[date]])</f>
        <v>2023</v>
      </c>
      <c r="C378">
        <v>2243</v>
      </c>
      <c r="D378">
        <v>7739</v>
      </c>
      <c r="E378">
        <v>2591</v>
      </c>
      <c r="F378">
        <v>554</v>
      </c>
      <c r="G378">
        <v>139</v>
      </c>
    </row>
    <row r="379" spans="1:7">
      <c r="A379" s="1">
        <v>44970</v>
      </c>
      <c r="B379" s="2">
        <f>YEAR(TRA[[#This Row],[date]])</f>
        <v>2023</v>
      </c>
      <c r="C379">
        <v>2815</v>
      </c>
      <c r="D379">
        <v>11892</v>
      </c>
      <c r="E379">
        <v>3553</v>
      </c>
      <c r="F379">
        <v>891</v>
      </c>
      <c r="G379">
        <v>187</v>
      </c>
    </row>
    <row r="380" spans="1:7">
      <c r="A380" s="1">
        <v>44971</v>
      </c>
      <c r="B380" s="2">
        <f>YEAR(TRA[[#This Row],[date]])</f>
        <v>2023</v>
      </c>
      <c r="C380">
        <v>2617</v>
      </c>
      <c r="D380">
        <v>12639</v>
      </c>
      <c r="E380">
        <v>3377</v>
      </c>
      <c r="F380">
        <v>872</v>
      </c>
      <c r="G380">
        <v>198</v>
      </c>
    </row>
    <row r="381" spans="1:7">
      <c r="A381" s="1">
        <v>44972</v>
      </c>
      <c r="B381" s="2">
        <f>YEAR(TRA[[#This Row],[date]])</f>
        <v>2023</v>
      </c>
      <c r="C381">
        <v>2835</v>
      </c>
      <c r="D381">
        <v>12653</v>
      </c>
      <c r="E381">
        <v>3742</v>
      </c>
      <c r="F381">
        <v>988</v>
      </c>
      <c r="G381">
        <v>182</v>
      </c>
    </row>
    <row r="382" spans="1:7">
      <c r="A382" s="1">
        <v>44973</v>
      </c>
      <c r="B382" s="2">
        <f>YEAR(TRA[[#This Row],[date]])</f>
        <v>2023</v>
      </c>
      <c r="C382">
        <v>2910</v>
      </c>
      <c r="D382">
        <v>12080</v>
      </c>
      <c r="E382">
        <v>3656</v>
      </c>
      <c r="F382">
        <v>1082</v>
      </c>
      <c r="G382">
        <v>191</v>
      </c>
    </row>
    <row r="383" spans="1:7">
      <c r="A383" s="1">
        <v>44974</v>
      </c>
      <c r="B383" s="2">
        <f>YEAR(TRA[[#This Row],[date]])</f>
        <v>2023</v>
      </c>
      <c r="C383">
        <v>2142</v>
      </c>
      <c r="D383">
        <v>8522</v>
      </c>
      <c r="E383">
        <v>2631</v>
      </c>
      <c r="F383">
        <v>758</v>
      </c>
      <c r="G383">
        <v>179</v>
      </c>
    </row>
    <row r="384" spans="1:7">
      <c r="A384" s="1">
        <v>44975</v>
      </c>
      <c r="B384" s="2">
        <f>YEAR(TRA[[#This Row],[date]])</f>
        <v>2023</v>
      </c>
      <c r="C384">
        <v>1359</v>
      </c>
      <c r="D384">
        <v>5421</v>
      </c>
      <c r="E384">
        <v>1655</v>
      </c>
      <c r="F384">
        <v>430</v>
      </c>
      <c r="G384">
        <v>192</v>
      </c>
    </row>
    <row r="385" spans="1:7">
      <c r="A385" s="1">
        <v>44976</v>
      </c>
      <c r="B385" s="2">
        <f>YEAR(TRA[[#This Row],[date]])</f>
        <v>2023</v>
      </c>
      <c r="C385">
        <v>1705</v>
      </c>
      <c r="D385">
        <v>6358</v>
      </c>
      <c r="E385">
        <v>2029</v>
      </c>
      <c r="F385">
        <v>623</v>
      </c>
      <c r="G385">
        <v>170</v>
      </c>
    </row>
    <row r="386" spans="1:7">
      <c r="A386" s="1">
        <v>44977</v>
      </c>
      <c r="B386" s="2">
        <f>YEAR(TRA[[#This Row],[date]])</f>
        <v>2023</v>
      </c>
      <c r="C386">
        <v>1876</v>
      </c>
      <c r="D386">
        <v>7863</v>
      </c>
      <c r="E386">
        <v>2390</v>
      </c>
      <c r="F386">
        <v>659</v>
      </c>
      <c r="G386">
        <v>170</v>
      </c>
    </row>
    <row r="387" spans="1:7">
      <c r="A387" s="1">
        <v>44978</v>
      </c>
      <c r="B387" s="2">
        <f>YEAR(TRA[[#This Row],[date]])</f>
        <v>2023</v>
      </c>
      <c r="C387">
        <v>2378</v>
      </c>
      <c r="D387">
        <v>10328</v>
      </c>
      <c r="E387">
        <v>3124</v>
      </c>
      <c r="F387">
        <v>929</v>
      </c>
      <c r="G387">
        <v>174</v>
      </c>
    </row>
    <row r="388" spans="1:7">
      <c r="A388" s="1">
        <v>44979</v>
      </c>
      <c r="B388" s="2">
        <f>YEAR(TRA[[#This Row],[date]])</f>
        <v>2023</v>
      </c>
      <c r="C388">
        <v>2715</v>
      </c>
      <c r="D388">
        <v>11646</v>
      </c>
      <c r="E388">
        <v>3483</v>
      </c>
      <c r="F388">
        <v>1070</v>
      </c>
      <c r="G388">
        <v>182</v>
      </c>
    </row>
    <row r="389" spans="1:7">
      <c r="A389" s="1">
        <v>44980</v>
      </c>
      <c r="B389" s="2">
        <f>YEAR(TRA[[#This Row],[date]])</f>
        <v>2023</v>
      </c>
      <c r="C389">
        <v>2387</v>
      </c>
      <c r="D389">
        <v>11081</v>
      </c>
      <c r="E389">
        <v>3118</v>
      </c>
      <c r="F389">
        <v>858</v>
      </c>
      <c r="G389">
        <v>203</v>
      </c>
    </row>
    <row r="390" spans="1:7">
      <c r="A390" s="1">
        <v>44981</v>
      </c>
      <c r="B390" s="2">
        <f>YEAR(TRA[[#This Row],[date]])</f>
        <v>2023</v>
      </c>
      <c r="C390">
        <v>2049</v>
      </c>
      <c r="D390">
        <v>9244</v>
      </c>
      <c r="E390">
        <v>2659</v>
      </c>
      <c r="F390">
        <v>723</v>
      </c>
      <c r="G390">
        <v>190</v>
      </c>
    </row>
    <row r="391" spans="1:7">
      <c r="A391" s="1">
        <v>44982</v>
      </c>
      <c r="B391" s="2">
        <f>YEAR(TRA[[#This Row],[date]])</f>
        <v>2023</v>
      </c>
      <c r="C391">
        <v>1355</v>
      </c>
      <c r="D391">
        <v>5747</v>
      </c>
      <c r="E391">
        <v>1718</v>
      </c>
      <c r="F391">
        <v>446</v>
      </c>
      <c r="G391">
        <v>179</v>
      </c>
    </row>
    <row r="392" spans="1:7">
      <c r="A392" s="1">
        <v>44983</v>
      </c>
      <c r="B392" s="2">
        <f>YEAR(TRA[[#This Row],[date]])</f>
        <v>2023</v>
      </c>
      <c r="C392">
        <v>1537</v>
      </c>
      <c r="D392">
        <v>7705</v>
      </c>
      <c r="E392">
        <v>1964</v>
      </c>
      <c r="F392">
        <v>526</v>
      </c>
      <c r="G392">
        <v>212</v>
      </c>
    </row>
    <row r="393" spans="1:7">
      <c r="A393" s="1">
        <v>44984</v>
      </c>
      <c r="B393" s="2">
        <f>YEAR(TRA[[#This Row],[date]])</f>
        <v>2023</v>
      </c>
      <c r="C393">
        <v>2940</v>
      </c>
      <c r="D393">
        <v>17107</v>
      </c>
      <c r="E393">
        <v>4185</v>
      </c>
      <c r="F393">
        <v>1176</v>
      </c>
      <c r="G393">
        <v>287</v>
      </c>
    </row>
    <row r="394" spans="1:7">
      <c r="A394" s="1">
        <v>44985</v>
      </c>
      <c r="B394" s="2">
        <f>YEAR(TRA[[#This Row],[date]])</f>
        <v>2023</v>
      </c>
      <c r="C394">
        <v>3627</v>
      </c>
      <c r="D394">
        <v>22170</v>
      </c>
      <c r="E394">
        <v>5350</v>
      </c>
      <c r="F394">
        <v>1548</v>
      </c>
      <c r="G394">
        <v>294</v>
      </c>
    </row>
    <row r="395" spans="1:7">
      <c r="A395" s="1">
        <v>44986</v>
      </c>
      <c r="B395" s="2">
        <f>YEAR(TRA[[#This Row],[date]])</f>
        <v>2023</v>
      </c>
      <c r="C395">
        <v>3171</v>
      </c>
      <c r="D395">
        <v>18295</v>
      </c>
      <c r="E395">
        <v>4468</v>
      </c>
      <c r="F395">
        <v>1284</v>
      </c>
      <c r="G395">
        <v>261</v>
      </c>
    </row>
    <row r="396" spans="1:7">
      <c r="A396" s="1">
        <v>44987</v>
      </c>
      <c r="B396" s="2">
        <f>YEAR(TRA[[#This Row],[date]])</f>
        <v>2023</v>
      </c>
      <c r="C396">
        <v>2612</v>
      </c>
      <c r="D396">
        <v>10955</v>
      </c>
      <c r="E396">
        <v>3245</v>
      </c>
      <c r="F396">
        <v>761</v>
      </c>
      <c r="G396">
        <v>161</v>
      </c>
    </row>
    <row r="397" spans="1:7">
      <c r="A397" s="1">
        <v>44988</v>
      </c>
      <c r="B397" s="2">
        <f>YEAR(TRA[[#This Row],[date]])</f>
        <v>2023</v>
      </c>
      <c r="C397">
        <v>2364</v>
      </c>
      <c r="D397">
        <v>9465</v>
      </c>
      <c r="E397">
        <v>2898</v>
      </c>
      <c r="F397">
        <v>699</v>
      </c>
      <c r="G397">
        <v>157</v>
      </c>
    </row>
    <row r="398" spans="1:7">
      <c r="A398" s="1">
        <v>44989</v>
      </c>
      <c r="B398" s="2">
        <f>YEAR(TRA[[#This Row],[date]])</f>
        <v>2023</v>
      </c>
      <c r="C398">
        <v>1644</v>
      </c>
      <c r="D398">
        <v>6164</v>
      </c>
      <c r="E398">
        <v>1942</v>
      </c>
      <c r="F398">
        <v>491</v>
      </c>
      <c r="G398">
        <v>148</v>
      </c>
    </row>
    <row r="399" spans="1:7">
      <c r="A399" s="1">
        <v>44990</v>
      </c>
      <c r="B399" s="2">
        <f>YEAR(TRA[[#This Row],[date]])</f>
        <v>2023</v>
      </c>
      <c r="C399">
        <v>1160</v>
      </c>
      <c r="D399">
        <v>4484</v>
      </c>
      <c r="E399">
        <v>1390</v>
      </c>
      <c r="F399">
        <v>345</v>
      </c>
      <c r="G399">
        <v>132</v>
      </c>
    </row>
    <row r="400" spans="1:7">
      <c r="A400" s="1">
        <v>44991</v>
      </c>
      <c r="B400" s="2">
        <f>YEAR(TRA[[#This Row],[date]])</f>
        <v>2023</v>
      </c>
      <c r="C400">
        <v>1835</v>
      </c>
      <c r="D400">
        <v>8505</v>
      </c>
      <c r="E400">
        <v>2386</v>
      </c>
      <c r="F400">
        <v>525</v>
      </c>
      <c r="G400">
        <v>188</v>
      </c>
    </row>
    <row r="401" spans="1:7">
      <c r="A401" s="1">
        <v>44992</v>
      </c>
      <c r="B401" s="2">
        <f>YEAR(TRA[[#This Row],[date]])</f>
        <v>2023</v>
      </c>
      <c r="C401">
        <v>2104</v>
      </c>
      <c r="D401">
        <v>9600</v>
      </c>
      <c r="E401">
        <v>2649</v>
      </c>
      <c r="F401">
        <v>532</v>
      </c>
      <c r="G401">
        <v>192</v>
      </c>
    </row>
    <row r="402" spans="1:7">
      <c r="A402" s="1">
        <v>44993</v>
      </c>
      <c r="B402" s="2">
        <f>YEAR(TRA[[#This Row],[date]])</f>
        <v>2023</v>
      </c>
      <c r="C402">
        <v>2020</v>
      </c>
      <c r="D402">
        <v>8962</v>
      </c>
      <c r="E402">
        <v>2642</v>
      </c>
      <c r="F402">
        <v>496</v>
      </c>
      <c r="G402">
        <v>167</v>
      </c>
    </row>
    <row r="403" spans="1:7">
      <c r="A403" s="1">
        <v>44994</v>
      </c>
      <c r="B403" s="2">
        <f>YEAR(TRA[[#This Row],[date]])</f>
        <v>2023</v>
      </c>
      <c r="C403">
        <v>1859</v>
      </c>
      <c r="D403">
        <v>8820</v>
      </c>
      <c r="E403">
        <v>2432</v>
      </c>
      <c r="F403">
        <v>513</v>
      </c>
      <c r="G403">
        <v>205</v>
      </c>
    </row>
    <row r="404" spans="1:7">
      <c r="A404" s="1">
        <v>44995</v>
      </c>
      <c r="B404" s="2">
        <f>YEAR(TRA[[#This Row],[date]])</f>
        <v>2023</v>
      </c>
      <c r="C404">
        <v>1807</v>
      </c>
      <c r="D404">
        <v>8612</v>
      </c>
      <c r="E404">
        <v>2319</v>
      </c>
      <c r="F404">
        <v>517</v>
      </c>
      <c r="G404">
        <v>198</v>
      </c>
    </row>
    <row r="405" spans="1:7">
      <c r="A405" s="1">
        <v>44996</v>
      </c>
      <c r="B405" s="2">
        <f>YEAR(TRA[[#This Row],[date]])</f>
        <v>2023</v>
      </c>
      <c r="C405">
        <v>1063</v>
      </c>
      <c r="D405">
        <v>4907</v>
      </c>
      <c r="E405">
        <v>1335</v>
      </c>
      <c r="F405">
        <v>321</v>
      </c>
      <c r="G405">
        <v>162</v>
      </c>
    </row>
    <row r="406" spans="1:7">
      <c r="A406" s="1">
        <v>44997</v>
      </c>
      <c r="B406" s="2">
        <f>YEAR(TRA[[#This Row],[date]])</f>
        <v>2023</v>
      </c>
      <c r="C406">
        <v>1509</v>
      </c>
      <c r="D406">
        <v>7113</v>
      </c>
      <c r="E406">
        <v>1824</v>
      </c>
      <c r="F406">
        <v>382</v>
      </c>
      <c r="G406">
        <v>171</v>
      </c>
    </row>
    <row r="407" spans="1:7">
      <c r="A407" s="1">
        <v>44998</v>
      </c>
      <c r="B407" s="2">
        <f>YEAR(TRA[[#This Row],[date]])</f>
        <v>2023</v>
      </c>
      <c r="C407">
        <v>2238</v>
      </c>
      <c r="D407">
        <v>11259</v>
      </c>
      <c r="E407">
        <v>2916</v>
      </c>
      <c r="F407">
        <v>674</v>
      </c>
      <c r="G407">
        <v>235</v>
      </c>
    </row>
    <row r="408" spans="1:7">
      <c r="A408" s="1">
        <v>44999</v>
      </c>
      <c r="B408" s="2">
        <f>YEAR(TRA[[#This Row],[date]])</f>
        <v>2023</v>
      </c>
      <c r="C408">
        <v>1694</v>
      </c>
      <c r="D408">
        <v>7278</v>
      </c>
      <c r="E408">
        <v>2158</v>
      </c>
      <c r="F408">
        <v>472</v>
      </c>
      <c r="G408">
        <v>158</v>
      </c>
    </row>
    <row r="409" spans="1:7">
      <c r="A409" s="1">
        <v>45000</v>
      </c>
      <c r="B409" s="2">
        <f>YEAR(TRA[[#This Row],[date]])</f>
        <v>2023</v>
      </c>
      <c r="C409">
        <v>1780</v>
      </c>
      <c r="D409">
        <v>7599</v>
      </c>
      <c r="E409">
        <v>2258</v>
      </c>
      <c r="F409">
        <v>504</v>
      </c>
      <c r="G409">
        <v>189</v>
      </c>
    </row>
    <row r="410" spans="1:7">
      <c r="A410" s="1">
        <v>45001</v>
      </c>
      <c r="B410" s="2">
        <f>YEAR(TRA[[#This Row],[date]])</f>
        <v>2023</v>
      </c>
      <c r="C410">
        <v>1599</v>
      </c>
      <c r="D410">
        <v>6712</v>
      </c>
      <c r="E410">
        <v>1981</v>
      </c>
      <c r="F410">
        <v>388</v>
      </c>
      <c r="G410">
        <v>164</v>
      </c>
    </row>
    <row r="411" spans="1:7">
      <c r="A411" s="1">
        <v>45002</v>
      </c>
      <c r="B411" s="2">
        <f>YEAR(TRA[[#This Row],[date]])</f>
        <v>2023</v>
      </c>
      <c r="C411">
        <v>1279</v>
      </c>
      <c r="D411">
        <v>5255</v>
      </c>
      <c r="E411">
        <v>1603</v>
      </c>
      <c r="F411">
        <v>332</v>
      </c>
      <c r="G411">
        <v>145</v>
      </c>
    </row>
    <row r="412" spans="1:7">
      <c r="A412" s="1">
        <v>45003</v>
      </c>
      <c r="B412" s="2">
        <f>YEAR(TRA[[#This Row],[date]])</f>
        <v>2023</v>
      </c>
      <c r="C412">
        <v>812</v>
      </c>
      <c r="D412">
        <v>3279</v>
      </c>
      <c r="E412">
        <v>982</v>
      </c>
      <c r="F412">
        <v>222</v>
      </c>
      <c r="G412">
        <v>152</v>
      </c>
    </row>
    <row r="413" spans="1:7">
      <c r="A413" s="1">
        <v>45004</v>
      </c>
      <c r="B413" s="2">
        <f>YEAR(TRA[[#This Row],[date]])</f>
        <v>2023</v>
      </c>
      <c r="C413">
        <v>833</v>
      </c>
      <c r="D413">
        <v>3263</v>
      </c>
      <c r="E413">
        <v>1022</v>
      </c>
      <c r="F413">
        <v>212</v>
      </c>
      <c r="G413">
        <v>152</v>
      </c>
    </row>
    <row r="414" spans="1:7">
      <c r="A414" s="1">
        <v>45005</v>
      </c>
      <c r="B414" s="2">
        <f>YEAR(TRA[[#This Row],[date]])</f>
        <v>2023</v>
      </c>
      <c r="C414">
        <v>1490</v>
      </c>
      <c r="D414">
        <v>6745</v>
      </c>
      <c r="E414">
        <v>1901</v>
      </c>
      <c r="F414">
        <v>358</v>
      </c>
      <c r="G414">
        <v>177</v>
      </c>
    </row>
    <row r="415" spans="1:7">
      <c r="A415" s="1">
        <v>45006</v>
      </c>
      <c r="B415" s="2">
        <f>YEAR(TRA[[#This Row],[date]])</f>
        <v>2023</v>
      </c>
      <c r="C415">
        <v>1470</v>
      </c>
      <c r="D415">
        <v>6400</v>
      </c>
      <c r="E415">
        <v>1841</v>
      </c>
      <c r="F415">
        <v>382</v>
      </c>
      <c r="G415">
        <v>171</v>
      </c>
    </row>
    <row r="416" spans="1:7">
      <c r="A416" s="1">
        <v>45007</v>
      </c>
      <c r="B416" s="2">
        <f>YEAR(TRA[[#This Row],[date]])</f>
        <v>2023</v>
      </c>
      <c r="C416">
        <v>1529</v>
      </c>
      <c r="D416">
        <v>6197</v>
      </c>
      <c r="E416">
        <v>1895</v>
      </c>
      <c r="F416">
        <v>390</v>
      </c>
      <c r="G416">
        <v>150</v>
      </c>
    </row>
    <row r="417" spans="1:7">
      <c r="A417" s="1">
        <v>45008</v>
      </c>
      <c r="B417" s="2">
        <f>YEAR(TRA[[#This Row],[date]])</f>
        <v>2023</v>
      </c>
      <c r="C417">
        <v>1922</v>
      </c>
      <c r="D417">
        <v>9078</v>
      </c>
      <c r="E417">
        <v>2559</v>
      </c>
      <c r="F417">
        <v>625</v>
      </c>
      <c r="G417">
        <v>197</v>
      </c>
    </row>
    <row r="418" spans="1:7">
      <c r="A418" s="1">
        <v>45009</v>
      </c>
      <c r="B418" s="2">
        <f>YEAR(TRA[[#This Row],[date]])</f>
        <v>2023</v>
      </c>
      <c r="C418">
        <v>1983</v>
      </c>
      <c r="D418">
        <v>9327</v>
      </c>
      <c r="E418">
        <v>2487</v>
      </c>
      <c r="F418">
        <v>523</v>
      </c>
      <c r="G418">
        <v>196</v>
      </c>
    </row>
    <row r="419" spans="1:7">
      <c r="A419" s="1">
        <v>45010</v>
      </c>
      <c r="B419" s="2">
        <f>YEAR(TRA[[#This Row],[date]])</f>
        <v>2023</v>
      </c>
      <c r="C419">
        <v>1085</v>
      </c>
      <c r="D419">
        <v>4221</v>
      </c>
      <c r="E419">
        <v>1317</v>
      </c>
      <c r="F419">
        <v>314</v>
      </c>
      <c r="G419">
        <v>141</v>
      </c>
    </row>
    <row r="420" spans="1:7">
      <c r="A420" s="1">
        <v>45011</v>
      </c>
      <c r="B420" s="2">
        <f>YEAR(TRA[[#This Row],[date]])</f>
        <v>2023</v>
      </c>
      <c r="C420">
        <v>957</v>
      </c>
      <c r="D420">
        <v>3684</v>
      </c>
      <c r="E420">
        <v>1152</v>
      </c>
      <c r="F420">
        <v>225</v>
      </c>
      <c r="G420">
        <v>129</v>
      </c>
    </row>
    <row r="421" spans="1:7">
      <c r="A421" s="1">
        <v>45012</v>
      </c>
      <c r="B421" s="2">
        <f>YEAR(TRA[[#This Row],[date]])</f>
        <v>2023</v>
      </c>
      <c r="C421">
        <v>1897</v>
      </c>
      <c r="D421">
        <v>8613</v>
      </c>
      <c r="E421">
        <v>2388</v>
      </c>
      <c r="F421">
        <v>508</v>
      </c>
      <c r="G421">
        <v>174</v>
      </c>
    </row>
    <row r="422" spans="1:7">
      <c r="A422" s="1">
        <v>45013</v>
      </c>
      <c r="B422" s="2">
        <f>YEAR(TRA[[#This Row],[date]])</f>
        <v>2023</v>
      </c>
      <c r="C422">
        <v>1859</v>
      </c>
      <c r="D422">
        <v>8552</v>
      </c>
      <c r="E422">
        <v>2370</v>
      </c>
      <c r="F422">
        <v>511</v>
      </c>
      <c r="G422">
        <v>180</v>
      </c>
    </row>
    <row r="423" spans="1:7">
      <c r="A423" s="1">
        <v>45014</v>
      </c>
      <c r="B423" s="2">
        <f>YEAR(TRA[[#This Row],[date]])</f>
        <v>2023</v>
      </c>
      <c r="C423">
        <v>1747</v>
      </c>
      <c r="D423">
        <v>7756</v>
      </c>
      <c r="E423">
        <v>2249</v>
      </c>
      <c r="F423">
        <v>543</v>
      </c>
      <c r="G423">
        <v>178</v>
      </c>
    </row>
    <row r="424" spans="1:7">
      <c r="A424" s="1">
        <v>45015</v>
      </c>
      <c r="B424" s="2">
        <f>YEAR(TRA[[#This Row],[date]])</f>
        <v>2023</v>
      </c>
      <c r="C424">
        <v>1912</v>
      </c>
      <c r="D424">
        <v>9086</v>
      </c>
      <c r="E424">
        <v>2426</v>
      </c>
      <c r="F424">
        <v>493</v>
      </c>
      <c r="G424">
        <v>157</v>
      </c>
    </row>
    <row r="425" spans="1:7">
      <c r="A425" s="1">
        <v>45016</v>
      </c>
      <c r="B425" s="2">
        <f>YEAR(TRA[[#This Row],[date]])</f>
        <v>2023</v>
      </c>
      <c r="C425">
        <v>1644</v>
      </c>
      <c r="D425">
        <v>7025</v>
      </c>
      <c r="E425">
        <v>2066</v>
      </c>
      <c r="F425">
        <v>529</v>
      </c>
      <c r="G425">
        <v>177</v>
      </c>
    </row>
    <row r="426" spans="1:7">
      <c r="A426" s="1">
        <v>45017</v>
      </c>
      <c r="B426" s="2">
        <f>YEAR(TRA[[#This Row],[date]])</f>
        <v>2023</v>
      </c>
      <c r="C426">
        <v>964</v>
      </c>
      <c r="D426">
        <v>3554</v>
      </c>
      <c r="E426">
        <v>1164</v>
      </c>
      <c r="F426">
        <v>303</v>
      </c>
      <c r="G426">
        <v>148</v>
      </c>
    </row>
    <row r="427" spans="1:7">
      <c r="A427" s="1">
        <v>45018</v>
      </c>
      <c r="B427" s="2">
        <f>YEAR(TRA[[#This Row],[date]])</f>
        <v>2023</v>
      </c>
      <c r="C427">
        <v>878</v>
      </c>
      <c r="D427">
        <v>3389</v>
      </c>
      <c r="E427">
        <v>1069</v>
      </c>
      <c r="F427">
        <v>231</v>
      </c>
      <c r="G427">
        <v>117</v>
      </c>
    </row>
    <row r="428" spans="1:7">
      <c r="A428" s="1">
        <v>45019</v>
      </c>
      <c r="B428" s="2">
        <f>YEAR(TRA[[#This Row],[date]])</f>
        <v>2023</v>
      </c>
      <c r="C428">
        <v>1822</v>
      </c>
      <c r="D428">
        <v>8136</v>
      </c>
      <c r="E428">
        <v>2319</v>
      </c>
      <c r="F428">
        <v>427</v>
      </c>
      <c r="G428">
        <v>185</v>
      </c>
    </row>
    <row r="429" spans="1:7">
      <c r="A429" s="1">
        <v>45020</v>
      </c>
      <c r="B429" s="2">
        <f>YEAR(TRA[[#This Row],[date]])</f>
        <v>2023</v>
      </c>
      <c r="C429">
        <v>2065</v>
      </c>
      <c r="D429">
        <v>9065</v>
      </c>
      <c r="E429">
        <v>2716</v>
      </c>
      <c r="F429">
        <v>524</v>
      </c>
      <c r="G429">
        <v>148</v>
      </c>
    </row>
    <row r="430" spans="1:7">
      <c r="A430" s="1">
        <v>45021</v>
      </c>
      <c r="B430" s="2">
        <f>YEAR(TRA[[#This Row],[date]])</f>
        <v>2023</v>
      </c>
      <c r="C430">
        <v>2083</v>
      </c>
      <c r="D430">
        <v>9051</v>
      </c>
      <c r="E430">
        <v>2728</v>
      </c>
      <c r="F430">
        <v>594</v>
      </c>
      <c r="G430">
        <v>168</v>
      </c>
    </row>
    <row r="431" spans="1:7">
      <c r="A431" s="1">
        <v>45022</v>
      </c>
      <c r="B431" s="2">
        <f>YEAR(TRA[[#This Row],[date]])</f>
        <v>2023</v>
      </c>
      <c r="C431">
        <v>1797</v>
      </c>
      <c r="D431">
        <v>6842</v>
      </c>
      <c r="E431">
        <v>2369</v>
      </c>
      <c r="F431">
        <v>1036</v>
      </c>
      <c r="G431">
        <v>178</v>
      </c>
    </row>
    <row r="432" spans="1:7">
      <c r="A432" s="1">
        <v>45023</v>
      </c>
      <c r="B432" s="2">
        <f>YEAR(TRA[[#This Row],[date]])</f>
        <v>2023</v>
      </c>
      <c r="C432">
        <v>1446</v>
      </c>
      <c r="D432">
        <v>4691</v>
      </c>
      <c r="E432">
        <v>1853</v>
      </c>
      <c r="F432">
        <v>984</v>
      </c>
      <c r="G432">
        <v>154</v>
      </c>
    </row>
    <row r="433" spans="1:7">
      <c r="A433" s="1">
        <v>45024</v>
      </c>
      <c r="B433" s="2">
        <f>YEAR(TRA[[#This Row],[date]])</f>
        <v>2023</v>
      </c>
      <c r="C433">
        <v>985</v>
      </c>
      <c r="D433">
        <v>3053</v>
      </c>
      <c r="E433">
        <v>1277</v>
      </c>
      <c r="F433">
        <v>736</v>
      </c>
      <c r="G433">
        <v>141</v>
      </c>
    </row>
    <row r="434" spans="1:7">
      <c r="A434" s="1">
        <v>45025</v>
      </c>
      <c r="B434" s="2">
        <f>YEAR(TRA[[#This Row],[date]])</f>
        <v>2023</v>
      </c>
      <c r="C434">
        <v>2132</v>
      </c>
      <c r="D434">
        <v>5241</v>
      </c>
      <c r="E434">
        <v>2503</v>
      </c>
      <c r="F434">
        <v>1689</v>
      </c>
      <c r="G434">
        <v>108</v>
      </c>
    </row>
    <row r="435" spans="1:7">
      <c r="A435" s="1">
        <v>45026</v>
      </c>
      <c r="B435" s="2">
        <f>YEAR(TRA[[#This Row],[date]])</f>
        <v>2023</v>
      </c>
      <c r="C435">
        <v>2503</v>
      </c>
      <c r="D435">
        <v>9025</v>
      </c>
      <c r="E435">
        <v>3388</v>
      </c>
      <c r="F435">
        <v>1830</v>
      </c>
      <c r="G435">
        <v>174</v>
      </c>
    </row>
    <row r="436" spans="1:7">
      <c r="A436" s="1">
        <v>45027</v>
      </c>
      <c r="B436" s="2">
        <f>YEAR(TRA[[#This Row],[date]])</f>
        <v>2023</v>
      </c>
      <c r="C436">
        <v>1879</v>
      </c>
      <c r="D436">
        <v>6037</v>
      </c>
      <c r="E436">
        <v>2341</v>
      </c>
      <c r="F436">
        <v>1330</v>
      </c>
      <c r="G436">
        <v>141</v>
      </c>
    </row>
    <row r="437" spans="1:7">
      <c r="A437" s="1">
        <v>45028</v>
      </c>
      <c r="B437" s="2">
        <f>YEAR(TRA[[#This Row],[date]])</f>
        <v>2023</v>
      </c>
      <c r="C437">
        <v>1882</v>
      </c>
      <c r="D437">
        <v>6866</v>
      </c>
      <c r="E437">
        <v>2419</v>
      </c>
      <c r="F437">
        <v>1305</v>
      </c>
      <c r="G437">
        <v>171</v>
      </c>
    </row>
    <row r="438" spans="1:7">
      <c r="A438" s="1">
        <v>45029</v>
      </c>
      <c r="B438" s="2">
        <f>YEAR(TRA[[#This Row],[date]])</f>
        <v>2023</v>
      </c>
      <c r="C438">
        <v>1667</v>
      </c>
      <c r="D438">
        <v>5400</v>
      </c>
      <c r="E438">
        <v>2165</v>
      </c>
      <c r="F438">
        <v>1201</v>
      </c>
      <c r="G438">
        <v>169</v>
      </c>
    </row>
    <row r="439" spans="1:7">
      <c r="A439" s="1">
        <v>45030</v>
      </c>
      <c r="B439" s="2">
        <f>YEAR(TRA[[#This Row],[date]])</f>
        <v>2023</v>
      </c>
      <c r="C439">
        <v>1325</v>
      </c>
      <c r="D439">
        <v>4259</v>
      </c>
      <c r="E439">
        <v>1651</v>
      </c>
      <c r="F439">
        <v>941</v>
      </c>
      <c r="G439">
        <v>136</v>
      </c>
    </row>
    <row r="440" spans="1:7">
      <c r="A440" s="1">
        <v>45031</v>
      </c>
      <c r="B440" s="2">
        <f>YEAR(TRA[[#This Row],[date]])</f>
        <v>2023</v>
      </c>
      <c r="C440">
        <v>905</v>
      </c>
      <c r="D440">
        <v>2313</v>
      </c>
      <c r="E440">
        <v>1093</v>
      </c>
      <c r="F440">
        <v>683</v>
      </c>
      <c r="G440">
        <v>91</v>
      </c>
    </row>
    <row r="441" spans="1:7">
      <c r="A441" s="1">
        <v>45032</v>
      </c>
      <c r="B441" s="2">
        <f>YEAR(TRA[[#This Row],[date]])</f>
        <v>2023</v>
      </c>
      <c r="C441">
        <v>858</v>
      </c>
      <c r="D441">
        <v>2388</v>
      </c>
      <c r="E441">
        <v>1061</v>
      </c>
      <c r="F441">
        <v>659</v>
      </c>
      <c r="G441">
        <v>136</v>
      </c>
    </row>
    <row r="442" spans="1:7">
      <c r="A442" s="1">
        <v>45033</v>
      </c>
      <c r="B442" s="2">
        <f>YEAR(TRA[[#This Row],[date]])</f>
        <v>2023</v>
      </c>
      <c r="C442">
        <v>1557</v>
      </c>
      <c r="D442">
        <v>4897</v>
      </c>
      <c r="E442">
        <v>1965</v>
      </c>
      <c r="F442">
        <v>1132</v>
      </c>
      <c r="G442">
        <v>166</v>
      </c>
    </row>
    <row r="443" spans="1:7">
      <c r="A443" s="1">
        <v>45034</v>
      </c>
      <c r="B443" s="2">
        <f>YEAR(TRA[[#This Row],[date]])</f>
        <v>2023</v>
      </c>
      <c r="C443">
        <v>1423</v>
      </c>
      <c r="D443">
        <v>4779</v>
      </c>
      <c r="E443">
        <v>1910</v>
      </c>
      <c r="F443">
        <v>1114</v>
      </c>
      <c r="G443">
        <v>161</v>
      </c>
    </row>
    <row r="444" spans="1:7">
      <c r="A444" s="1">
        <v>45035</v>
      </c>
      <c r="B444" s="2">
        <f>YEAR(TRA[[#This Row],[date]])</f>
        <v>2023</v>
      </c>
      <c r="C444">
        <v>1862</v>
      </c>
      <c r="D444">
        <v>7019</v>
      </c>
      <c r="E444">
        <v>2473</v>
      </c>
      <c r="F444">
        <v>1250</v>
      </c>
      <c r="G444">
        <v>188</v>
      </c>
    </row>
    <row r="445" spans="1:7">
      <c r="A445" s="1">
        <v>45036</v>
      </c>
      <c r="B445" s="2">
        <f>YEAR(TRA[[#This Row],[date]])</f>
        <v>2023</v>
      </c>
      <c r="C445">
        <v>1423</v>
      </c>
      <c r="D445">
        <v>4816</v>
      </c>
      <c r="E445">
        <v>1920</v>
      </c>
      <c r="F445">
        <v>1103</v>
      </c>
      <c r="G445">
        <v>176</v>
      </c>
    </row>
    <row r="446" spans="1:7">
      <c r="A446" s="1">
        <v>45037</v>
      </c>
      <c r="B446" s="2">
        <f>YEAR(TRA[[#This Row],[date]])</f>
        <v>2023</v>
      </c>
      <c r="C446">
        <v>1389</v>
      </c>
      <c r="D446">
        <v>3917</v>
      </c>
      <c r="E446">
        <v>1746</v>
      </c>
      <c r="F446">
        <v>1032</v>
      </c>
      <c r="G446">
        <v>127</v>
      </c>
    </row>
    <row r="447" spans="1:7">
      <c r="A447" s="1">
        <v>45038</v>
      </c>
      <c r="B447" s="2">
        <f>YEAR(TRA[[#This Row],[date]])</f>
        <v>2023</v>
      </c>
      <c r="C447">
        <v>913</v>
      </c>
      <c r="D447">
        <v>2431</v>
      </c>
      <c r="E447">
        <v>1072</v>
      </c>
      <c r="F447">
        <v>640</v>
      </c>
      <c r="G447">
        <v>116</v>
      </c>
    </row>
    <row r="448" spans="1:7">
      <c r="A448" s="1">
        <v>45039</v>
      </c>
      <c r="B448" s="2">
        <f>YEAR(TRA[[#This Row],[date]])</f>
        <v>2023</v>
      </c>
      <c r="C448">
        <v>857</v>
      </c>
      <c r="D448">
        <v>2121</v>
      </c>
      <c r="E448">
        <v>1002</v>
      </c>
      <c r="F448">
        <v>596</v>
      </c>
      <c r="G448">
        <v>111</v>
      </c>
    </row>
    <row r="449" spans="1:7">
      <c r="A449" s="1">
        <v>45040</v>
      </c>
      <c r="B449" s="2">
        <f>YEAR(TRA[[#This Row],[date]])</f>
        <v>2023</v>
      </c>
      <c r="C449">
        <v>1580</v>
      </c>
      <c r="D449">
        <v>5194</v>
      </c>
      <c r="E449">
        <v>2013</v>
      </c>
      <c r="F449">
        <v>1122</v>
      </c>
      <c r="G449">
        <v>158</v>
      </c>
    </row>
    <row r="450" spans="1:7">
      <c r="A450" s="1">
        <v>45041</v>
      </c>
      <c r="B450" s="2">
        <f>YEAR(TRA[[#This Row],[date]])</f>
        <v>2023</v>
      </c>
      <c r="C450">
        <v>2083</v>
      </c>
      <c r="D450">
        <v>6242</v>
      </c>
      <c r="E450">
        <v>2566</v>
      </c>
      <c r="F450">
        <v>1483</v>
      </c>
      <c r="G450">
        <v>144</v>
      </c>
    </row>
    <row r="451" spans="1:7">
      <c r="A451" s="1">
        <v>45042</v>
      </c>
      <c r="B451" s="2">
        <f>YEAR(TRA[[#This Row],[date]])</f>
        <v>2023</v>
      </c>
      <c r="C451">
        <v>2082</v>
      </c>
      <c r="D451">
        <v>6760</v>
      </c>
      <c r="E451">
        <v>2722</v>
      </c>
      <c r="F451">
        <v>1491</v>
      </c>
      <c r="G451">
        <v>188</v>
      </c>
    </row>
    <row r="452" spans="1:7">
      <c r="A452" s="1">
        <v>45043</v>
      </c>
      <c r="B452" s="2">
        <f>YEAR(TRA[[#This Row],[date]])</f>
        <v>2023</v>
      </c>
      <c r="C452">
        <v>2430</v>
      </c>
      <c r="D452">
        <v>7159</v>
      </c>
      <c r="E452">
        <v>3224</v>
      </c>
      <c r="F452">
        <v>1944</v>
      </c>
      <c r="G452">
        <v>122</v>
      </c>
    </row>
    <row r="453" spans="1:7">
      <c r="A453" s="1">
        <v>45044</v>
      </c>
      <c r="B453" s="2">
        <f>YEAR(TRA[[#This Row],[date]])</f>
        <v>2023</v>
      </c>
      <c r="C453">
        <v>1661</v>
      </c>
      <c r="D453">
        <v>5093</v>
      </c>
      <c r="E453">
        <v>2177</v>
      </c>
      <c r="F453">
        <v>1249</v>
      </c>
      <c r="G453">
        <v>149</v>
      </c>
    </row>
    <row r="454" spans="1:7">
      <c r="A454" s="1">
        <v>45045</v>
      </c>
      <c r="B454" s="2">
        <f>YEAR(TRA[[#This Row],[date]])</f>
        <v>2023</v>
      </c>
      <c r="C454">
        <v>995</v>
      </c>
      <c r="D454">
        <v>3018</v>
      </c>
      <c r="E454">
        <v>1380</v>
      </c>
      <c r="F454">
        <v>841</v>
      </c>
      <c r="G454">
        <v>124</v>
      </c>
    </row>
    <row r="455" spans="1:7">
      <c r="A455" s="1">
        <v>45046</v>
      </c>
      <c r="B455" s="2">
        <f>YEAR(TRA[[#This Row],[date]])</f>
        <v>2023</v>
      </c>
      <c r="C455">
        <v>1267</v>
      </c>
      <c r="D455">
        <v>4566</v>
      </c>
      <c r="E455">
        <v>1734</v>
      </c>
      <c r="F455">
        <v>951</v>
      </c>
      <c r="G455">
        <v>188</v>
      </c>
    </row>
    <row r="456" spans="1:7">
      <c r="A456" s="1">
        <v>45047</v>
      </c>
      <c r="B456" s="2">
        <f>YEAR(TRA[[#This Row],[date]])</f>
        <v>2023</v>
      </c>
      <c r="C456">
        <v>1896</v>
      </c>
      <c r="D456">
        <v>7063</v>
      </c>
      <c r="E456">
        <v>2663</v>
      </c>
      <c r="F456">
        <v>1398</v>
      </c>
      <c r="G456">
        <v>191</v>
      </c>
    </row>
    <row r="457" spans="1:7">
      <c r="A457" s="1">
        <v>45048</v>
      </c>
      <c r="B457" s="2">
        <f>YEAR(TRA[[#This Row],[date]])</f>
        <v>2023</v>
      </c>
      <c r="C457">
        <v>1465</v>
      </c>
      <c r="D457">
        <v>5038</v>
      </c>
      <c r="E457">
        <v>1908</v>
      </c>
      <c r="F457">
        <v>1129</v>
      </c>
      <c r="G457">
        <v>188</v>
      </c>
    </row>
    <row r="458" spans="1:7">
      <c r="A458" s="1">
        <v>45049</v>
      </c>
      <c r="B458" s="2">
        <f>YEAR(TRA[[#This Row],[date]])</f>
        <v>2023</v>
      </c>
      <c r="C458">
        <v>1481</v>
      </c>
      <c r="D458">
        <v>5189</v>
      </c>
      <c r="E458">
        <v>1886</v>
      </c>
      <c r="F458">
        <v>1055</v>
      </c>
      <c r="G458">
        <v>181</v>
      </c>
    </row>
    <row r="459" spans="1:7">
      <c r="A459" s="1">
        <v>45050</v>
      </c>
      <c r="B459" s="2">
        <f>YEAR(TRA[[#This Row],[date]])</f>
        <v>2023</v>
      </c>
      <c r="C459">
        <v>1524</v>
      </c>
      <c r="D459">
        <v>4927</v>
      </c>
      <c r="E459">
        <v>1957</v>
      </c>
      <c r="F459">
        <v>1093</v>
      </c>
      <c r="G459">
        <v>162</v>
      </c>
    </row>
    <row r="460" spans="1:7">
      <c r="A460" s="1">
        <v>45051</v>
      </c>
      <c r="B460" s="2">
        <f>YEAR(TRA[[#This Row],[date]])</f>
        <v>2023</v>
      </c>
      <c r="C460">
        <v>1145</v>
      </c>
      <c r="D460">
        <v>3603</v>
      </c>
      <c r="E460">
        <v>1470</v>
      </c>
      <c r="F460">
        <v>839</v>
      </c>
      <c r="G460">
        <v>194</v>
      </c>
    </row>
    <row r="461" spans="1:7">
      <c r="A461" s="1">
        <v>45052</v>
      </c>
      <c r="B461" s="2">
        <f>YEAR(TRA[[#This Row],[date]])</f>
        <v>2023</v>
      </c>
      <c r="C461">
        <v>758</v>
      </c>
      <c r="D461">
        <v>2090</v>
      </c>
      <c r="E461">
        <v>951</v>
      </c>
      <c r="F461">
        <v>614</v>
      </c>
      <c r="G461">
        <v>101</v>
      </c>
    </row>
    <row r="462" spans="1:7">
      <c r="A462" s="1">
        <v>45053</v>
      </c>
      <c r="B462" s="2">
        <f>YEAR(TRA[[#This Row],[date]])</f>
        <v>2023</v>
      </c>
      <c r="C462">
        <v>747</v>
      </c>
      <c r="D462">
        <v>1998</v>
      </c>
      <c r="E462">
        <v>926</v>
      </c>
      <c r="F462">
        <v>590</v>
      </c>
      <c r="G462">
        <v>107</v>
      </c>
    </row>
    <row r="463" spans="1:7">
      <c r="A463" s="1">
        <v>45054</v>
      </c>
      <c r="B463" s="2">
        <f>YEAR(TRA[[#This Row],[date]])</f>
        <v>2023</v>
      </c>
      <c r="C463">
        <v>1258</v>
      </c>
      <c r="D463">
        <v>4032</v>
      </c>
      <c r="E463">
        <v>1610</v>
      </c>
      <c r="F463">
        <v>986</v>
      </c>
      <c r="G463">
        <v>140</v>
      </c>
    </row>
    <row r="464" spans="1:7">
      <c r="A464" s="1">
        <v>45055</v>
      </c>
      <c r="B464" s="2">
        <f>YEAR(TRA[[#This Row],[date]])</f>
        <v>2023</v>
      </c>
      <c r="C464">
        <v>1309</v>
      </c>
      <c r="D464">
        <v>4439</v>
      </c>
      <c r="E464">
        <v>1639</v>
      </c>
      <c r="F464">
        <v>970</v>
      </c>
      <c r="G464">
        <v>151</v>
      </c>
    </row>
    <row r="465" spans="1:7">
      <c r="A465" s="1">
        <v>45056</v>
      </c>
      <c r="B465" s="2">
        <f>YEAR(TRA[[#This Row],[date]])</f>
        <v>2023</v>
      </c>
      <c r="C465">
        <v>1397</v>
      </c>
      <c r="D465">
        <v>4308</v>
      </c>
      <c r="E465">
        <v>1725</v>
      </c>
      <c r="F465">
        <v>1061</v>
      </c>
      <c r="G465">
        <v>122</v>
      </c>
    </row>
    <row r="466" spans="1:7">
      <c r="A466" s="1">
        <v>45057</v>
      </c>
      <c r="B466" s="2">
        <f>YEAR(TRA[[#This Row],[date]])</f>
        <v>2023</v>
      </c>
      <c r="C466">
        <v>1236</v>
      </c>
      <c r="D466">
        <v>4051</v>
      </c>
      <c r="E466">
        <v>1539</v>
      </c>
      <c r="F466">
        <v>905</v>
      </c>
      <c r="G466">
        <v>133</v>
      </c>
    </row>
    <row r="467" spans="1:7">
      <c r="A467" s="1">
        <v>45058</v>
      </c>
      <c r="B467" s="2">
        <f>YEAR(TRA[[#This Row],[date]])</f>
        <v>2023</v>
      </c>
      <c r="C467">
        <v>1222</v>
      </c>
      <c r="D467">
        <v>3245</v>
      </c>
      <c r="E467">
        <v>1515</v>
      </c>
      <c r="F467">
        <v>953</v>
      </c>
      <c r="G467">
        <v>118</v>
      </c>
    </row>
    <row r="468" spans="1:7">
      <c r="A468" s="1">
        <v>45059</v>
      </c>
      <c r="B468" s="2">
        <f>YEAR(TRA[[#This Row],[date]])</f>
        <v>2023</v>
      </c>
      <c r="C468">
        <v>774</v>
      </c>
      <c r="D468">
        <v>1995</v>
      </c>
      <c r="E468">
        <v>947</v>
      </c>
      <c r="F468">
        <v>633</v>
      </c>
      <c r="G468">
        <v>100</v>
      </c>
    </row>
    <row r="469" spans="1:7">
      <c r="A469" s="1">
        <v>45060</v>
      </c>
      <c r="B469" s="2">
        <f>YEAR(TRA[[#This Row],[date]])</f>
        <v>2023</v>
      </c>
      <c r="C469">
        <v>650</v>
      </c>
      <c r="D469">
        <v>1724</v>
      </c>
      <c r="E469">
        <v>825</v>
      </c>
      <c r="F469">
        <v>545</v>
      </c>
      <c r="G469">
        <v>104</v>
      </c>
    </row>
    <row r="470" spans="1:7">
      <c r="A470" s="1">
        <v>45061</v>
      </c>
      <c r="B470" s="2">
        <f>YEAR(TRA[[#This Row],[date]])</f>
        <v>2023</v>
      </c>
      <c r="C470">
        <v>1183</v>
      </c>
      <c r="D470">
        <v>3808</v>
      </c>
      <c r="E470">
        <v>1554</v>
      </c>
      <c r="F470">
        <v>902</v>
      </c>
      <c r="G470">
        <v>134</v>
      </c>
    </row>
    <row r="471" spans="1:7">
      <c r="A471" s="1">
        <v>45062</v>
      </c>
      <c r="B471" s="2">
        <f>YEAR(TRA[[#This Row],[date]])</f>
        <v>2023</v>
      </c>
      <c r="C471">
        <v>1282</v>
      </c>
      <c r="D471">
        <v>4305</v>
      </c>
      <c r="E471">
        <v>1631</v>
      </c>
      <c r="F471">
        <v>885</v>
      </c>
      <c r="G471">
        <v>172</v>
      </c>
    </row>
    <row r="472" spans="1:7">
      <c r="A472" s="1">
        <v>45063</v>
      </c>
      <c r="B472" s="2">
        <f>YEAR(TRA[[#This Row],[date]])</f>
        <v>2023</v>
      </c>
      <c r="C472">
        <v>1235</v>
      </c>
      <c r="D472">
        <v>4174</v>
      </c>
      <c r="E472">
        <v>1592</v>
      </c>
      <c r="F472">
        <v>875</v>
      </c>
      <c r="G472">
        <v>191</v>
      </c>
    </row>
    <row r="473" spans="1:7">
      <c r="A473" s="1">
        <v>45064</v>
      </c>
      <c r="B473" s="2">
        <f>YEAR(TRA[[#This Row],[date]])</f>
        <v>2023</v>
      </c>
      <c r="C473">
        <v>1127</v>
      </c>
      <c r="D473">
        <v>3653</v>
      </c>
      <c r="E473">
        <v>1431</v>
      </c>
      <c r="F473">
        <v>826</v>
      </c>
      <c r="G473">
        <v>189</v>
      </c>
    </row>
    <row r="474" spans="1:7">
      <c r="A474" s="1">
        <v>45065</v>
      </c>
      <c r="B474" s="2">
        <f>YEAR(TRA[[#This Row],[date]])</f>
        <v>2023</v>
      </c>
      <c r="C474">
        <v>1030</v>
      </c>
      <c r="D474">
        <v>3340</v>
      </c>
      <c r="E474">
        <v>1335</v>
      </c>
      <c r="F474">
        <v>767</v>
      </c>
      <c r="G474">
        <v>164</v>
      </c>
    </row>
    <row r="475" spans="1:7">
      <c r="A475" s="1">
        <v>45066</v>
      </c>
      <c r="B475" s="2">
        <f>YEAR(TRA[[#This Row],[date]])</f>
        <v>2023</v>
      </c>
      <c r="C475">
        <v>700</v>
      </c>
      <c r="D475">
        <v>2241</v>
      </c>
      <c r="E475">
        <v>859</v>
      </c>
      <c r="F475">
        <v>526</v>
      </c>
      <c r="G475">
        <v>132</v>
      </c>
    </row>
    <row r="476" spans="1:7">
      <c r="A476" s="1">
        <v>45067</v>
      </c>
      <c r="B476" s="2">
        <f>YEAR(TRA[[#This Row],[date]])</f>
        <v>2023</v>
      </c>
      <c r="C476">
        <v>773</v>
      </c>
      <c r="D476">
        <v>2315</v>
      </c>
      <c r="E476">
        <v>979</v>
      </c>
      <c r="F476">
        <v>580</v>
      </c>
      <c r="G476">
        <v>131</v>
      </c>
    </row>
    <row r="477" spans="1:7">
      <c r="A477" s="1">
        <v>45068</v>
      </c>
      <c r="B477" s="2">
        <f>YEAR(TRA[[#This Row],[date]])</f>
        <v>2023</v>
      </c>
      <c r="C477">
        <v>1441</v>
      </c>
      <c r="D477">
        <v>5005</v>
      </c>
      <c r="E477">
        <v>1874</v>
      </c>
      <c r="F477">
        <v>1009</v>
      </c>
      <c r="G477">
        <v>171</v>
      </c>
    </row>
    <row r="478" spans="1:7">
      <c r="A478" s="1">
        <v>45069</v>
      </c>
      <c r="B478" s="2">
        <f>YEAR(TRA[[#This Row],[date]])</f>
        <v>2023</v>
      </c>
      <c r="C478">
        <v>1342</v>
      </c>
      <c r="D478">
        <v>4223</v>
      </c>
      <c r="E478">
        <v>1733</v>
      </c>
      <c r="F478">
        <v>978</v>
      </c>
      <c r="G478">
        <v>156</v>
      </c>
    </row>
    <row r="479" spans="1:7">
      <c r="A479" s="1">
        <v>45070</v>
      </c>
      <c r="B479" s="2">
        <f>YEAR(TRA[[#This Row],[date]])</f>
        <v>2023</v>
      </c>
      <c r="C479">
        <v>1239</v>
      </c>
      <c r="D479">
        <v>4107</v>
      </c>
      <c r="E479">
        <v>1608</v>
      </c>
      <c r="F479">
        <v>945</v>
      </c>
      <c r="G479">
        <v>170</v>
      </c>
    </row>
    <row r="480" spans="1:7">
      <c r="A480" s="1">
        <v>45071</v>
      </c>
      <c r="B480" s="2">
        <f>YEAR(TRA[[#This Row],[date]])</f>
        <v>2023</v>
      </c>
      <c r="C480">
        <v>1693</v>
      </c>
      <c r="D480">
        <v>5585</v>
      </c>
      <c r="E480">
        <v>2139</v>
      </c>
      <c r="F480">
        <v>1187</v>
      </c>
      <c r="G480">
        <v>157</v>
      </c>
    </row>
    <row r="481" spans="1:7">
      <c r="A481" s="1">
        <v>45072</v>
      </c>
      <c r="B481" s="2">
        <f>YEAR(TRA[[#This Row],[date]])</f>
        <v>2023</v>
      </c>
      <c r="C481">
        <v>1414</v>
      </c>
      <c r="D481">
        <v>4053</v>
      </c>
      <c r="E481">
        <v>1714</v>
      </c>
      <c r="F481">
        <v>1010</v>
      </c>
      <c r="G481">
        <v>145</v>
      </c>
    </row>
    <row r="482" spans="1:7">
      <c r="A482" s="1">
        <v>45073</v>
      </c>
      <c r="B482" s="2">
        <f>YEAR(TRA[[#This Row],[date]])</f>
        <v>2023</v>
      </c>
      <c r="C482">
        <v>845</v>
      </c>
      <c r="D482">
        <v>2110</v>
      </c>
      <c r="E482">
        <v>1058</v>
      </c>
      <c r="F482">
        <v>702</v>
      </c>
      <c r="G482">
        <v>96</v>
      </c>
    </row>
    <row r="483" spans="1:7">
      <c r="A483" s="1">
        <v>45074</v>
      </c>
      <c r="B483" s="2">
        <f>YEAR(TRA[[#This Row],[date]])</f>
        <v>2023</v>
      </c>
      <c r="C483">
        <v>702</v>
      </c>
      <c r="D483">
        <v>2100</v>
      </c>
      <c r="E483">
        <v>872</v>
      </c>
      <c r="F483">
        <v>537</v>
      </c>
      <c r="G483">
        <v>137</v>
      </c>
    </row>
    <row r="484" spans="1:7">
      <c r="A484" s="1">
        <v>45075</v>
      </c>
      <c r="B484" s="2">
        <f>YEAR(TRA[[#This Row],[date]])</f>
        <v>2023</v>
      </c>
      <c r="C484">
        <v>1027</v>
      </c>
      <c r="D484">
        <v>2693</v>
      </c>
      <c r="E484">
        <v>1197</v>
      </c>
      <c r="F484">
        <v>777</v>
      </c>
      <c r="G484">
        <v>125</v>
      </c>
    </row>
    <row r="485" spans="1:7">
      <c r="A485" s="1">
        <v>45076</v>
      </c>
      <c r="B485" s="2">
        <f>YEAR(TRA[[#This Row],[date]])</f>
        <v>2023</v>
      </c>
      <c r="C485">
        <v>1320</v>
      </c>
      <c r="D485">
        <v>4032</v>
      </c>
      <c r="E485">
        <v>1658</v>
      </c>
      <c r="F485">
        <v>992</v>
      </c>
      <c r="G485">
        <v>166</v>
      </c>
    </row>
    <row r="486" spans="1:7">
      <c r="A486" s="1">
        <v>45077</v>
      </c>
      <c r="B486" s="2">
        <f>YEAR(TRA[[#This Row],[date]])</f>
        <v>2023</v>
      </c>
      <c r="C486">
        <v>1618</v>
      </c>
      <c r="D486">
        <v>5163</v>
      </c>
      <c r="E486">
        <v>2072</v>
      </c>
      <c r="F486">
        <v>1195</v>
      </c>
      <c r="G486">
        <v>172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2DBE-9883-DA44-9127-281FF054D263}">
  <sheetPr codeName="Sheet2"/>
  <dimension ref="A1:E7897"/>
  <sheetViews>
    <sheetView zoomScale="156" zoomScaleNormal="39" workbookViewId="0">
      <selection activeCell="B16" sqref="B16"/>
    </sheetView>
  </sheetViews>
  <sheetFormatPr defaultColWidth="10.875" defaultRowHeight="15.75" customHeight="1"/>
  <cols>
    <col min="1" max="1" width="10.875" style="3"/>
    <col min="2" max="2" width="16.75" style="3" bestFit="1" customWidth="1"/>
    <col min="3" max="3" width="20.375" customWidth="1"/>
    <col min="4" max="4" width="13.375" customWidth="1"/>
    <col min="5" max="5" width="13" bestFit="1" customWidth="1"/>
    <col min="6" max="16384" width="10.875" style="3"/>
  </cols>
  <sheetData>
    <row r="1" spans="3:5" ht="15.75" customHeight="1">
      <c r="C1" t="s">
        <v>12</v>
      </c>
      <c r="D1" t="s">
        <v>13</v>
      </c>
      <c r="E1" t="s">
        <v>14</v>
      </c>
    </row>
    <row r="2" spans="3:5" ht="17.100000000000001" customHeight="1">
      <c r="C2" t="s">
        <v>15</v>
      </c>
      <c r="D2" t="s">
        <v>16</v>
      </c>
      <c r="E2">
        <v>0</v>
      </c>
    </row>
    <row r="3" spans="3:5">
      <c r="C3" t="s">
        <v>15</v>
      </c>
      <c r="D3" t="s">
        <v>16</v>
      </c>
      <c r="E3">
        <v>0</v>
      </c>
    </row>
    <row r="4" spans="3:5" ht="15" customHeight="1">
      <c r="C4" t="s">
        <v>17</v>
      </c>
      <c r="D4" t="s">
        <v>18</v>
      </c>
      <c r="E4">
        <v>0</v>
      </c>
    </row>
    <row r="5" spans="3:5" ht="15" customHeight="1">
      <c r="C5" t="s">
        <v>15</v>
      </c>
      <c r="D5" t="s">
        <v>16</v>
      </c>
      <c r="E5">
        <v>0</v>
      </c>
    </row>
    <row r="6" spans="3:5" ht="15" customHeight="1">
      <c r="C6" t="s">
        <v>15</v>
      </c>
      <c r="D6" t="s">
        <v>16</v>
      </c>
      <c r="E6">
        <v>0</v>
      </c>
    </row>
    <row r="7" spans="3:5" ht="15" customHeight="1">
      <c r="C7" t="s">
        <v>15</v>
      </c>
      <c r="D7" t="s">
        <v>16</v>
      </c>
      <c r="E7">
        <v>0</v>
      </c>
    </row>
    <row r="8" spans="3:5" ht="15" customHeight="1">
      <c r="C8" t="s">
        <v>15</v>
      </c>
      <c r="D8" t="s">
        <v>16</v>
      </c>
      <c r="E8">
        <v>0</v>
      </c>
    </row>
    <row r="9" spans="3:5">
      <c r="C9" t="s">
        <v>17</v>
      </c>
      <c r="D9" t="s">
        <v>18</v>
      </c>
      <c r="E9">
        <v>0</v>
      </c>
    </row>
    <row r="10" spans="3:5">
      <c r="C10" t="s">
        <v>15</v>
      </c>
      <c r="D10" t="s">
        <v>16</v>
      </c>
      <c r="E10">
        <v>0</v>
      </c>
    </row>
    <row r="11" spans="3:5">
      <c r="C11" t="s">
        <v>15</v>
      </c>
      <c r="D11" t="s">
        <v>16</v>
      </c>
      <c r="E11">
        <v>0</v>
      </c>
    </row>
    <row r="12" spans="3:5">
      <c r="C12" t="s">
        <v>15</v>
      </c>
      <c r="D12" t="s">
        <v>16</v>
      </c>
      <c r="E12">
        <v>0</v>
      </c>
    </row>
    <row r="13" spans="3:5">
      <c r="C13" t="s">
        <v>17</v>
      </c>
      <c r="D13" t="s">
        <v>18</v>
      </c>
      <c r="E13">
        <v>0</v>
      </c>
    </row>
    <row r="14" spans="3:5">
      <c r="C14" t="s">
        <v>17</v>
      </c>
      <c r="D14" t="s">
        <v>18</v>
      </c>
      <c r="E14">
        <v>0</v>
      </c>
    </row>
    <row r="15" spans="3:5">
      <c r="C15" t="s">
        <v>17</v>
      </c>
      <c r="D15" t="s">
        <v>18</v>
      </c>
      <c r="E15">
        <v>0</v>
      </c>
    </row>
    <row r="16" spans="3:5" ht="17.100000000000001" customHeight="1">
      <c r="C16" t="s">
        <v>15</v>
      </c>
      <c r="D16" t="s">
        <v>16</v>
      </c>
      <c r="E16">
        <v>0</v>
      </c>
    </row>
    <row r="17" spans="2:5">
      <c r="C17" t="s">
        <v>15</v>
      </c>
      <c r="D17" t="s">
        <v>16</v>
      </c>
      <c r="E17">
        <v>0</v>
      </c>
    </row>
    <row r="18" spans="2:5">
      <c r="C18" t="s">
        <v>17</v>
      </c>
      <c r="D18" t="s">
        <v>18</v>
      </c>
      <c r="E18">
        <v>0</v>
      </c>
    </row>
    <row r="19" spans="2:5">
      <c r="C19" t="s">
        <v>15</v>
      </c>
      <c r="D19" t="s">
        <v>16</v>
      </c>
      <c r="E19">
        <v>0</v>
      </c>
    </row>
    <row r="20" spans="2:5">
      <c r="C20" t="s">
        <v>17</v>
      </c>
      <c r="D20" t="s">
        <v>18</v>
      </c>
      <c r="E20">
        <v>0</v>
      </c>
    </row>
    <row r="21" spans="2:5">
      <c r="C21" t="s">
        <v>17</v>
      </c>
      <c r="D21" t="s">
        <v>18</v>
      </c>
      <c r="E21">
        <v>0</v>
      </c>
    </row>
    <row r="22" spans="2:5" ht="15.75" customHeight="1">
      <c r="C22" t="s">
        <v>15</v>
      </c>
      <c r="D22" t="s">
        <v>16</v>
      </c>
      <c r="E22">
        <v>1</v>
      </c>
    </row>
    <row r="23" spans="2:5" ht="20.100000000000001" customHeight="1">
      <c r="C23" t="s">
        <v>15</v>
      </c>
      <c r="D23" t="s">
        <v>16</v>
      </c>
      <c r="E23">
        <v>0</v>
      </c>
    </row>
    <row r="24" spans="2:5" ht="15.75" customHeight="1">
      <c r="C24" t="s">
        <v>15</v>
      </c>
      <c r="D24" t="s">
        <v>16</v>
      </c>
      <c r="E24">
        <v>0</v>
      </c>
    </row>
    <row r="25" spans="2:5" ht="17.100000000000001" customHeight="1">
      <c r="C25" t="s">
        <v>17</v>
      </c>
      <c r="D25" t="s">
        <v>18</v>
      </c>
      <c r="E25">
        <v>0</v>
      </c>
    </row>
    <row r="26" spans="2:5">
      <c r="C26" t="s">
        <v>15</v>
      </c>
      <c r="D26" t="s">
        <v>16</v>
      </c>
      <c r="E26">
        <v>0</v>
      </c>
    </row>
    <row r="27" spans="2:5">
      <c r="B27"/>
      <c r="C27" t="s">
        <v>15</v>
      </c>
      <c r="D27" t="s">
        <v>16</v>
      </c>
      <c r="E27">
        <v>0</v>
      </c>
    </row>
    <row r="28" spans="2:5">
      <c r="B28"/>
      <c r="C28" t="s">
        <v>17</v>
      </c>
      <c r="D28" t="s">
        <v>18</v>
      </c>
      <c r="E28">
        <v>0</v>
      </c>
    </row>
    <row r="29" spans="2:5">
      <c r="B29"/>
      <c r="C29" t="s">
        <v>17</v>
      </c>
      <c r="D29" t="s">
        <v>18</v>
      </c>
      <c r="E29">
        <v>0</v>
      </c>
    </row>
    <row r="30" spans="2:5" ht="15.75" customHeight="1">
      <c r="B30"/>
      <c r="C30" t="s">
        <v>15</v>
      </c>
      <c r="D30" t="s">
        <v>16</v>
      </c>
      <c r="E30">
        <v>0</v>
      </c>
    </row>
    <row r="31" spans="2:5" ht="15.75" customHeight="1">
      <c r="B31"/>
      <c r="C31" t="s">
        <v>15</v>
      </c>
      <c r="D31" t="s">
        <v>16</v>
      </c>
      <c r="E31">
        <v>0</v>
      </c>
    </row>
    <row r="32" spans="2:5" ht="15.75" customHeight="1">
      <c r="B32"/>
      <c r="C32" t="s">
        <v>15</v>
      </c>
      <c r="D32" t="s">
        <v>16</v>
      </c>
      <c r="E32">
        <v>0</v>
      </c>
    </row>
    <row r="33" spans="2:5">
      <c r="B33"/>
      <c r="C33" t="s">
        <v>15</v>
      </c>
      <c r="D33" t="s">
        <v>16</v>
      </c>
      <c r="E33">
        <v>0</v>
      </c>
    </row>
    <row r="34" spans="2:5" ht="15.75" customHeight="1">
      <c r="B34"/>
      <c r="C34" t="s">
        <v>15</v>
      </c>
      <c r="D34" t="s">
        <v>16</v>
      </c>
      <c r="E34">
        <v>0</v>
      </c>
    </row>
    <row r="35" spans="2:5">
      <c r="B35"/>
      <c r="C35" t="s">
        <v>17</v>
      </c>
      <c r="D35" t="s">
        <v>18</v>
      </c>
      <c r="E35">
        <v>0</v>
      </c>
    </row>
    <row r="36" spans="2:5" ht="15.75" customHeight="1">
      <c r="B36"/>
      <c r="C36" t="s">
        <v>17</v>
      </c>
      <c r="D36" t="s">
        <v>18</v>
      </c>
      <c r="E36">
        <v>0</v>
      </c>
    </row>
    <row r="37" spans="2:5">
      <c r="B37"/>
      <c r="C37" t="s">
        <v>15</v>
      </c>
      <c r="D37" t="s">
        <v>16</v>
      </c>
      <c r="E37">
        <v>0</v>
      </c>
    </row>
    <row r="38" spans="2:5">
      <c r="B38"/>
      <c r="C38" t="s">
        <v>15</v>
      </c>
      <c r="D38" t="s">
        <v>16</v>
      </c>
      <c r="E38">
        <v>0</v>
      </c>
    </row>
    <row r="39" spans="2:5" ht="15.75" customHeight="1">
      <c r="B39"/>
      <c r="C39" t="s">
        <v>15</v>
      </c>
      <c r="D39" t="s">
        <v>16</v>
      </c>
      <c r="E39">
        <v>0</v>
      </c>
    </row>
    <row r="40" spans="2:5" ht="15.75" customHeight="1">
      <c r="B40"/>
      <c r="C40" t="s">
        <v>15</v>
      </c>
      <c r="D40" t="s">
        <v>16</v>
      </c>
      <c r="E40">
        <v>0</v>
      </c>
    </row>
    <row r="41" spans="2:5">
      <c r="B41"/>
      <c r="C41" t="s">
        <v>15</v>
      </c>
      <c r="D41" t="s">
        <v>16</v>
      </c>
      <c r="E41">
        <v>0</v>
      </c>
    </row>
    <row r="42" spans="2:5">
      <c r="B42"/>
      <c r="C42" t="s">
        <v>17</v>
      </c>
      <c r="D42" t="s">
        <v>18</v>
      </c>
      <c r="E42">
        <v>0</v>
      </c>
    </row>
    <row r="43" spans="2:5" ht="15.75" customHeight="1">
      <c r="B43"/>
      <c r="C43" t="s">
        <v>17</v>
      </c>
      <c r="D43" t="s">
        <v>18</v>
      </c>
      <c r="E43">
        <v>0</v>
      </c>
    </row>
    <row r="44" spans="2:5">
      <c r="B44"/>
      <c r="C44" t="s">
        <v>17</v>
      </c>
      <c r="D44" t="s">
        <v>18</v>
      </c>
      <c r="E44">
        <v>0</v>
      </c>
    </row>
    <row r="45" spans="2:5" ht="17.100000000000001" customHeight="1">
      <c r="C45" t="s">
        <v>15</v>
      </c>
      <c r="D45" t="s">
        <v>16</v>
      </c>
      <c r="E45">
        <v>0</v>
      </c>
    </row>
    <row r="46" spans="2:5" ht="17.100000000000001" customHeight="1">
      <c r="C46" t="s">
        <v>15</v>
      </c>
      <c r="D46" t="s">
        <v>16</v>
      </c>
      <c r="E46">
        <v>0</v>
      </c>
    </row>
    <row r="47" spans="2:5" ht="17.100000000000001" customHeight="1">
      <c r="C47" t="s">
        <v>15</v>
      </c>
      <c r="D47" t="s">
        <v>16</v>
      </c>
      <c r="E47">
        <v>0</v>
      </c>
    </row>
    <row r="48" spans="2:5" ht="17.100000000000001" customHeight="1">
      <c r="C48" t="s">
        <v>17</v>
      </c>
      <c r="D48" t="s">
        <v>18</v>
      </c>
      <c r="E48">
        <v>0</v>
      </c>
    </row>
    <row r="49" spans="3:5">
      <c r="C49" t="s">
        <v>17</v>
      </c>
      <c r="D49" t="s">
        <v>18</v>
      </c>
      <c r="E49">
        <v>0</v>
      </c>
    </row>
    <row r="50" spans="3:5">
      <c r="C50" t="s">
        <v>15</v>
      </c>
      <c r="D50" t="s">
        <v>16</v>
      </c>
      <c r="E50">
        <v>0</v>
      </c>
    </row>
    <row r="51" spans="3:5">
      <c r="C51" t="s">
        <v>17</v>
      </c>
      <c r="D51" t="s">
        <v>18</v>
      </c>
      <c r="E51">
        <v>0</v>
      </c>
    </row>
    <row r="52" spans="3:5">
      <c r="C52" t="s">
        <v>17</v>
      </c>
      <c r="D52" t="s">
        <v>18</v>
      </c>
      <c r="E52">
        <v>0</v>
      </c>
    </row>
    <row r="53" spans="3:5">
      <c r="C53" t="s">
        <v>17</v>
      </c>
      <c r="D53" t="s">
        <v>18</v>
      </c>
      <c r="E53">
        <v>0</v>
      </c>
    </row>
    <row r="54" spans="3:5">
      <c r="C54" t="s">
        <v>15</v>
      </c>
      <c r="D54" t="s">
        <v>16</v>
      </c>
      <c r="E54">
        <v>0</v>
      </c>
    </row>
    <row r="55" spans="3:5">
      <c r="C55" t="s">
        <v>17</v>
      </c>
      <c r="D55" t="s">
        <v>18</v>
      </c>
      <c r="E55">
        <v>0</v>
      </c>
    </row>
    <row r="56" spans="3:5">
      <c r="C56" t="s">
        <v>15</v>
      </c>
      <c r="D56" t="s">
        <v>16</v>
      </c>
      <c r="E56">
        <v>0</v>
      </c>
    </row>
    <row r="57" spans="3:5">
      <c r="C57" t="s">
        <v>17</v>
      </c>
      <c r="D57" t="s">
        <v>18</v>
      </c>
      <c r="E57">
        <v>0</v>
      </c>
    </row>
    <row r="58" spans="3:5">
      <c r="C58" t="s">
        <v>15</v>
      </c>
      <c r="D58" t="s">
        <v>16</v>
      </c>
      <c r="E58">
        <v>0</v>
      </c>
    </row>
    <row r="59" spans="3:5">
      <c r="C59" t="s">
        <v>17</v>
      </c>
      <c r="D59" t="s">
        <v>18</v>
      </c>
      <c r="E59">
        <v>0</v>
      </c>
    </row>
    <row r="60" spans="3:5">
      <c r="C60" t="s">
        <v>17</v>
      </c>
      <c r="D60" t="s">
        <v>18</v>
      </c>
      <c r="E60">
        <v>0</v>
      </c>
    </row>
    <row r="61" spans="3:5">
      <c r="C61" t="s">
        <v>15</v>
      </c>
      <c r="D61" t="s">
        <v>16</v>
      </c>
      <c r="E61">
        <v>0</v>
      </c>
    </row>
    <row r="62" spans="3:5">
      <c r="C62" t="s">
        <v>17</v>
      </c>
      <c r="D62" t="s">
        <v>18</v>
      </c>
      <c r="E62">
        <v>0</v>
      </c>
    </row>
    <row r="63" spans="3:5">
      <c r="C63" t="s">
        <v>17</v>
      </c>
      <c r="D63" t="s">
        <v>18</v>
      </c>
      <c r="E63">
        <v>0</v>
      </c>
    </row>
    <row r="64" spans="3:5">
      <c r="C64" t="s">
        <v>15</v>
      </c>
      <c r="D64" t="s">
        <v>16</v>
      </c>
      <c r="E64">
        <v>0</v>
      </c>
    </row>
    <row r="65" spans="1:5">
      <c r="C65" t="s">
        <v>17</v>
      </c>
      <c r="D65" t="s">
        <v>18</v>
      </c>
      <c r="E65">
        <v>0</v>
      </c>
    </row>
    <row r="66" spans="1:5">
      <c r="C66" t="s">
        <v>15</v>
      </c>
      <c r="D66" t="s">
        <v>16</v>
      </c>
      <c r="E66">
        <v>0</v>
      </c>
    </row>
    <row r="67" spans="1:5">
      <c r="C67" t="s">
        <v>15</v>
      </c>
      <c r="D67" t="s">
        <v>16</v>
      </c>
      <c r="E67">
        <v>0</v>
      </c>
    </row>
    <row r="68" spans="1:5">
      <c r="C68" t="s">
        <v>17</v>
      </c>
      <c r="D68" t="s">
        <v>18</v>
      </c>
      <c r="E68">
        <v>0</v>
      </c>
    </row>
    <row r="69" spans="1:5">
      <c r="A69" s="4"/>
      <c r="B69" s="4"/>
      <c r="C69" t="s">
        <v>17</v>
      </c>
      <c r="D69" t="s">
        <v>18</v>
      </c>
      <c r="E69">
        <v>0</v>
      </c>
    </row>
    <row r="70" spans="1:5">
      <c r="A70" s="4"/>
      <c r="B70" s="4"/>
      <c r="C70" t="s">
        <v>15</v>
      </c>
      <c r="D70" t="s">
        <v>16</v>
      </c>
      <c r="E70">
        <v>0</v>
      </c>
    </row>
    <row r="71" spans="1:5">
      <c r="A71" s="4"/>
      <c r="B71" s="4"/>
      <c r="C71" t="s">
        <v>17</v>
      </c>
      <c r="D71" t="s">
        <v>18</v>
      </c>
      <c r="E71">
        <v>0</v>
      </c>
    </row>
    <row r="72" spans="1:5">
      <c r="A72" s="4"/>
      <c r="B72" s="4"/>
      <c r="C72" t="s">
        <v>17</v>
      </c>
      <c r="D72" t="s">
        <v>18</v>
      </c>
      <c r="E72">
        <v>0</v>
      </c>
    </row>
    <row r="73" spans="1:5">
      <c r="A73" s="4"/>
      <c r="B73" s="4"/>
      <c r="C73" t="s">
        <v>17</v>
      </c>
      <c r="D73" t="s">
        <v>18</v>
      </c>
      <c r="E73">
        <v>0</v>
      </c>
    </row>
    <row r="74" spans="1:5">
      <c r="A74" s="4"/>
      <c r="B74" s="4"/>
      <c r="C74" t="s">
        <v>17</v>
      </c>
      <c r="D74" t="s">
        <v>18</v>
      </c>
      <c r="E74">
        <v>0</v>
      </c>
    </row>
    <row r="75" spans="1:5">
      <c r="A75" s="4"/>
      <c r="B75" s="4"/>
      <c r="C75" t="s">
        <v>15</v>
      </c>
      <c r="D75" t="s">
        <v>16</v>
      </c>
      <c r="E75">
        <v>0</v>
      </c>
    </row>
    <row r="76" spans="1:5">
      <c r="A76" s="4"/>
      <c r="B76" s="4"/>
      <c r="C76" t="s">
        <v>15</v>
      </c>
      <c r="D76" t="s">
        <v>16</v>
      </c>
      <c r="E76">
        <v>0</v>
      </c>
    </row>
    <row r="77" spans="1:5">
      <c r="A77" s="4"/>
      <c r="B77" s="4"/>
      <c r="C77" t="s">
        <v>15</v>
      </c>
      <c r="D77" t="s">
        <v>16</v>
      </c>
      <c r="E77">
        <v>0</v>
      </c>
    </row>
    <row r="78" spans="1:5">
      <c r="A78" s="4"/>
      <c r="B78" s="4"/>
      <c r="C78" t="s">
        <v>15</v>
      </c>
      <c r="D78" t="s">
        <v>16</v>
      </c>
      <c r="E78">
        <v>0</v>
      </c>
    </row>
    <row r="79" spans="1:5">
      <c r="A79" s="4"/>
      <c r="B79" s="4"/>
      <c r="C79" t="s">
        <v>17</v>
      </c>
      <c r="D79" t="s">
        <v>18</v>
      </c>
      <c r="E79">
        <v>0</v>
      </c>
    </row>
    <row r="80" spans="1:5">
      <c r="A80" s="4"/>
      <c r="B80" s="4"/>
      <c r="C80" t="s">
        <v>15</v>
      </c>
      <c r="D80" t="s">
        <v>16</v>
      </c>
      <c r="E80">
        <v>0</v>
      </c>
    </row>
    <row r="81" spans="1:5">
      <c r="A81" s="4"/>
      <c r="B81" s="4"/>
      <c r="C81" t="s">
        <v>17</v>
      </c>
      <c r="D81" t="s">
        <v>18</v>
      </c>
      <c r="E81">
        <v>0</v>
      </c>
    </row>
    <row r="82" spans="1:5">
      <c r="A82" s="4"/>
      <c r="B82" s="4"/>
      <c r="C82" t="s">
        <v>15</v>
      </c>
      <c r="D82" t="s">
        <v>16</v>
      </c>
      <c r="E82">
        <v>0</v>
      </c>
    </row>
    <row r="83" spans="1:5">
      <c r="A83" s="4"/>
      <c r="B83" s="4"/>
      <c r="C83" t="s">
        <v>17</v>
      </c>
      <c r="D83" t="s">
        <v>18</v>
      </c>
      <c r="E83">
        <v>0</v>
      </c>
    </row>
    <row r="84" spans="1:5">
      <c r="A84" s="4"/>
      <c r="B84" s="4"/>
      <c r="C84" t="s">
        <v>15</v>
      </c>
      <c r="D84" t="s">
        <v>16</v>
      </c>
      <c r="E84">
        <v>0</v>
      </c>
    </row>
    <row r="85" spans="1:5">
      <c r="A85" s="4"/>
      <c r="B85" s="4"/>
      <c r="C85" t="s">
        <v>17</v>
      </c>
      <c r="D85" t="s">
        <v>18</v>
      </c>
      <c r="E85">
        <v>0</v>
      </c>
    </row>
    <row r="86" spans="1:5">
      <c r="A86" s="4"/>
      <c r="B86" s="4"/>
      <c r="C86" t="s">
        <v>15</v>
      </c>
      <c r="D86" t="s">
        <v>16</v>
      </c>
      <c r="E86">
        <v>0</v>
      </c>
    </row>
    <row r="87" spans="1:5">
      <c r="A87" s="4"/>
      <c r="B87" s="4"/>
      <c r="C87" t="s">
        <v>17</v>
      </c>
      <c r="D87" t="s">
        <v>18</v>
      </c>
      <c r="E87">
        <v>0</v>
      </c>
    </row>
    <row r="88" spans="1:5">
      <c r="A88" s="4"/>
      <c r="B88" s="4"/>
      <c r="C88" t="s">
        <v>15</v>
      </c>
      <c r="D88" t="s">
        <v>16</v>
      </c>
      <c r="E88">
        <v>0</v>
      </c>
    </row>
    <row r="89" spans="1:5">
      <c r="A89" s="4"/>
      <c r="B89" s="4"/>
      <c r="C89" t="s">
        <v>15</v>
      </c>
      <c r="D89" t="s">
        <v>16</v>
      </c>
      <c r="E89">
        <v>0</v>
      </c>
    </row>
    <row r="90" spans="1:5">
      <c r="A90" s="4"/>
      <c r="B90" s="4"/>
      <c r="C90" t="s">
        <v>15</v>
      </c>
      <c r="D90" t="s">
        <v>16</v>
      </c>
      <c r="E90">
        <v>0</v>
      </c>
    </row>
    <row r="91" spans="1:5">
      <c r="A91" s="4"/>
      <c r="B91" s="4"/>
      <c r="C91" t="s">
        <v>17</v>
      </c>
      <c r="D91" t="s">
        <v>18</v>
      </c>
      <c r="E91">
        <v>0</v>
      </c>
    </row>
    <row r="92" spans="1:5">
      <c r="A92" s="4"/>
      <c r="B92" s="4"/>
      <c r="C92" t="s">
        <v>15</v>
      </c>
      <c r="D92" t="s">
        <v>16</v>
      </c>
      <c r="E92">
        <v>0</v>
      </c>
    </row>
    <row r="93" spans="1:5">
      <c r="A93" s="4"/>
      <c r="B93" s="4"/>
      <c r="C93" t="s">
        <v>15</v>
      </c>
      <c r="D93" t="s">
        <v>16</v>
      </c>
      <c r="E93">
        <v>0</v>
      </c>
    </row>
    <row r="94" spans="1:5" ht="15.95" customHeight="1">
      <c r="A94" s="4"/>
      <c r="B94" s="4"/>
      <c r="C94" t="s">
        <v>15</v>
      </c>
      <c r="D94" t="s">
        <v>16</v>
      </c>
      <c r="E94">
        <v>0</v>
      </c>
    </row>
    <row r="95" spans="1:5" ht="15.95" customHeight="1">
      <c r="A95" s="4"/>
      <c r="B95" s="4"/>
      <c r="C95" t="s">
        <v>17</v>
      </c>
      <c r="D95" t="s">
        <v>18</v>
      </c>
      <c r="E95">
        <v>0</v>
      </c>
    </row>
    <row r="96" spans="1:5">
      <c r="A96" s="4"/>
      <c r="B96" s="4"/>
      <c r="C96" t="s">
        <v>15</v>
      </c>
      <c r="D96" t="s">
        <v>16</v>
      </c>
      <c r="E96">
        <v>0</v>
      </c>
    </row>
    <row r="97" spans="1:5">
      <c r="A97" s="4"/>
      <c r="B97" s="4"/>
      <c r="C97" t="s">
        <v>17</v>
      </c>
      <c r="D97" t="s">
        <v>18</v>
      </c>
      <c r="E97">
        <v>0</v>
      </c>
    </row>
    <row r="98" spans="1:5">
      <c r="A98" s="4"/>
      <c r="B98" s="4"/>
      <c r="C98" t="s">
        <v>17</v>
      </c>
      <c r="D98" t="s">
        <v>18</v>
      </c>
      <c r="E98">
        <v>1</v>
      </c>
    </row>
    <row r="99" spans="1:5">
      <c r="A99" s="4"/>
      <c r="B99" s="4"/>
      <c r="C99" t="s">
        <v>17</v>
      </c>
      <c r="D99" t="s">
        <v>18</v>
      </c>
      <c r="E99">
        <v>0</v>
      </c>
    </row>
    <row r="100" spans="1:5">
      <c r="A100" s="4"/>
      <c r="B100" s="4"/>
      <c r="C100" t="s">
        <v>17</v>
      </c>
      <c r="D100" t="s">
        <v>18</v>
      </c>
      <c r="E100">
        <v>0</v>
      </c>
    </row>
    <row r="101" spans="1:5">
      <c r="A101" s="4"/>
      <c r="B101" s="4"/>
      <c r="C101" t="s">
        <v>17</v>
      </c>
      <c r="D101" t="s">
        <v>18</v>
      </c>
      <c r="E101">
        <v>0</v>
      </c>
    </row>
    <row r="102" spans="1:5">
      <c r="A102" s="4"/>
      <c r="B102" s="4"/>
      <c r="C102" t="s">
        <v>15</v>
      </c>
      <c r="D102" t="s">
        <v>16</v>
      </c>
      <c r="E102">
        <v>0</v>
      </c>
    </row>
    <row r="103" spans="1:5">
      <c r="A103" s="4"/>
      <c r="B103" s="4"/>
      <c r="C103" t="s">
        <v>15</v>
      </c>
      <c r="D103" t="s">
        <v>16</v>
      </c>
      <c r="E103">
        <v>0</v>
      </c>
    </row>
    <row r="104" spans="1:5">
      <c r="A104" s="4"/>
      <c r="B104" s="4"/>
      <c r="C104" t="s">
        <v>17</v>
      </c>
      <c r="D104" t="s">
        <v>18</v>
      </c>
      <c r="E104">
        <v>0</v>
      </c>
    </row>
    <row r="105" spans="1:5">
      <c r="A105" s="4"/>
      <c r="B105" s="4"/>
      <c r="C105" t="s">
        <v>15</v>
      </c>
      <c r="D105" t="s">
        <v>16</v>
      </c>
      <c r="E105">
        <v>0</v>
      </c>
    </row>
    <row r="106" spans="1:5">
      <c r="A106" s="4"/>
      <c r="B106" s="4"/>
      <c r="C106" t="s">
        <v>17</v>
      </c>
      <c r="D106" t="s">
        <v>18</v>
      </c>
      <c r="E106">
        <v>0</v>
      </c>
    </row>
    <row r="107" spans="1:5">
      <c r="A107" s="4"/>
      <c r="B107" s="4"/>
      <c r="C107" t="s">
        <v>17</v>
      </c>
      <c r="D107" t="s">
        <v>18</v>
      </c>
      <c r="E107">
        <v>0</v>
      </c>
    </row>
    <row r="108" spans="1:5">
      <c r="A108" s="4"/>
      <c r="B108" s="4"/>
      <c r="C108" t="s">
        <v>17</v>
      </c>
      <c r="D108" t="s">
        <v>18</v>
      </c>
      <c r="E108">
        <v>0</v>
      </c>
    </row>
    <row r="109" spans="1:5">
      <c r="A109" s="4"/>
      <c r="B109" s="4"/>
      <c r="C109" t="s">
        <v>15</v>
      </c>
      <c r="D109" t="s">
        <v>16</v>
      </c>
      <c r="E109">
        <v>0</v>
      </c>
    </row>
    <row r="110" spans="1:5">
      <c r="A110" s="4"/>
      <c r="B110" s="4"/>
      <c r="C110" t="s">
        <v>17</v>
      </c>
      <c r="D110" t="s">
        <v>18</v>
      </c>
      <c r="E110">
        <v>0</v>
      </c>
    </row>
    <row r="111" spans="1:5">
      <c r="A111" s="4"/>
      <c r="B111" s="4"/>
      <c r="C111" t="s">
        <v>17</v>
      </c>
      <c r="D111" t="s">
        <v>18</v>
      </c>
      <c r="E111">
        <v>0</v>
      </c>
    </row>
    <row r="112" spans="1:5">
      <c r="A112" s="4"/>
      <c r="B112" s="4"/>
      <c r="C112" t="s">
        <v>17</v>
      </c>
      <c r="D112" t="s">
        <v>18</v>
      </c>
      <c r="E112">
        <v>0</v>
      </c>
    </row>
    <row r="113" spans="1:5">
      <c r="A113" s="4"/>
      <c r="B113" s="4"/>
      <c r="C113" t="s">
        <v>15</v>
      </c>
      <c r="D113" t="s">
        <v>16</v>
      </c>
      <c r="E113">
        <v>0</v>
      </c>
    </row>
    <row r="114" spans="1:5">
      <c r="A114" s="4"/>
      <c r="B114" s="4"/>
      <c r="C114" t="s">
        <v>15</v>
      </c>
      <c r="D114" t="s">
        <v>16</v>
      </c>
      <c r="E114">
        <v>0</v>
      </c>
    </row>
    <row r="115" spans="1:5">
      <c r="A115" s="4"/>
      <c r="B115" s="4"/>
      <c r="C115" t="s">
        <v>15</v>
      </c>
      <c r="D115" t="s">
        <v>16</v>
      </c>
      <c r="E115">
        <v>0</v>
      </c>
    </row>
    <row r="116" spans="1:5">
      <c r="A116" s="4"/>
      <c r="B116" s="4"/>
      <c r="C116" t="s">
        <v>17</v>
      </c>
      <c r="D116" t="s">
        <v>18</v>
      </c>
      <c r="E116">
        <v>0</v>
      </c>
    </row>
    <row r="117" spans="1:5">
      <c r="C117" t="s">
        <v>17</v>
      </c>
      <c r="D117" t="s">
        <v>18</v>
      </c>
      <c r="E117">
        <v>0</v>
      </c>
    </row>
    <row r="118" spans="1:5">
      <c r="C118" t="s">
        <v>17</v>
      </c>
      <c r="D118" t="s">
        <v>18</v>
      </c>
      <c r="E118">
        <v>0</v>
      </c>
    </row>
    <row r="119" spans="1:5">
      <c r="C119" t="s">
        <v>15</v>
      </c>
      <c r="D119" t="s">
        <v>16</v>
      </c>
      <c r="E119">
        <v>0</v>
      </c>
    </row>
    <row r="120" spans="1:5">
      <c r="C120" t="s">
        <v>17</v>
      </c>
      <c r="D120" t="s">
        <v>18</v>
      </c>
      <c r="E120">
        <v>0</v>
      </c>
    </row>
    <row r="121" spans="1:5">
      <c r="C121" t="s">
        <v>15</v>
      </c>
      <c r="D121" t="s">
        <v>16</v>
      </c>
      <c r="E121">
        <v>0</v>
      </c>
    </row>
    <row r="122" spans="1:5">
      <c r="C122" t="s">
        <v>15</v>
      </c>
      <c r="D122" t="s">
        <v>16</v>
      </c>
      <c r="E122">
        <v>0</v>
      </c>
    </row>
    <row r="123" spans="1:5">
      <c r="C123" t="s">
        <v>15</v>
      </c>
      <c r="D123" t="s">
        <v>16</v>
      </c>
      <c r="E123">
        <v>0</v>
      </c>
    </row>
    <row r="124" spans="1:5">
      <c r="C124" t="s">
        <v>17</v>
      </c>
      <c r="D124" t="s">
        <v>18</v>
      </c>
      <c r="E124">
        <v>0</v>
      </c>
    </row>
    <row r="125" spans="1:5">
      <c r="C125" t="s">
        <v>15</v>
      </c>
      <c r="D125" t="s">
        <v>16</v>
      </c>
      <c r="E125">
        <v>0</v>
      </c>
    </row>
    <row r="126" spans="1:5">
      <c r="C126" t="s">
        <v>17</v>
      </c>
      <c r="D126" t="s">
        <v>18</v>
      </c>
      <c r="E126">
        <v>0</v>
      </c>
    </row>
    <row r="127" spans="1:5">
      <c r="C127" t="s">
        <v>15</v>
      </c>
      <c r="D127" t="s">
        <v>16</v>
      </c>
      <c r="E127">
        <v>0</v>
      </c>
    </row>
    <row r="128" spans="1:5">
      <c r="C128" t="s">
        <v>15</v>
      </c>
      <c r="D128" t="s">
        <v>16</v>
      </c>
      <c r="E128">
        <v>0</v>
      </c>
    </row>
    <row r="129" spans="3:5">
      <c r="C129" t="s">
        <v>17</v>
      </c>
      <c r="D129" t="s">
        <v>18</v>
      </c>
      <c r="E129">
        <v>0</v>
      </c>
    </row>
    <row r="130" spans="3:5">
      <c r="C130" t="s">
        <v>17</v>
      </c>
      <c r="D130" t="s">
        <v>18</v>
      </c>
      <c r="E130">
        <v>0</v>
      </c>
    </row>
    <row r="131" spans="3:5">
      <c r="C131" t="s">
        <v>17</v>
      </c>
      <c r="D131" t="s">
        <v>18</v>
      </c>
      <c r="E131">
        <v>0</v>
      </c>
    </row>
    <row r="132" spans="3:5">
      <c r="C132" t="s">
        <v>17</v>
      </c>
      <c r="D132" t="s">
        <v>18</v>
      </c>
      <c r="E132">
        <v>0</v>
      </c>
    </row>
    <row r="133" spans="3:5">
      <c r="C133" t="s">
        <v>17</v>
      </c>
      <c r="D133" t="s">
        <v>18</v>
      </c>
      <c r="E133">
        <v>0</v>
      </c>
    </row>
    <row r="134" spans="3:5">
      <c r="C134" t="s">
        <v>17</v>
      </c>
      <c r="D134" t="s">
        <v>18</v>
      </c>
      <c r="E134">
        <v>0</v>
      </c>
    </row>
    <row r="135" spans="3:5">
      <c r="C135" t="s">
        <v>17</v>
      </c>
      <c r="D135" t="s">
        <v>18</v>
      </c>
      <c r="E135">
        <v>0</v>
      </c>
    </row>
    <row r="136" spans="3:5">
      <c r="C136" t="s">
        <v>15</v>
      </c>
      <c r="D136" t="s">
        <v>16</v>
      </c>
      <c r="E136">
        <v>0</v>
      </c>
    </row>
    <row r="137" spans="3:5">
      <c r="C137" t="s">
        <v>17</v>
      </c>
      <c r="D137" t="s">
        <v>18</v>
      </c>
      <c r="E137">
        <v>0</v>
      </c>
    </row>
    <row r="138" spans="3:5">
      <c r="C138" t="s">
        <v>17</v>
      </c>
      <c r="D138" t="s">
        <v>18</v>
      </c>
      <c r="E138">
        <v>0</v>
      </c>
    </row>
    <row r="139" spans="3:5">
      <c r="C139" t="s">
        <v>17</v>
      </c>
      <c r="D139" t="s">
        <v>18</v>
      </c>
      <c r="E139">
        <v>0</v>
      </c>
    </row>
    <row r="140" spans="3:5">
      <c r="C140" t="s">
        <v>15</v>
      </c>
      <c r="D140" t="s">
        <v>16</v>
      </c>
      <c r="E140">
        <v>0</v>
      </c>
    </row>
    <row r="141" spans="3:5">
      <c r="C141" t="s">
        <v>15</v>
      </c>
      <c r="D141" t="s">
        <v>16</v>
      </c>
      <c r="E141">
        <v>0</v>
      </c>
    </row>
    <row r="142" spans="3:5">
      <c r="C142" t="s">
        <v>15</v>
      </c>
      <c r="D142" t="s">
        <v>16</v>
      </c>
      <c r="E142">
        <v>1</v>
      </c>
    </row>
    <row r="143" spans="3:5">
      <c r="C143" t="s">
        <v>15</v>
      </c>
      <c r="D143" t="s">
        <v>16</v>
      </c>
      <c r="E143">
        <v>0</v>
      </c>
    </row>
    <row r="144" spans="3:5">
      <c r="C144" t="s">
        <v>15</v>
      </c>
      <c r="D144" t="s">
        <v>16</v>
      </c>
      <c r="E144">
        <v>0</v>
      </c>
    </row>
    <row r="145" spans="3:5">
      <c r="C145" t="s">
        <v>17</v>
      </c>
      <c r="D145" t="s">
        <v>18</v>
      </c>
      <c r="E145">
        <v>0</v>
      </c>
    </row>
    <row r="146" spans="3:5">
      <c r="C146" t="s">
        <v>15</v>
      </c>
      <c r="D146" t="s">
        <v>16</v>
      </c>
      <c r="E146">
        <v>0</v>
      </c>
    </row>
    <row r="147" spans="3:5">
      <c r="C147" t="s">
        <v>15</v>
      </c>
      <c r="D147" t="s">
        <v>16</v>
      </c>
      <c r="E147">
        <v>1</v>
      </c>
    </row>
    <row r="148" spans="3:5">
      <c r="C148" t="s">
        <v>17</v>
      </c>
      <c r="D148" t="s">
        <v>18</v>
      </c>
      <c r="E148">
        <v>0</v>
      </c>
    </row>
    <row r="149" spans="3:5">
      <c r="C149" t="s">
        <v>15</v>
      </c>
      <c r="D149" t="s">
        <v>16</v>
      </c>
      <c r="E149">
        <v>0</v>
      </c>
    </row>
    <row r="150" spans="3:5">
      <c r="C150" t="s">
        <v>15</v>
      </c>
      <c r="D150" t="s">
        <v>16</v>
      </c>
      <c r="E150">
        <v>0</v>
      </c>
    </row>
    <row r="151" spans="3:5">
      <c r="C151" t="s">
        <v>17</v>
      </c>
      <c r="D151" t="s">
        <v>18</v>
      </c>
      <c r="E151">
        <v>0</v>
      </c>
    </row>
    <row r="152" spans="3:5">
      <c r="C152" t="s">
        <v>17</v>
      </c>
      <c r="D152" t="s">
        <v>18</v>
      </c>
      <c r="E152">
        <v>0</v>
      </c>
    </row>
    <row r="153" spans="3:5">
      <c r="C153" t="s">
        <v>15</v>
      </c>
      <c r="D153" t="s">
        <v>16</v>
      </c>
      <c r="E153">
        <v>0</v>
      </c>
    </row>
    <row r="154" spans="3:5">
      <c r="C154" t="s">
        <v>15</v>
      </c>
      <c r="D154" t="s">
        <v>16</v>
      </c>
      <c r="E154">
        <v>0</v>
      </c>
    </row>
    <row r="155" spans="3:5">
      <c r="C155" t="s">
        <v>15</v>
      </c>
      <c r="D155" t="s">
        <v>16</v>
      </c>
      <c r="E155">
        <v>0</v>
      </c>
    </row>
    <row r="156" spans="3:5">
      <c r="C156" t="s">
        <v>15</v>
      </c>
      <c r="D156" t="s">
        <v>16</v>
      </c>
      <c r="E156">
        <v>0</v>
      </c>
    </row>
    <row r="157" spans="3:5">
      <c r="C157" t="s">
        <v>17</v>
      </c>
      <c r="D157" t="s">
        <v>18</v>
      </c>
      <c r="E157">
        <v>0</v>
      </c>
    </row>
    <row r="158" spans="3:5">
      <c r="C158" t="s">
        <v>15</v>
      </c>
      <c r="D158" t="s">
        <v>16</v>
      </c>
      <c r="E158">
        <v>0</v>
      </c>
    </row>
    <row r="159" spans="3:5">
      <c r="C159" t="s">
        <v>17</v>
      </c>
      <c r="D159" t="s">
        <v>18</v>
      </c>
      <c r="E159">
        <v>0</v>
      </c>
    </row>
    <row r="160" spans="3:5">
      <c r="C160" t="s">
        <v>17</v>
      </c>
      <c r="D160" t="s">
        <v>18</v>
      </c>
      <c r="E160">
        <v>0</v>
      </c>
    </row>
    <row r="161" spans="3:5">
      <c r="C161" t="s">
        <v>15</v>
      </c>
      <c r="D161" t="s">
        <v>16</v>
      </c>
      <c r="E161">
        <v>0</v>
      </c>
    </row>
    <row r="162" spans="3:5">
      <c r="C162" t="s">
        <v>17</v>
      </c>
      <c r="D162" t="s">
        <v>18</v>
      </c>
      <c r="E162">
        <v>0</v>
      </c>
    </row>
    <row r="163" spans="3:5">
      <c r="C163" t="s">
        <v>15</v>
      </c>
      <c r="D163" t="s">
        <v>16</v>
      </c>
      <c r="E163">
        <v>0</v>
      </c>
    </row>
    <row r="164" spans="3:5">
      <c r="C164" t="s">
        <v>17</v>
      </c>
      <c r="D164" t="s">
        <v>18</v>
      </c>
      <c r="E164">
        <v>0</v>
      </c>
    </row>
    <row r="165" spans="3:5">
      <c r="C165" t="s">
        <v>17</v>
      </c>
      <c r="D165" t="s">
        <v>18</v>
      </c>
      <c r="E165">
        <v>0</v>
      </c>
    </row>
    <row r="166" spans="3:5">
      <c r="C166" t="s">
        <v>15</v>
      </c>
      <c r="D166" t="s">
        <v>16</v>
      </c>
      <c r="E166">
        <v>0</v>
      </c>
    </row>
    <row r="167" spans="3:5">
      <c r="C167" t="s">
        <v>17</v>
      </c>
      <c r="D167" t="s">
        <v>18</v>
      </c>
      <c r="E167">
        <v>0</v>
      </c>
    </row>
    <row r="168" spans="3:5">
      <c r="C168" t="s">
        <v>15</v>
      </c>
      <c r="D168" t="s">
        <v>16</v>
      </c>
      <c r="E168">
        <v>0</v>
      </c>
    </row>
    <row r="169" spans="3:5">
      <c r="C169" t="s">
        <v>17</v>
      </c>
      <c r="D169" t="s">
        <v>18</v>
      </c>
      <c r="E169">
        <v>0</v>
      </c>
    </row>
    <row r="170" spans="3:5">
      <c r="C170" t="s">
        <v>15</v>
      </c>
      <c r="D170" t="s">
        <v>16</v>
      </c>
      <c r="E170">
        <v>0</v>
      </c>
    </row>
    <row r="171" spans="3:5">
      <c r="C171" t="s">
        <v>17</v>
      </c>
      <c r="D171" t="s">
        <v>18</v>
      </c>
      <c r="E171">
        <v>0</v>
      </c>
    </row>
    <row r="172" spans="3:5">
      <c r="C172" t="s">
        <v>17</v>
      </c>
      <c r="D172" t="s">
        <v>18</v>
      </c>
      <c r="E172">
        <v>0</v>
      </c>
    </row>
    <row r="173" spans="3:5">
      <c r="C173" t="s">
        <v>17</v>
      </c>
      <c r="D173" t="s">
        <v>18</v>
      </c>
      <c r="E173">
        <v>0</v>
      </c>
    </row>
    <row r="174" spans="3:5">
      <c r="C174" t="s">
        <v>17</v>
      </c>
      <c r="D174" t="s">
        <v>18</v>
      </c>
      <c r="E174">
        <v>0</v>
      </c>
    </row>
    <row r="175" spans="3:5">
      <c r="C175" t="s">
        <v>15</v>
      </c>
      <c r="D175" t="s">
        <v>16</v>
      </c>
      <c r="E175">
        <v>0</v>
      </c>
    </row>
    <row r="176" spans="3:5">
      <c r="C176" t="s">
        <v>15</v>
      </c>
      <c r="D176" t="s">
        <v>16</v>
      </c>
      <c r="E176">
        <v>0</v>
      </c>
    </row>
    <row r="177" spans="3:5">
      <c r="C177" t="s">
        <v>15</v>
      </c>
      <c r="D177" t="s">
        <v>16</v>
      </c>
      <c r="E177">
        <v>0</v>
      </c>
    </row>
    <row r="178" spans="3:5">
      <c r="C178" t="s">
        <v>17</v>
      </c>
      <c r="D178" t="s">
        <v>18</v>
      </c>
      <c r="E178">
        <v>0</v>
      </c>
    </row>
    <row r="179" spans="3:5">
      <c r="C179" t="s">
        <v>15</v>
      </c>
      <c r="D179" t="s">
        <v>16</v>
      </c>
      <c r="E179">
        <v>0</v>
      </c>
    </row>
    <row r="180" spans="3:5">
      <c r="C180" t="s">
        <v>15</v>
      </c>
      <c r="D180" t="s">
        <v>16</v>
      </c>
      <c r="E180">
        <v>0</v>
      </c>
    </row>
    <row r="181" spans="3:5">
      <c r="C181" t="s">
        <v>17</v>
      </c>
      <c r="D181" t="s">
        <v>18</v>
      </c>
      <c r="E181">
        <v>0</v>
      </c>
    </row>
    <row r="182" spans="3:5">
      <c r="C182" t="s">
        <v>17</v>
      </c>
      <c r="D182" t="s">
        <v>18</v>
      </c>
      <c r="E182">
        <v>0</v>
      </c>
    </row>
    <row r="183" spans="3:5">
      <c r="C183" t="s">
        <v>17</v>
      </c>
      <c r="D183" t="s">
        <v>18</v>
      </c>
      <c r="E183">
        <v>0</v>
      </c>
    </row>
    <row r="184" spans="3:5">
      <c r="C184" t="s">
        <v>15</v>
      </c>
      <c r="D184" t="s">
        <v>16</v>
      </c>
      <c r="E184">
        <v>0</v>
      </c>
    </row>
    <row r="185" spans="3:5">
      <c r="C185" t="s">
        <v>15</v>
      </c>
      <c r="D185" t="s">
        <v>16</v>
      </c>
      <c r="E185">
        <v>0</v>
      </c>
    </row>
    <row r="186" spans="3:5">
      <c r="C186" t="s">
        <v>17</v>
      </c>
      <c r="D186" t="s">
        <v>18</v>
      </c>
      <c r="E186">
        <v>0</v>
      </c>
    </row>
    <row r="187" spans="3:5">
      <c r="C187" t="s">
        <v>15</v>
      </c>
      <c r="D187" t="s">
        <v>16</v>
      </c>
      <c r="E187">
        <v>0</v>
      </c>
    </row>
    <row r="188" spans="3:5">
      <c r="C188" t="s">
        <v>15</v>
      </c>
      <c r="D188" t="s">
        <v>16</v>
      </c>
      <c r="E188">
        <v>0</v>
      </c>
    </row>
    <row r="189" spans="3:5">
      <c r="C189" t="s">
        <v>17</v>
      </c>
      <c r="D189" t="s">
        <v>18</v>
      </c>
      <c r="E189">
        <v>0</v>
      </c>
    </row>
    <row r="190" spans="3:5">
      <c r="C190" t="s">
        <v>17</v>
      </c>
      <c r="D190" t="s">
        <v>18</v>
      </c>
      <c r="E190">
        <v>0</v>
      </c>
    </row>
    <row r="191" spans="3:5">
      <c r="C191" t="s">
        <v>15</v>
      </c>
      <c r="D191" t="s">
        <v>16</v>
      </c>
      <c r="E191">
        <v>0</v>
      </c>
    </row>
    <row r="192" spans="3:5">
      <c r="C192" t="s">
        <v>15</v>
      </c>
      <c r="D192" t="s">
        <v>16</v>
      </c>
      <c r="E192">
        <v>0</v>
      </c>
    </row>
    <row r="193" spans="3:5">
      <c r="C193" t="s">
        <v>15</v>
      </c>
      <c r="D193" t="s">
        <v>16</v>
      </c>
      <c r="E193">
        <v>0</v>
      </c>
    </row>
    <row r="194" spans="3:5">
      <c r="C194" t="s">
        <v>15</v>
      </c>
      <c r="D194" t="s">
        <v>16</v>
      </c>
      <c r="E194">
        <v>0</v>
      </c>
    </row>
    <row r="195" spans="3:5">
      <c r="C195" t="s">
        <v>15</v>
      </c>
      <c r="D195" t="s">
        <v>16</v>
      </c>
      <c r="E195">
        <v>0</v>
      </c>
    </row>
    <row r="196" spans="3:5">
      <c r="C196" t="s">
        <v>17</v>
      </c>
      <c r="D196" t="s">
        <v>18</v>
      </c>
      <c r="E196">
        <v>0</v>
      </c>
    </row>
    <row r="197" spans="3:5">
      <c r="C197" t="s">
        <v>17</v>
      </c>
      <c r="D197" t="s">
        <v>18</v>
      </c>
      <c r="E197">
        <v>0</v>
      </c>
    </row>
    <row r="198" spans="3:5">
      <c r="C198" t="s">
        <v>15</v>
      </c>
      <c r="D198" t="s">
        <v>16</v>
      </c>
      <c r="E198">
        <v>0</v>
      </c>
    </row>
    <row r="199" spans="3:5">
      <c r="C199" t="s">
        <v>17</v>
      </c>
      <c r="D199" t="s">
        <v>18</v>
      </c>
      <c r="E199">
        <v>0</v>
      </c>
    </row>
    <row r="200" spans="3:5">
      <c r="C200" t="s">
        <v>17</v>
      </c>
      <c r="D200" t="s">
        <v>18</v>
      </c>
      <c r="E200">
        <v>0</v>
      </c>
    </row>
    <row r="201" spans="3:5">
      <c r="C201" t="s">
        <v>17</v>
      </c>
      <c r="D201" t="s">
        <v>18</v>
      </c>
      <c r="E201">
        <v>0</v>
      </c>
    </row>
    <row r="202" spans="3:5">
      <c r="C202" t="s">
        <v>17</v>
      </c>
      <c r="D202" t="s">
        <v>18</v>
      </c>
      <c r="E202">
        <v>0</v>
      </c>
    </row>
    <row r="203" spans="3:5">
      <c r="C203" t="s">
        <v>17</v>
      </c>
      <c r="D203" t="s">
        <v>18</v>
      </c>
      <c r="E203">
        <v>0</v>
      </c>
    </row>
    <row r="204" spans="3:5">
      <c r="C204" t="s">
        <v>15</v>
      </c>
      <c r="D204" t="s">
        <v>16</v>
      </c>
      <c r="E204">
        <v>0</v>
      </c>
    </row>
    <row r="205" spans="3:5">
      <c r="C205" t="s">
        <v>17</v>
      </c>
      <c r="D205" t="s">
        <v>18</v>
      </c>
      <c r="E205">
        <v>0</v>
      </c>
    </row>
    <row r="206" spans="3:5">
      <c r="C206" t="s">
        <v>17</v>
      </c>
      <c r="D206" t="s">
        <v>18</v>
      </c>
      <c r="E206">
        <v>0</v>
      </c>
    </row>
    <row r="207" spans="3:5">
      <c r="C207" t="s">
        <v>15</v>
      </c>
      <c r="D207" t="s">
        <v>16</v>
      </c>
      <c r="E207">
        <v>0</v>
      </c>
    </row>
    <row r="208" spans="3:5">
      <c r="C208" t="s">
        <v>15</v>
      </c>
      <c r="D208" t="s">
        <v>16</v>
      </c>
      <c r="E208">
        <v>0</v>
      </c>
    </row>
    <row r="209" spans="3:5">
      <c r="C209" t="s">
        <v>15</v>
      </c>
      <c r="D209" t="s">
        <v>16</v>
      </c>
      <c r="E209">
        <v>0</v>
      </c>
    </row>
    <row r="210" spans="3:5">
      <c r="C210" t="s">
        <v>17</v>
      </c>
      <c r="D210" t="s">
        <v>18</v>
      </c>
      <c r="E210">
        <v>0</v>
      </c>
    </row>
    <row r="211" spans="3:5">
      <c r="C211" t="s">
        <v>17</v>
      </c>
      <c r="D211" t="s">
        <v>18</v>
      </c>
      <c r="E211">
        <v>0</v>
      </c>
    </row>
    <row r="212" spans="3:5">
      <c r="C212" t="s">
        <v>17</v>
      </c>
      <c r="D212" t="s">
        <v>18</v>
      </c>
      <c r="E212">
        <v>0</v>
      </c>
    </row>
    <row r="213" spans="3:5">
      <c r="C213" t="s">
        <v>15</v>
      </c>
      <c r="D213" t="s">
        <v>16</v>
      </c>
      <c r="E213">
        <v>0</v>
      </c>
    </row>
    <row r="214" spans="3:5">
      <c r="C214" t="s">
        <v>17</v>
      </c>
      <c r="D214" t="s">
        <v>18</v>
      </c>
      <c r="E214">
        <v>1</v>
      </c>
    </row>
    <row r="215" spans="3:5">
      <c r="C215" t="s">
        <v>17</v>
      </c>
      <c r="D215" t="s">
        <v>18</v>
      </c>
      <c r="E215">
        <v>0</v>
      </c>
    </row>
    <row r="216" spans="3:5">
      <c r="C216" t="s">
        <v>15</v>
      </c>
      <c r="D216" t="s">
        <v>16</v>
      </c>
      <c r="E216">
        <v>0</v>
      </c>
    </row>
    <row r="217" spans="3:5">
      <c r="C217" t="s">
        <v>17</v>
      </c>
      <c r="D217" t="s">
        <v>18</v>
      </c>
      <c r="E217">
        <v>0</v>
      </c>
    </row>
    <row r="218" spans="3:5">
      <c r="C218" t="s">
        <v>17</v>
      </c>
      <c r="D218" t="s">
        <v>18</v>
      </c>
      <c r="E218">
        <v>0</v>
      </c>
    </row>
    <row r="219" spans="3:5">
      <c r="C219" t="s">
        <v>15</v>
      </c>
      <c r="D219" t="s">
        <v>16</v>
      </c>
      <c r="E219">
        <v>0</v>
      </c>
    </row>
    <row r="220" spans="3:5">
      <c r="C220" t="s">
        <v>15</v>
      </c>
      <c r="D220" t="s">
        <v>16</v>
      </c>
      <c r="E220">
        <v>0</v>
      </c>
    </row>
    <row r="221" spans="3:5">
      <c r="C221" t="s">
        <v>17</v>
      </c>
      <c r="D221" t="s">
        <v>18</v>
      </c>
      <c r="E221">
        <v>0</v>
      </c>
    </row>
    <row r="222" spans="3:5">
      <c r="C222" t="s">
        <v>15</v>
      </c>
      <c r="D222" t="s">
        <v>16</v>
      </c>
      <c r="E222">
        <v>0</v>
      </c>
    </row>
    <row r="223" spans="3:5">
      <c r="C223" t="s">
        <v>15</v>
      </c>
      <c r="D223" t="s">
        <v>16</v>
      </c>
      <c r="E223">
        <v>0</v>
      </c>
    </row>
    <row r="224" spans="3:5">
      <c r="C224" t="s">
        <v>15</v>
      </c>
      <c r="D224" t="s">
        <v>16</v>
      </c>
      <c r="E224">
        <v>0</v>
      </c>
    </row>
    <row r="225" spans="3:5">
      <c r="C225" t="s">
        <v>17</v>
      </c>
      <c r="D225" t="s">
        <v>18</v>
      </c>
      <c r="E225">
        <v>0</v>
      </c>
    </row>
    <row r="226" spans="3:5">
      <c r="C226" t="s">
        <v>17</v>
      </c>
      <c r="D226" t="s">
        <v>18</v>
      </c>
      <c r="E226">
        <v>0</v>
      </c>
    </row>
    <row r="227" spans="3:5">
      <c r="C227" t="s">
        <v>17</v>
      </c>
      <c r="D227" t="s">
        <v>18</v>
      </c>
      <c r="E227">
        <v>0</v>
      </c>
    </row>
    <row r="228" spans="3:5">
      <c r="C228" t="s">
        <v>15</v>
      </c>
      <c r="D228" t="s">
        <v>16</v>
      </c>
      <c r="E228">
        <v>0</v>
      </c>
    </row>
    <row r="229" spans="3:5">
      <c r="C229" t="s">
        <v>15</v>
      </c>
      <c r="D229" t="s">
        <v>16</v>
      </c>
      <c r="E229">
        <v>0</v>
      </c>
    </row>
    <row r="230" spans="3:5">
      <c r="C230" t="s">
        <v>15</v>
      </c>
      <c r="D230" t="s">
        <v>16</v>
      </c>
      <c r="E230">
        <v>0</v>
      </c>
    </row>
    <row r="231" spans="3:5">
      <c r="C231" t="s">
        <v>15</v>
      </c>
      <c r="D231" t="s">
        <v>16</v>
      </c>
      <c r="E231">
        <v>0</v>
      </c>
    </row>
    <row r="232" spans="3:5">
      <c r="C232" t="s">
        <v>15</v>
      </c>
      <c r="D232" t="s">
        <v>16</v>
      </c>
      <c r="E232">
        <v>0</v>
      </c>
    </row>
    <row r="233" spans="3:5">
      <c r="C233" t="s">
        <v>15</v>
      </c>
      <c r="D233" t="s">
        <v>16</v>
      </c>
      <c r="E233">
        <v>0</v>
      </c>
    </row>
    <row r="234" spans="3:5">
      <c r="C234" t="s">
        <v>15</v>
      </c>
      <c r="D234" t="s">
        <v>16</v>
      </c>
      <c r="E234">
        <v>0</v>
      </c>
    </row>
    <row r="235" spans="3:5">
      <c r="C235" t="s">
        <v>17</v>
      </c>
      <c r="D235" t="s">
        <v>18</v>
      </c>
      <c r="E235">
        <v>0</v>
      </c>
    </row>
    <row r="236" spans="3:5">
      <c r="C236" t="s">
        <v>15</v>
      </c>
      <c r="D236" t="s">
        <v>16</v>
      </c>
      <c r="E236">
        <v>0</v>
      </c>
    </row>
    <row r="237" spans="3:5">
      <c r="C237" t="s">
        <v>15</v>
      </c>
      <c r="D237" t="s">
        <v>16</v>
      </c>
      <c r="E237">
        <v>0</v>
      </c>
    </row>
    <row r="238" spans="3:5">
      <c r="C238" t="s">
        <v>15</v>
      </c>
      <c r="D238" t="s">
        <v>16</v>
      </c>
      <c r="E238">
        <v>0</v>
      </c>
    </row>
    <row r="239" spans="3:5">
      <c r="C239" t="s">
        <v>15</v>
      </c>
      <c r="D239" t="s">
        <v>16</v>
      </c>
      <c r="E239">
        <v>0</v>
      </c>
    </row>
    <row r="240" spans="3:5">
      <c r="C240" t="s">
        <v>17</v>
      </c>
      <c r="D240" t="s">
        <v>18</v>
      </c>
      <c r="E240">
        <v>1</v>
      </c>
    </row>
    <row r="241" spans="3:5">
      <c r="C241" t="s">
        <v>17</v>
      </c>
      <c r="D241" t="s">
        <v>18</v>
      </c>
      <c r="E241">
        <v>0</v>
      </c>
    </row>
    <row r="242" spans="3:5">
      <c r="C242" t="s">
        <v>17</v>
      </c>
      <c r="D242" t="s">
        <v>18</v>
      </c>
      <c r="E242">
        <v>0</v>
      </c>
    </row>
    <row r="243" spans="3:5">
      <c r="C243" t="s">
        <v>17</v>
      </c>
      <c r="D243" t="s">
        <v>18</v>
      </c>
      <c r="E243">
        <v>0</v>
      </c>
    </row>
    <row r="244" spans="3:5">
      <c r="C244" t="s">
        <v>15</v>
      </c>
      <c r="D244" t="s">
        <v>16</v>
      </c>
      <c r="E244">
        <v>0</v>
      </c>
    </row>
    <row r="245" spans="3:5">
      <c r="C245" t="s">
        <v>17</v>
      </c>
      <c r="D245" t="s">
        <v>18</v>
      </c>
      <c r="E245">
        <v>0</v>
      </c>
    </row>
    <row r="246" spans="3:5">
      <c r="C246" t="s">
        <v>15</v>
      </c>
      <c r="D246" t="s">
        <v>16</v>
      </c>
      <c r="E246">
        <v>0</v>
      </c>
    </row>
    <row r="247" spans="3:5">
      <c r="C247" t="s">
        <v>17</v>
      </c>
      <c r="D247" t="s">
        <v>18</v>
      </c>
      <c r="E247">
        <v>0</v>
      </c>
    </row>
    <row r="248" spans="3:5">
      <c r="C248" t="s">
        <v>15</v>
      </c>
      <c r="D248" t="s">
        <v>16</v>
      </c>
      <c r="E248">
        <v>0</v>
      </c>
    </row>
    <row r="249" spans="3:5">
      <c r="C249" t="s">
        <v>17</v>
      </c>
      <c r="D249" t="s">
        <v>18</v>
      </c>
      <c r="E249">
        <v>0</v>
      </c>
    </row>
    <row r="250" spans="3:5">
      <c r="C250" t="s">
        <v>17</v>
      </c>
      <c r="D250" t="s">
        <v>18</v>
      </c>
      <c r="E250">
        <v>0</v>
      </c>
    </row>
    <row r="251" spans="3:5">
      <c r="C251" t="s">
        <v>15</v>
      </c>
      <c r="D251" t="s">
        <v>16</v>
      </c>
      <c r="E251">
        <v>0</v>
      </c>
    </row>
    <row r="252" spans="3:5">
      <c r="C252" t="s">
        <v>15</v>
      </c>
      <c r="D252" t="s">
        <v>16</v>
      </c>
      <c r="E252">
        <v>0</v>
      </c>
    </row>
    <row r="253" spans="3:5">
      <c r="C253" t="s">
        <v>17</v>
      </c>
      <c r="D253" t="s">
        <v>18</v>
      </c>
      <c r="E253">
        <v>0</v>
      </c>
    </row>
    <row r="254" spans="3:5">
      <c r="C254" t="s">
        <v>17</v>
      </c>
      <c r="D254" t="s">
        <v>18</v>
      </c>
      <c r="E254">
        <v>0</v>
      </c>
    </row>
    <row r="255" spans="3:5">
      <c r="C255" t="s">
        <v>15</v>
      </c>
      <c r="D255" t="s">
        <v>16</v>
      </c>
      <c r="E255">
        <v>0</v>
      </c>
    </row>
    <row r="256" spans="3:5">
      <c r="C256" t="s">
        <v>17</v>
      </c>
      <c r="D256" t="s">
        <v>18</v>
      </c>
      <c r="E256">
        <v>0</v>
      </c>
    </row>
    <row r="257" spans="3:5">
      <c r="C257" t="s">
        <v>17</v>
      </c>
      <c r="D257" t="s">
        <v>18</v>
      </c>
      <c r="E257">
        <v>0</v>
      </c>
    </row>
    <row r="258" spans="3:5">
      <c r="C258" t="s">
        <v>15</v>
      </c>
      <c r="D258" t="s">
        <v>16</v>
      </c>
      <c r="E258">
        <v>0</v>
      </c>
    </row>
    <row r="259" spans="3:5">
      <c r="C259" t="s">
        <v>15</v>
      </c>
      <c r="D259" t="s">
        <v>16</v>
      </c>
      <c r="E259">
        <v>0</v>
      </c>
    </row>
    <row r="260" spans="3:5">
      <c r="C260" t="s">
        <v>15</v>
      </c>
      <c r="D260" t="s">
        <v>16</v>
      </c>
      <c r="E260">
        <v>0</v>
      </c>
    </row>
    <row r="261" spans="3:5">
      <c r="C261" t="s">
        <v>17</v>
      </c>
      <c r="D261" t="s">
        <v>18</v>
      </c>
      <c r="E261">
        <v>0</v>
      </c>
    </row>
    <row r="262" spans="3:5">
      <c r="C262" t="s">
        <v>15</v>
      </c>
      <c r="D262" t="s">
        <v>16</v>
      </c>
      <c r="E262">
        <v>0</v>
      </c>
    </row>
    <row r="263" spans="3:5">
      <c r="C263" t="s">
        <v>15</v>
      </c>
      <c r="D263" t="s">
        <v>16</v>
      </c>
      <c r="E263">
        <v>1</v>
      </c>
    </row>
    <row r="264" spans="3:5">
      <c r="C264" t="s">
        <v>15</v>
      </c>
      <c r="D264" t="s">
        <v>16</v>
      </c>
      <c r="E264">
        <v>0</v>
      </c>
    </row>
    <row r="265" spans="3:5">
      <c r="C265" t="s">
        <v>17</v>
      </c>
      <c r="D265" t="s">
        <v>18</v>
      </c>
      <c r="E265">
        <v>0</v>
      </c>
    </row>
    <row r="266" spans="3:5">
      <c r="C266" t="s">
        <v>15</v>
      </c>
      <c r="D266" t="s">
        <v>16</v>
      </c>
      <c r="E266">
        <v>0</v>
      </c>
    </row>
    <row r="267" spans="3:5">
      <c r="C267" t="s">
        <v>17</v>
      </c>
      <c r="D267" t="s">
        <v>18</v>
      </c>
      <c r="E267">
        <v>0</v>
      </c>
    </row>
    <row r="268" spans="3:5">
      <c r="C268" t="s">
        <v>17</v>
      </c>
      <c r="D268" t="s">
        <v>18</v>
      </c>
      <c r="E268">
        <v>1</v>
      </c>
    </row>
    <row r="269" spans="3:5">
      <c r="C269" t="s">
        <v>15</v>
      </c>
      <c r="D269" t="s">
        <v>16</v>
      </c>
      <c r="E269">
        <v>0</v>
      </c>
    </row>
    <row r="270" spans="3:5">
      <c r="C270" t="s">
        <v>15</v>
      </c>
      <c r="D270" t="s">
        <v>16</v>
      </c>
      <c r="E270">
        <v>0</v>
      </c>
    </row>
    <row r="271" spans="3:5">
      <c r="C271" t="s">
        <v>17</v>
      </c>
      <c r="D271" t="s">
        <v>18</v>
      </c>
      <c r="E271">
        <v>0</v>
      </c>
    </row>
    <row r="272" spans="3:5">
      <c r="C272" t="s">
        <v>17</v>
      </c>
      <c r="D272" t="s">
        <v>18</v>
      </c>
      <c r="E272">
        <v>0</v>
      </c>
    </row>
    <row r="273" spans="3:5">
      <c r="C273" t="s">
        <v>17</v>
      </c>
      <c r="D273" t="s">
        <v>18</v>
      </c>
      <c r="E273">
        <v>0</v>
      </c>
    </row>
    <row r="274" spans="3:5">
      <c r="C274" t="s">
        <v>17</v>
      </c>
      <c r="D274" t="s">
        <v>18</v>
      </c>
      <c r="E274">
        <v>0</v>
      </c>
    </row>
    <row r="275" spans="3:5">
      <c r="C275" t="s">
        <v>15</v>
      </c>
      <c r="D275" t="s">
        <v>16</v>
      </c>
      <c r="E275">
        <v>0</v>
      </c>
    </row>
    <row r="276" spans="3:5">
      <c r="C276" t="s">
        <v>15</v>
      </c>
      <c r="D276" t="s">
        <v>16</v>
      </c>
      <c r="E276">
        <v>0</v>
      </c>
    </row>
    <row r="277" spans="3:5">
      <c r="C277" t="s">
        <v>17</v>
      </c>
      <c r="D277" t="s">
        <v>18</v>
      </c>
      <c r="E277">
        <v>0</v>
      </c>
    </row>
    <row r="278" spans="3:5">
      <c r="C278" t="s">
        <v>17</v>
      </c>
      <c r="D278" t="s">
        <v>18</v>
      </c>
      <c r="E278">
        <v>0</v>
      </c>
    </row>
    <row r="279" spans="3:5">
      <c r="C279" t="s">
        <v>15</v>
      </c>
      <c r="D279" t="s">
        <v>16</v>
      </c>
      <c r="E279">
        <v>0</v>
      </c>
    </row>
    <row r="280" spans="3:5">
      <c r="C280" t="s">
        <v>17</v>
      </c>
      <c r="D280" t="s">
        <v>18</v>
      </c>
      <c r="E280">
        <v>0</v>
      </c>
    </row>
    <row r="281" spans="3:5">
      <c r="C281" t="s">
        <v>17</v>
      </c>
      <c r="D281" t="s">
        <v>18</v>
      </c>
      <c r="E281">
        <v>0</v>
      </c>
    </row>
    <row r="282" spans="3:5">
      <c r="C282" t="s">
        <v>17</v>
      </c>
      <c r="D282" t="s">
        <v>18</v>
      </c>
      <c r="E282">
        <v>0</v>
      </c>
    </row>
    <row r="283" spans="3:5">
      <c r="C283" t="s">
        <v>15</v>
      </c>
      <c r="D283" t="s">
        <v>16</v>
      </c>
      <c r="E283">
        <v>0</v>
      </c>
    </row>
    <row r="284" spans="3:5">
      <c r="C284" t="s">
        <v>15</v>
      </c>
      <c r="D284" t="s">
        <v>16</v>
      </c>
      <c r="E284">
        <v>0</v>
      </c>
    </row>
    <row r="285" spans="3:5">
      <c r="C285" t="s">
        <v>17</v>
      </c>
      <c r="D285" t="s">
        <v>18</v>
      </c>
      <c r="E285">
        <v>0</v>
      </c>
    </row>
    <row r="286" spans="3:5">
      <c r="C286" t="s">
        <v>17</v>
      </c>
      <c r="D286" t="s">
        <v>18</v>
      </c>
      <c r="E286">
        <v>0</v>
      </c>
    </row>
    <row r="287" spans="3:5">
      <c r="C287" t="s">
        <v>17</v>
      </c>
      <c r="D287" t="s">
        <v>18</v>
      </c>
      <c r="E287">
        <v>0</v>
      </c>
    </row>
    <row r="288" spans="3:5">
      <c r="C288" t="s">
        <v>17</v>
      </c>
      <c r="D288" t="s">
        <v>18</v>
      </c>
      <c r="E288">
        <v>0</v>
      </c>
    </row>
    <row r="289" spans="3:5">
      <c r="C289" t="s">
        <v>15</v>
      </c>
      <c r="D289" t="s">
        <v>16</v>
      </c>
      <c r="E289">
        <v>0</v>
      </c>
    </row>
    <row r="290" spans="3:5">
      <c r="C290" t="s">
        <v>17</v>
      </c>
      <c r="D290" t="s">
        <v>18</v>
      </c>
      <c r="E290">
        <v>0</v>
      </c>
    </row>
    <row r="291" spans="3:5">
      <c r="C291" t="s">
        <v>15</v>
      </c>
      <c r="D291" t="s">
        <v>16</v>
      </c>
      <c r="E291">
        <v>0</v>
      </c>
    </row>
    <row r="292" spans="3:5">
      <c r="C292" t="s">
        <v>15</v>
      </c>
      <c r="D292" t="s">
        <v>16</v>
      </c>
      <c r="E292">
        <v>0</v>
      </c>
    </row>
    <row r="293" spans="3:5">
      <c r="C293" t="s">
        <v>17</v>
      </c>
      <c r="D293" t="s">
        <v>18</v>
      </c>
      <c r="E293">
        <v>0</v>
      </c>
    </row>
    <row r="294" spans="3:5">
      <c r="C294" t="s">
        <v>17</v>
      </c>
      <c r="D294" t="s">
        <v>18</v>
      </c>
      <c r="E294">
        <v>0</v>
      </c>
    </row>
    <row r="295" spans="3:5">
      <c r="C295" t="s">
        <v>17</v>
      </c>
      <c r="D295" t="s">
        <v>18</v>
      </c>
      <c r="E295">
        <v>0</v>
      </c>
    </row>
    <row r="296" spans="3:5">
      <c r="C296" t="s">
        <v>17</v>
      </c>
      <c r="D296" t="s">
        <v>18</v>
      </c>
      <c r="E296">
        <v>1</v>
      </c>
    </row>
    <row r="297" spans="3:5">
      <c r="C297" t="s">
        <v>17</v>
      </c>
      <c r="D297" t="s">
        <v>18</v>
      </c>
      <c r="E297">
        <v>1</v>
      </c>
    </row>
    <row r="298" spans="3:5">
      <c r="C298" t="s">
        <v>15</v>
      </c>
      <c r="D298" t="s">
        <v>16</v>
      </c>
      <c r="E298">
        <v>0</v>
      </c>
    </row>
    <row r="299" spans="3:5">
      <c r="C299" t="s">
        <v>15</v>
      </c>
      <c r="D299" t="s">
        <v>16</v>
      </c>
      <c r="E299">
        <v>0</v>
      </c>
    </row>
    <row r="300" spans="3:5">
      <c r="C300" t="s">
        <v>17</v>
      </c>
      <c r="D300" t="s">
        <v>18</v>
      </c>
      <c r="E300">
        <v>0</v>
      </c>
    </row>
    <row r="301" spans="3:5">
      <c r="C301" t="s">
        <v>17</v>
      </c>
      <c r="D301" t="s">
        <v>18</v>
      </c>
      <c r="E301">
        <v>0</v>
      </c>
    </row>
    <row r="302" spans="3:5">
      <c r="C302" t="s">
        <v>15</v>
      </c>
      <c r="D302" t="s">
        <v>16</v>
      </c>
      <c r="E302">
        <v>0</v>
      </c>
    </row>
    <row r="303" spans="3:5">
      <c r="C303" t="s">
        <v>15</v>
      </c>
      <c r="D303" t="s">
        <v>16</v>
      </c>
      <c r="E303">
        <v>0</v>
      </c>
    </row>
    <row r="304" spans="3:5">
      <c r="C304" t="s">
        <v>17</v>
      </c>
      <c r="D304" t="s">
        <v>18</v>
      </c>
      <c r="E304">
        <v>0</v>
      </c>
    </row>
    <row r="305" spans="3:5">
      <c r="C305" t="s">
        <v>17</v>
      </c>
      <c r="D305" t="s">
        <v>18</v>
      </c>
      <c r="E305">
        <v>0</v>
      </c>
    </row>
    <row r="306" spans="3:5">
      <c r="C306" t="s">
        <v>17</v>
      </c>
      <c r="D306" t="s">
        <v>18</v>
      </c>
      <c r="E306">
        <v>0</v>
      </c>
    </row>
    <row r="307" spans="3:5">
      <c r="C307" t="s">
        <v>15</v>
      </c>
      <c r="D307" t="s">
        <v>16</v>
      </c>
      <c r="E307">
        <v>0</v>
      </c>
    </row>
    <row r="308" spans="3:5">
      <c r="C308" t="s">
        <v>15</v>
      </c>
      <c r="D308" t="s">
        <v>16</v>
      </c>
      <c r="E308">
        <v>0</v>
      </c>
    </row>
    <row r="309" spans="3:5">
      <c r="C309" t="s">
        <v>17</v>
      </c>
      <c r="D309" t="s">
        <v>18</v>
      </c>
      <c r="E309">
        <v>0</v>
      </c>
    </row>
    <row r="310" spans="3:5">
      <c r="C310" t="s">
        <v>15</v>
      </c>
      <c r="D310" t="s">
        <v>16</v>
      </c>
      <c r="E310">
        <v>0</v>
      </c>
    </row>
    <row r="311" spans="3:5">
      <c r="C311" t="s">
        <v>17</v>
      </c>
      <c r="D311" t="s">
        <v>18</v>
      </c>
      <c r="E311">
        <v>0</v>
      </c>
    </row>
    <row r="312" spans="3:5">
      <c r="C312" t="s">
        <v>17</v>
      </c>
      <c r="D312" t="s">
        <v>18</v>
      </c>
      <c r="E312">
        <v>0</v>
      </c>
    </row>
    <row r="313" spans="3:5">
      <c r="C313" t="s">
        <v>15</v>
      </c>
      <c r="D313" t="s">
        <v>16</v>
      </c>
      <c r="E313">
        <v>0</v>
      </c>
    </row>
    <row r="314" spans="3:5">
      <c r="C314" t="s">
        <v>15</v>
      </c>
      <c r="D314" t="s">
        <v>16</v>
      </c>
      <c r="E314">
        <v>0</v>
      </c>
    </row>
    <row r="315" spans="3:5">
      <c r="C315" t="s">
        <v>15</v>
      </c>
      <c r="D315" t="s">
        <v>16</v>
      </c>
      <c r="E315">
        <v>0</v>
      </c>
    </row>
    <row r="316" spans="3:5">
      <c r="C316" t="s">
        <v>17</v>
      </c>
      <c r="D316" t="s">
        <v>18</v>
      </c>
      <c r="E316">
        <v>0</v>
      </c>
    </row>
    <row r="317" spans="3:5">
      <c r="C317" t="s">
        <v>17</v>
      </c>
      <c r="D317" t="s">
        <v>18</v>
      </c>
      <c r="E317">
        <v>0</v>
      </c>
    </row>
    <row r="318" spans="3:5">
      <c r="C318" t="s">
        <v>15</v>
      </c>
      <c r="D318" t="s">
        <v>16</v>
      </c>
      <c r="E318">
        <v>0</v>
      </c>
    </row>
    <row r="319" spans="3:5">
      <c r="C319" t="s">
        <v>17</v>
      </c>
      <c r="D319" t="s">
        <v>18</v>
      </c>
      <c r="E319">
        <v>0</v>
      </c>
    </row>
    <row r="320" spans="3:5">
      <c r="C320" t="s">
        <v>15</v>
      </c>
      <c r="D320" t="s">
        <v>16</v>
      </c>
      <c r="E320">
        <v>0</v>
      </c>
    </row>
    <row r="321" spans="3:5">
      <c r="C321" t="s">
        <v>17</v>
      </c>
      <c r="D321" t="s">
        <v>18</v>
      </c>
      <c r="E321">
        <v>0</v>
      </c>
    </row>
    <row r="322" spans="3:5">
      <c r="C322" t="s">
        <v>17</v>
      </c>
      <c r="D322" t="s">
        <v>18</v>
      </c>
      <c r="E322">
        <v>0</v>
      </c>
    </row>
    <row r="323" spans="3:5">
      <c r="C323" t="s">
        <v>17</v>
      </c>
      <c r="D323" t="s">
        <v>18</v>
      </c>
      <c r="E323">
        <v>0</v>
      </c>
    </row>
    <row r="324" spans="3:5">
      <c r="C324" t="s">
        <v>17</v>
      </c>
      <c r="D324" t="s">
        <v>18</v>
      </c>
      <c r="E324">
        <v>0</v>
      </c>
    </row>
    <row r="325" spans="3:5">
      <c r="C325" t="s">
        <v>15</v>
      </c>
      <c r="D325" t="s">
        <v>16</v>
      </c>
      <c r="E325">
        <v>0</v>
      </c>
    </row>
    <row r="326" spans="3:5">
      <c r="C326" t="s">
        <v>17</v>
      </c>
      <c r="D326" t="s">
        <v>18</v>
      </c>
      <c r="E326">
        <v>0</v>
      </c>
    </row>
    <row r="327" spans="3:5">
      <c r="C327" t="s">
        <v>17</v>
      </c>
      <c r="D327" t="s">
        <v>18</v>
      </c>
      <c r="E327">
        <v>0</v>
      </c>
    </row>
    <row r="328" spans="3:5">
      <c r="C328" t="s">
        <v>15</v>
      </c>
      <c r="D328" t="s">
        <v>16</v>
      </c>
      <c r="E328">
        <v>0</v>
      </c>
    </row>
    <row r="329" spans="3:5">
      <c r="C329" t="s">
        <v>15</v>
      </c>
      <c r="D329" t="s">
        <v>16</v>
      </c>
      <c r="E329">
        <v>0</v>
      </c>
    </row>
    <row r="330" spans="3:5">
      <c r="C330" t="s">
        <v>17</v>
      </c>
      <c r="D330" t="s">
        <v>18</v>
      </c>
      <c r="E330">
        <v>0</v>
      </c>
    </row>
    <row r="331" spans="3:5">
      <c r="C331" t="s">
        <v>15</v>
      </c>
      <c r="D331" t="s">
        <v>16</v>
      </c>
      <c r="E331">
        <v>0</v>
      </c>
    </row>
    <row r="332" spans="3:5">
      <c r="C332" t="s">
        <v>15</v>
      </c>
      <c r="D332" t="s">
        <v>16</v>
      </c>
      <c r="E332">
        <v>0</v>
      </c>
    </row>
    <row r="333" spans="3:5">
      <c r="C333" t="s">
        <v>15</v>
      </c>
      <c r="D333" t="s">
        <v>16</v>
      </c>
      <c r="E333">
        <v>0</v>
      </c>
    </row>
    <row r="334" spans="3:5">
      <c r="C334" t="s">
        <v>17</v>
      </c>
      <c r="D334" t="s">
        <v>18</v>
      </c>
      <c r="E334">
        <v>0</v>
      </c>
    </row>
    <row r="335" spans="3:5">
      <c r="C335" t="s">
        <v>17</v>
      </c>
      <c r="D335" t="s">
        <v>18</v>
      </c>
      <c r="E335">
        <v>0</v>
      </c>
    </row>
    <row r="336" spans="3:5">
      <c r="C336" t="s">
        <v>17</v>
      </c>
      <c r="D336" t="s">
        <v>18</v>
      </c>
      <c r="E336">
        <v>0</v>
      </c>
    </row>
    <row r="337" spans="3:5">
      <c r="C337" t="s">
        <v>17</v>
      </c>
      <c r="D337" t="s">
        <v>18</v>
      </c>
      <c r="E337">
        <v>0</v>
      </c>
    </row>
    <row r="338" spans="3:5">
      <c r="C338" t="s">
        <v>15</v>
      </c>
      <c r="D338" t="s">
        <v>16</v>
      </c>
      <c r="E338">
        <v>0</v>
      </c>
    </row>
    <row r="339" spans="3:5">
      <c r="C339" t="s">
        <v>17</v>
      </c>
      <c r="D339" t="s">
        <v>18</v>
      </c>
      <c r="E339">
        <v>0</v>
      </c>
    </row>
    <row r="340" spans="3:5">
      <c r="C340" t="s">
        <v>17</v>
      </c>
      <c r="D340" t="s">
        <v>18</v>
      </c>
      <c r="E340">
        <v>0</v>
      </c>
    </row>
    <row r="341" spans="3:5">
      <c r="C341" t="s">
        <v>17</v>
      </c>
      <c r="D341" t="s">
        <v>18</v>
      </c>
      <c r="E341">
        <v>0</v>
      </c>
    </row>
    <row r="342" spans="3:5">
      <c r="C342" t="s">
        <v>15</v>
      </c>
      <c r="D342" t="s">
        <v>16</v>
      </c>
      <c r="E342">
        <v>0</v>
      </c>
    </row>
    <row r="343" spans="3:5">
      <c r="C343" t="s">
        <v>15</v>
      </c>
      <c r="D343" t="s">
        <v>16</v>
      </c>
      <c r="E343">
        <v>0</v>
      </c>
    </row>
    <row r="344" spans="3:5">
      <c r="C344" t="s">
        <v>17</v>
      </c>
      <c r="D344" t="s">
        <v>18</v>
      </c>
      <c r="E344">
        <v>0</v>
      </c>
    </row>
    <row r="345" spans="3:5">
      <c r="C345" t="s">
        <v>17</v>
      </c>
      <c r="D345" t="s">
        <v>18</v>
      </c>
      <c r="E345">
        <v>0</v>
      </c>
    </row>
    <row r="346" spans="3:5">
      <c r="C346" t="s">
        <v>17</v>
      </c>
      <c r="D346" t="s">
        <v>18</v>
      </c>
      <c r="E346">
        <v>0</v>
      </c>
    </row>
    <row r="347" spans="3:5">
      <c r="C347" t="s">
        <v>17</v>
      </c>
      <c r="D347" t="s">
        <v>18</v>
      </c>
      <c r="E347">
        <v>0</v>
      </c>
    </row>
    <row r="348" spans="3:5">
      <c r="C348" t="s">
        <v>15</v>
      </c>
      <c r="D348" t="s">
        <v>16</v>
      </c>
      <c r="E348">
        <v>0</v>
      </c>
    </row>
    <row r="349" spans="3:5">
      <c r="C349" t="s">
        <v>15</v>
      </c>
      <c r="D349" t="s">
        <v>16</v>
      </c>
      <c r="E349">
        <v>0</v>
      </c>
    </row>
    <row r="350" spans="3:5">
      <c r="C350" t="s">
        <v>17</v>
      </c>
      <c r="D350" t="s">
        <v>18</v>
      </c>
      <c r="E350">
        <v>0</v>
      </c>
    </row>
    <row r="351" spans="3:5">
      <c r="C351" t="s">
        <v>17</v>
      </c>
      <c r="D351" t="s">
        <v>18</v>
      </c>
      <c r="E351">
        <v>0</v>
      </c>
    </row>
    <row r="352" spans="3:5">
      <c r="C352" t="s">
        <v>17</v>
      </c>
      <c r="D352" t="s">
        <v>18</v>
      </c>
      <c r="E352">
        <v>0</v>
      </c>
    </row>
    <row r="353" spans="3:5">
      <c r="C353" t="s">
        <v>15</v>
      </c>
      <c r="D353" t="s">
        <v>16</v>
      </c>
      <c r="E353">
        <v>0</v>
      </c>
    </row>
    <row r="354" spans="3:5">
      <c r="C354" t="s">
        <v>17</v>
      </c>
      <c r="D354" t="s">
        <v>18</v>
      </c>
      <c r="E354">
        <v>0</v>
      </c>
    </row>
    <row r="355" spans="3:5">
      <c r="C355" t="s">
        <v>17</v>
      </c>
      <c r="D355" t="s">
        <v>18</v>
      </c>
      <c r="E355">
        <v>0</v>
      </c>
    </row>
    <row r="356" spans="3:5">
      <c r="C356" t="s">
        <v>17</v>
      </c>
      <c r="D356" t="s">
        <v>18</v>
      </c>
      <c r="E356">
        <v>0</v>
      </c>
    </row>
    <row r="357" spans="3:5">
      <c r="C357" t="s">
        <v>17</v>
      </c>
      <c r="D357" t="s">
        <v>18</v>
      </c>
      <c r="E357">
        <v>0</v>
      </c>
    </row>
    <row r="358" spans="3:5">
      <c r="C358" t="s">
        <v>15</v>
      </c>
      <c r="D358" t="s">
        <v>16</v>
      </c>
      <c r="E358">
        <v>0</v>
      </c>
    </row>
    <row r="359" spans="3:5">
      <c r="C359" t="s">
        <v>17</v>
      </c>
      <c r="D359" t="s">
        <v>18</v>
      </c>
      <c r="E359">
        <v>0</v>
      </c>
    </row>
    <row r="360" spans="3:5">
      <c r="C360" t="s">
        <v>15</v>
      </c>
      <c r="D360" t="s">
        <v>16</v>
      </c>
      <c r="E360">
        <v>0</v>
      </c>
    </row>
    <row r="361" spans="3:5">
      <c r="C361" t="s">
        <v>15</v>
      </c>
      <c r="D361" t="s">
        <v>16</v>
      </c>
      <c r="E361">
        <v>0</v>
      </c>
    </row>
    <row r="362" spans="3:5">
      <c r="C362" t="s">
        <v>15</v>
      </c>
      <c r="D362" t="s">
        <v>16</v>
      </c>
      <c r="E362">
        <v>0</v>
      </c>
    </row>
    <row r="363" spans="3:5">
      <c r="C363" t="s">
        <v>17</v>
      </c>
      <c r="D363" t="s">
        <v>18</v>
      </c>
      <c r="E363">
        <v>0</v>
      </c>
    </row>
    <row r="364" spans="3:5">
      <c r="C364" t="s">
        <v>15</v>
      </c>
      <c r="D364" t="s">
        <v>16</v>
      </c>
      <c r="E364">
        <v>0</v>
      </c>
    </row>
    <row r="365" spans="3:5">
      <c r="C365" t="s">
        <v>17</v>
      </c>
      <c r="D365" t="s">
        <v>18</v>
      </c>
      <c r="E365">
        <v>0</v>
      </c>
    </row>
    <row r="366" spans="3:5">
      <c r="C366" t="s">
        <v>15</v>
      </c>
      <c r="D366" t="s">
        <v>16</v>
      </c>
      <c r="E366">
        <v>0</v>
      </c>
    </row>
    <row r="367" spans="3:5">
      <c r="C367" t="s">
        <v>15</v>
      </c>
      <c r="D367" t="s">
        <v>16</v>
      </c>
      <c r="E367">
        <v>0</v>
      </c>
    </row>
    <row r="368" spans="3:5">
      <c r="C368" t="s">
        <v>15</v>
      </c>
      <c r="D368" t="s">
        <v>16</v>
      </c>
      <c r="E368">
        <v>0</v>
      </c>
    </row>
    <row r="369" spans="3:5">
      <c r="C369" t="s">
        <v>17</v>
      </c>
      <c r="D369" t="s">
        <v>18</v>
      </c>
      <c r="E369">
        <v>0</v>
      </c>
    </row>
    <row r="370" spans="3:5">
      <c r="C370" t="s">
        <v>15</v>
      </c>
      <c r="D370" t="s">
        <v>16</v>
      </c>
      <c r="E370">
        <v>1</v>
      </c>
    </row>
    <row r="371" spans="3:5">
      <c r="C371" t="s">
        <v>17</v>
      </c>
      <c r="D371" t="s">
        <v>18</v>
      </c>
      <c r="E371">
        <v>0</v>
      </c>
    </row>
    <row r="372" spans="3:5">
      <c r="C372" t="s">
        <v>17</v>
      </c>
      <c r="D372" t="s">
        <v>18</v>
      </c>
      <c r="E372">
        <v>0</v>
      </c>
    </row>
    <row r="373" spans="3:5">
      <c r="C373" t="s">
        <v>17</v>
      </c>
      <c r="D373" t="s">
        <v>18</v>
      </c>
      <c r="E373">
        <v>0</v>
      </c>
    </row>
    <row r="374" spans="3:5">
      <c r="C374" t="s">
        <v>15</v>
      </c>
      <c r="D374" t="s">
        <v>16</v>
      </c>
      <c r="E374">
        <v>0</v>
      </c>
    </row>
    <row r="375" spans="3:5">
      <c r="C375" t="s">
        <v>17</v>
      </c>
      <c r="D375" t="s">
        <v>18</v>
      </c>
      <c r="E375">
        <v>0</v>
      </c>
    </row>
    <row r="376" spans="3:5">
      <c r="C376" t="s">
        <v>17</v>
      </c>
      <c r="D376" t="s">
        <v>18</v>
      </c>
      <c r="E376">
        <v>0</v>
      </c>
    </row>
    <row r="377" spans="3:5">
      <c r="C377" t="s">
        <v>17</v>
      </c>
      <c r="D377" t="s">
        <v>18</v>
      </c>
      <c r="E377">
        <v>0</v>
      </c>
    </row>
    <row r="378" spans="3:5">
      <c r="C378" t="s">
        <v>15</v>
      </c>
      <c r="D378" t="s">
        <v>16</v>
      </c>
      <c r="E378">
        <v>1</v>
      </c>
    </row>
    <row r="379" spans="3:5">
      <c r="C379" t="s">
        <v>17</v>
      </c>
      <c r="D379" t="s">
        <v>18</v>
      </c>
      <c r="E379">
        <v>0</v>
      </c>
    </row>
    <row r="380" spans="3:5">
      <c r="C380" t="s">
        <v>15</v>
      </c>
      <c r="D380" t="s">
        <v>16</v>
      </c>
      <c r="E380">
        <v>0</v>
      </c>
    </row>
    <row r="381" spans="3:5">
      <c r="C381" t="s">
        <v>15</v>
      </c>
      <c r="D381" t="s">
        <v>16</v>
      </c>
      <c r="E381">
        <v>0</v>
      </c>
    </row>
    <row r="382" spans="3:5">
      <c r="C382" t="s">
        <v>17</v>
      </c>
      <c r="D382" t="s">
        <v>18</v>
      </c>
      <c r="E382">
        <v>0</v>
      </c>
    </row>
    <row r="383" spans="3:5">
      <c r="C383" t="s">
        <v>17</v>
      </c>
      <c r="D383" t="s">
        <v>18</v>
      </c>
      <c r="E383">
        <v>0</v>
      </c>
    </row>
    <row r="384" spans="3:5">
      <c r="C384" t="s">
        <v>17</v>
      </c>
      <c r="D384" t="s">
        <v>18</v>
      </c>
      <c r="E384">
        <v>0</v>
      </c>
    </row>
    <row r="385" spans="3:5">
      <c r="C385" t="s">
        <v>15</v>
      </c>
      <c r="D385" t="s">
        <v>16</v>
      </c>
      <c r="E385">
        <v>0</v>
      </c>
    </row>
    <row r="386" spans="3:5">
      <c r="C386" t="s">
        <v>15</v>
      </c>
      <c r="D386" t="s">
        <v>16</v>
      </c>
      <c r="E386">
        <v>1</v>
      </c>
    </row>
    <row r="387" spans="3:5">
      <c r="C387" t="s">
        <v>17</v>
      </c>
      <c r="D387" t="s">
        <v>18</v>
      </c>
      <c r="E387">
        <v>0</v>
      </c>
    </row>
    <row r="388" spans="3:5">
      <c r="C388" t="s">
        <v>17</v>
      </c>
      <c r="D388" t="s">
        <v>18</v>
      </c>
      <c r="E388">
        <v>0</v>
      </c>
    </row>
    <row r="389" spans="3:5">
      <c r="C389" t="s">
        <v>17</v>
      </c>
      <c r="D389" t="s">
        <v>18</v>
      </c>
      <c r="E389">
        <v>0</v>
      </c>
    </row>
    <row r="390" spans="3:5">
      <c r="C390" t="s">
        <v>15</v>
      </c>
      <c r="D390" t="s">
        <v>16</v>
      </c>
      <c r="E390">
        <v>0</v>
      </c>
    </row>
    <row r="391" spans="3:5">
      <c r="C391" t="s">
        <v>17</v>
      </c>
      <c r="D391" t="s">
        <v>18</v>
      </c>
      <c r="E391">
        <v>0</v>
      </c>
    </row>
    <row r="392" spans="3:5">
      <c r="C392" t="s">
        <v>15</v>
      </c>
      <c r="D392" t="s">
        <v>16</v>
      </c>
      <c r="E392">
        <v>0</v>
      </c>
    </row>
    <row r="393" spans="3:5">
      <c r="C393" t="s">
        <v>15</v>
      </c>
      <c r="D393" t="s">
        <v>16</v>
      </c>
      <c r="E393">
        <v>0</v>
      </c>
    </row>
    <row r="394" spans="3:5">
      <c r="C394" t="s">
        <v>15</v>
      </c>
      <c r="D394" t="s">
        <v>16</v>
      </c>
      <c r="E394">
        <v>0</v>
      </c>
    </row>
    <row r="395" spans="3:5">
      <c r="C395" t="s">
        <v>15</v>
      </c>
      <c r="D395" t="s">
        <v>16</v>
      </c>
      <c r="E395">
        <v>0</v>
      </c>
    </row>
    <row r="396" spans="3:5">
      <c r="C396" t="s">
        <v>17</v>
      </c>
      <c r="D396" t="s">
        <v>18</v>
      </c>
      <c r="E396">
        <v>0</v>
      </c>
    </row>
    <row r="397" spans="3:5">
      <c r="C397" t="s">
        <v>17</v>
      </c>
      <c r="D397" t="s">
        <v>18</v>
      </c>
      <c r="E397">
        <v>0</v>
      </c>
    </row>
    <row r="398" spans="3:5">
      <c r="C398" t="s">
        <v>17</v>
      </c>
      <c r="D398" t="s">
        <v>18</v>
      </c>
      <c r="E398">
        <v>0</v>
      </c>
    </row>
    <row r="399" spans="3:5">
      <c r="C399" t="s">
        <v>15</v>
      </c>
      <c r="D399" t="s">
        <v>16</v>
      </c>
      <c r="E399">
        <v>0</v>
      </c>
    </row>
    <row r="400" spans="3:5">
      <c r="C400" t="s">
        <v>15</v>
      </c>
      <c r="D400" t="s">
        <v>16</v>
      </c>
      <c r="E400">
        <v>0</v>
      </c>
    </row>
    <row r="401" spans="3:5">
      <c r="C401" t="s">
        <v>17</v>
      </c>
      <c r="D401" t="s">
        <v>18</v>
      </c>
      <c r="E401">
        <v>0</v>
      </c>
    </row>
    <row r="402" spans="3:5">
      <c r="C402" t="s">
        <v>15</v>
      </c>
      <c r="D402" t="s">
        <v>16</v>
      </c>
      <c r="E402">
        <v>0</v>
      </c>
    </row>
    <row r="403" spans="3:5">
      <c r="C403" t="s">
        <v>15</v>
      </c>
      <c r="D403" t="s">
        <v>16</v>
      </c>
      <c r="E403">
        <v>0</v>
      </c>
    </row>
    <row r="404" spans="3:5">
      <c r="C404" t="s">
        <v>15</v>
      </c>
      <c r="D404" t="s">
        <v>16</v>
      </c>
      <c r="E404">
        <v>0</v>
      </c>
    </row>
    <row r="405" spans="3:5">
      <c r="C405" t="s">
        <v>15</v>
      </c>
      <c r="D405" t="s">
        <v>16</v>
      </c>
      <c r="E405">
        <v>0</v>
      </c>
    </row>
    <row r="406" spans="3:5">
      <c r="C406" t="s">
        <v>17</v>
      </c>
      <c r="D406" t="s">
        <v>18</v>
      </c>
      <c r="E406">
        <v>0</v>
      </c>
    </row>
    <row r="407" spans="3:5">
      <c r="C407" t="s">
        <v>17</v>
      </c>
      <c r="D407" t="s">
        <v>18</v>
      </c>
      <c r="E407">
        <v>0</v>
      </c>
    </row>
    <row r="408" spans="3:5">
      <c r="C408" t="s">
        <v>17</v>
      </c>
      <c r="D408" t="s">
        <v>18</v>
      </c>
      <c r="E408">
        <v>0</v>
      </c>
    </row>
    <row r="409" spans="3:5">
      <c r="C409" t="s">
        <v>17</v>
      </c>
      <c r="D409" t="s">
        <v>18</v>
      </c>
      <c r="E409">
        <v>0</v>
      </c>
    </row>
    <row r="410" spans="3:5">
      <c r="C410" t="s">
        <v>17</v>
      </c>
      <c r="D410" t="s">
        <v>18</v>
      </c>
      <c r="E410">
        <v>0</v>
      </c>
    </row>
    <row r="411" spans="3:5">
      <c r="C411" t="s">
        <v>15</v>
      </c>
      <c r="D411" t="s">
        <v>16</v>
      </c>
      <c r="E411">
        <v>0</v>
      </c>
    </row>
    <row r="412" spans="3:5">
      <c r="C412" t="s">
        <v>17</v>
      </c>
      <c r="D412" t="s">
        <v>18</v>
      </c>
      <c r="E412">
        <v>0</v>
      </c>
    </row>
    <row r="413" spans="3:5">
      <c r="C413" t="s">
        <v>17</v>
      </c>
      <c r="D413" t="s">
        <v>18</v>
      </c>
      <c r="E413">
        <v>0</v>
      </c>
    </row>
    <row r="414" spans="3:5">
      <c r="C414" t="s">
        <v>15</v>
      </c>
      <c r="D414" t="s">
        <v>16</v>
      </c>
      <c r="E414">
        <v>0</v>
      </c>
    </row>
    <row r="415" spans="3:5">
      <c r="C415" t="s">
        <v>15</v>
      </c>
      <c r="D415" t="s">
        <v>16</v>
      </c>
      <c r="E415">
        <v>0</v>
      </c>
    </row>
    <row r="416" spans="3:5">
      <c r="C416" t="s">
        <v>15</v>
      </c>
      <c r="D416" t="s">
        <v>16</v>
      </c>
      <c r="E416">
        <v>0</v>
      </c>
    </row>
    <row r="417" spans="3:5">
      <c r="C417" t="s">
        <v>17</v>
      </c>
      <c r="D417" t="s">
        <v>18</v>
      </c>
      <c r="E417">
        <v>0</v>
      </c>
    </row>
    <row r="418" spans="3:5">
      <c r="C418" t="s">
        <v>17</v>
      </c>
      <c r="D418" t="s">
        <v>18</v>
      </c>
      <c r="E418">
        <v>0</v>
      </c>
    </row>
    <row r="419" spans="3:5">
      <c r="C419" t="s">
        <v>15</v>
      </c>
      <c r="D419" t="s">
        <v>16</v>
      </c>
      <c r="E419">
        <v>0</v>
      </c>
    </row>
    <row r="420" spans="3:5">
      <c r="C420" t="s">
        <v>15</v>
      </c>
      <c r="D420" t="s">
        <v>16</v>
      </c>
      <c r="E420">
        <v>0</v>
      </c>
    </row>
    <row r="421" spans="3:5">
      <c r="C421" t="s">
        <v>17</v>
      </c>
      <c r="D421" t="s">
        <v>18</v>
      </c>
      <c r="E421">
        <v>0</v>
      </c>
    </row>
    <row r="422" spans="3:5">
      <c r="C422" t="s">
        <v>17</v>
      </c>
      <c r="D422" t="s">
        <v>18</v>
      </c>
      <c r="E422">
        <v>0</v>
      </c>
    </row>
    <row r="423" spans="3:5">
      <c r="C423" t="s">
        <v>15</v>
      </c>
      <c r="D423" t="s">
        <v>16</v>
      </c>
      <c r="E423">
        <v>0</v>
      </c>
    </row>
    <row r="424" spans="3:5">
      <c r="C424" t="s">
        <v>15</v>
      </c>
      <c r="D424" t="s">
        <v>16</v>
      </c>
      <c r="E424">
        <v>0</v>
      </c>
    </row>
    <row r="425" spans="3:5">
      <c r="C425" t="s">
        <v>17</v>
      </c>
      <c r="D425" t="s">
        <v>18</v>
      </c>
      <c r="E425">
        <v>0</v>
      </c>
    </row>
    <row r="426" spans="3:5">
      <c r="C426" t="s">
        <v>15</v>
      </c>
      <c r="D426" t="s">
        <v>16</v>
      </c>
      <c r="E426">
        <v>0</v>
      </c>
    </row>
    <row r="427" spans="3:5">
      <c r="C427" t="s">
        <v>17</v>
      </c>
      <c r="D427" t="s">
        <v>18</v>
      </c>
      <c r="E427">
        <v>0</v>
      </c>
    </row>
    <row r="428" spans="3:5">
      <c r="C428" t="s">
        <v>17</v>
      </c>
      <c r="D428" t="s">
        <v>18</v>
      </c>
      <c r="E428">
        <v>0</v>
      </c>
    </row>
    <row r="429" spans="3:5">
      <c r="C429" t="s">
        <v>15</v>
      </c>
      <c r="D429" t="s">
        <v>16</v>
      </c>
      <c r="E429">
        <v>0</v>
      </c>
    </row>
    <row r="430" spans="3:5">
      <c r="C430" t="s">
        <v>15</v>
      </c>
      <c r="D430" t="s">
        <v>16</v>
      </c>
      <c r="E430">
        <v>0</v>
      </c>
    </row>
    <row r="431" spans="3:5">
      <c r="C431" t="s">
        <v>17</v>
      </c>
      <c r="D431" t="s">
        <v>18</v>
      </c>
      <c r="E431">
        <v>0</v>
      </c>
    </row>
    <row r="432" spans="3:5">
      <c r="C432" t="s">
        <v>17</v>
      </c>
      <c r="D432" t="s">
        <v>18</v>
      </c>
      <c r="E432">
        <v>0</v>
      </c>
    </row>
    <row r="433" spans="3:5">
      <c r="C433" t="s">
        <v>15</v>
      </c>
      <c r="D433" t="s">
        <v>16</v>
      </c>
      <c r="E433">
        <v>0</v>
      </c>
    </row>
    <row r="434" spans="3:5">
      <c r="C434" t="s">
        <v>15</v>
      </c>
      <c r="D434" t="s">
        <v>16</v>
      </c>
      <c r="E434">
        <v>0</v>
      </c>
    </row>
    <row r="435" spans="3:5">
      <c r="C435" t="s">
        <v>15</v>
      </c>
      <c r="D435" t="s">
        <v>16</v>
      </c>
      <c r="E435">
        <v>0</v>
      </c>
    </row>
    <row r="436" spans="3:5">
      <c r="C436" t="s">
        <v>15</v>
      </c>
      <c r="D436" t="s">
        <v>16</v>
      </c>
      <c r="E436">
        <v>0</v>
      </c>
    </row>
    <row r="437" spans="3:5">
      <c r="C437" t="s">
        <v>15</v>
      </c>
      <c r="D437" t="s">
        <v>16</v>
      </c>
      <c r="E437">
        <v>0</v>
      </c>
    </row>
    <row r="438" spans="3:5">
      <c r="C438" t="s">
        <v>15</v>
      </c>
      <c r="D438" t="s">
        <v>16</v>
      </c>
      <c r="E438">
        <v>0</v>
      </c>
    </row>
    <row r="439" spans="3:5">
      <c r="C439" t="s">
        <v>17</v>
      </c>
      <c r="D439" t="s">
        <v>18</v>
      </c>
      <c r="E439">
        <v>0</v>
      </c>
    </row>
    <row r="440" spans="3:5">
      <c r="C440" t="s">
        <v>17</v>
      </c>
      <c r="D440" t="s">
        <v>18</v>
      </c>
      <c r="E440">
        <v>0</v>
      </c>
    </row>
    <row r="441" spans="3:5">
      <c r="C441" t="s">
        <v>15</v>
      </c>
      <c r="D441" t="s">
        <v>16</v>
      </c>
      <c r="E441">
        <v>0</v>
      </c>
    </row>
    <row r="442" spans="3:5">
      <c r="C442" t="s">
        <v>15</v>
      </c>
      <c r="D442" t="s">
        <v>16</v>
      </c>
      <c r="E442">
        <v>0</v>
      </c>
    </row>
    <row r="443" spans="3:5">
      <c r="C443" t="s">
        <v>17</v>
      </c>
      <c r="D443" t="s">
        <v>18</v>
      </c>
      <c r="E443">
        <v>0</v>
      </c>
    </row>
    <row r="444" spans="3:5">
      <c r="C444" t="s">
        <v>17</v>
      </c>
      <c r="D444" t="s">
        <v>18</v>
      </c>
      <c r="E444">
        <v>0</v>
      </c>
    </row>
    <row r="445" spans="3:5">
      <c r="C445" t="s">
        <v>17</v>
      </c>
      <c r="D445" t="s">
        <v>18</v>
      </c>
      <c r="E445">
        <v>0</v>
      </c>
    </row>
    <row r="446" spans="3:5">
      <c r="C446" t="s">
        <v>15</v>
      </c>
      <c r="D446" t="s">
        <v>16</v>
      </c>
      <c r="E446">
        <v>0</v>
      </c>
    </row>
    <row r="447" spans="3:5">
      <c r="C447" t="s">
        <v>17</v>
      </c>
      <c r="D447" t="s">
        <v>18</v>
      </c>
      <c r="E447">
        <v>0</v>
      </c>
    </row>
    <row r="448" spans="3:5">
      <c r="C448" t="s">
        <v>15</v>
      </c>
      <c r="D448" t="s">
        <v>16</v>
      </c>
      <c r="E448">
        <v>0</v>
      </c>
    </row>
    <row r="449" spans="3:5">
      <c r="C449" t="s">
        <v>15</v>
      </c>
      <c r="D449" t="s">
        <v>16</v>
      </c>
      <c r="E449">
        <v>0</v>
      </c>
    </row>
    <row r="450" spans="3:5">
      <c r="C450" t="s">
        <v>17</v>
      </c>
      <c r="D450" t="s">
        <v>18</v>
      </c>
      <c r="E450">
        <v>0</v>
      </c>
    </row>
    <row r="451" spans="3:5">
      <c r="C451" t="s">
        <v>17</v>
      </c>
      <c r="D451" t="s">
        <v>18</v>
      </c>
      <c r="E451">
        <v>0</v>
      </c>
    </row>
    <row r="452" spans="3:5">
      <c r="C452" t="s">
        <v>15</v>
      </c>
      <c r="D452" t="s">
        <v>16</v>
      </c>
      <c r="E452">
        <v>0</v>
      </c>
    </row>
    <row r="453" spans="3:5">
      <c r="C453" t="s">
        <v>15</v>
      </c>
      <c r="D453" t="s">
        <v>16</v>
      </c>
      <c r="E453">
        <v>0</v>
      </c>
    </row>
    <row r="454" spans="3:5">
      <c r="C454" t="s">
        <v>17</v>
      </c>
      <c r="D454" t="s">
        <v>18</v>
      </c>
      <c r="E454">
        <v>0</v>
      </c>
    </row>
    <row r="455" spans="3:5">
      <c r="C455" t="s">
        <v>15</v>
      </c>
      <c r="D455" t="s">
        <v>16</v>
      </c>
      <c r="E455">
        <v>0</v>
      </c>
    </row>
    <row r="456" spans="3:5">
      <c r="C456" t="s">
        <v>17</v>
      </c>
      <c r="D456" t="s">
        <v>18</v>
      </c>
      <c r="E456">
        <v>0</v>
      </c>
    </row>
    <row r="457" spans="3:5">
      <c r="C457" t="s">
        <v>15</v>
      </c>
      <c r="D457" t="s">
        <v>16</v>
      </c>
      <c r="E457">
        <v>0</v>
      </c>
    </row>
    <row r="458" spans="3:5">
      <c r="C458" t="s">
        <v>15</v>
      </c>
      <c r="D458" t="s">
        <v>16</v>
      </c>
      <c r="E458">
        <v>0</v>
      </c>
    </row>
    <row r="459" spans="3:5">
      <c r="C459" t="s">
        <v>17</v>
      </c>
      <c r="D459" t="s">
        <v>18</v>
      </c>
      <c r="E459">
        <v>0</v>
      </c>
    </row>
    <row r="460" spans="3:5">
      <c r="C460" t="s">
        <v>15</v>
      </c>
      <c r="D460" t="s">
        <v>16</v>
      </c>
      <c r="E460">
        <v>0</v>
      </c>
    </row>
    <row r="461" spans="3:5">
      <c r="C461" t="s">
        <v>17</v>
      </c>
      <c r="D461" t="s">
        <v>18</v>
      </c>
      <c r="E461">
        <v>0</v>
      </c>
    </row>
    <row r="462" spans="3:5">
      <c r="C462" t="s">
        <v>15</v>
      </c>
      <c r="D462" t="s">
        <v>16</v>
      </c>
      <c r="E462">
        <v>0</v>
      </c>
    </row>
    <row r="463" spans="3:5">
      <c r="C463" t="s">
        <v>17</v>
      </c>
      <c r="D463" t="s">
        <v>18</v>
      </c>
      <c r="E463">
        <v>0</v>
      </c>
    </row>
    <row r="464" spans="3:5">
      <c r="C464" t="s">
        <v>15</v>
      </c>
      <c r="D464" t="s">
        <v>16</v>
      </c>
      <c r="E464">
        <v>0</v>
      </c>
    </row>
    <row r="465" spans="3:5">
      <c r="C465" t="s">
        <v>15</v>
      </c>
      <c r="D465" t="s">
        <v>16</v>
      </c>
      <c r="E465">
        <v>0</v>
      </c>
    </row>
    <row r="466" spans="3:5">
      <c r="C466" t="s">
        <v>17</v>
      </c>
      <c r="D466" t="s">
        <v>18</v>
      </c>
      <c r="E466">
        <v>0</v>
      </c>
    </row>
    <row r="467" spans="3:5">
      <c r="C467" t="s">
        <v>17</v>
      </c>
      <c r="D467" t="s">
        <v>18</v>
      </c>
      <c r="E467">
        <v>0</v>
      </c>
    </row>
    <row r="468" spans="3:5">
      <c r="C468" t="s">
        <v>17</v>
      </c>
      <c r="D468" t="s">
        <v>18</v>
      </c>
      <c r="E468">
        <v>0</v>
      </c>
    </row>
    <row r="469" spans="3:5">
      <c r="C469" t="s">
        <v>15</v>
      </c>
      <c r="D469" t="s">
        <v>16</v>
      </c>
      <c r="E469">
        <v>0</v>
      </c>
    </row>
    <row r="470" spans="3:5">
      <c r="C470" t="s">
        <v>17</v>
      </c>
      <c r="D470" t="s">
        <v>18</v>
      </c>
      <c r="E470">
        <v>0</v>
      </c>
    </row>
    <row r="471" spans="3:5">
      <c r="C471" t="s">
        <v>15</v>
      </c>
      <c r="D471" t="s">
        <v>16</v>
      </c>
      <c r="E471">
        <v>0</v>
      </c>
    </row>
    <row r="472" spans="3:5">
      <c r="C472" t="s">
        <v>17</v>
      </c>
      <c r="D472" t="s">
        <v>18</v>
      </c>
      <c r="E472">
        <v>0</v>
      </c>
    </row>
    <row r="473" spans="3:5">
      <c r="C473" t="s">
        <v>17</v>
      </c>
      <c r="D473" t="s">
        <v>18</v>
      </c>
      <c r="E473">
        <v>0</v>
      </c>
    </row>
    <row r="474" spans="3:5">
      <c r="C474" t="s">
        <v>17</v>
      </c>
      <c r="D474" t="s">
        <v>18</v>
      </c>
      <c r="E474">
        <v>0</v>
      </c>
    </row>
    <row r="475" spans="3:5">
      <c r="C475" t="s">
        <v>17</v>
      </c>
      <c r="D475" t="s">
        <v>18</v>
      </c>
      <c r="E475">
        <v>0</v>
      </c>
    </row>
    <row r="476" spans="3:5">
      <c r="C476" t="s">
        <v>17</v>
      </c>
      <c r="D476" t="s">
        <v>18</v>
      </c>
      <c r="E476">
        <v>0</v>
      </c>
    </row>
    <row r="477" spans="3:5">
      <c r="C477" t="s">
        <v>17</v>
      </c>
      <c r="D477" t="s">
        <v>18</v>
      </c>
      <c r="E477">
        <v>0</v>
      </c>
    </row>
    <row r="478" spans="3:5">
      <c r="C478" t="s">
        <v>17</v>
      </c>
      <c r="D478" t="s">
        <v>18</v>
      </c>
      <c r="E478">
        <v>0</v>
      </c>
    </row>
    <row r="479" spans="3:5">
      <c r="C479" t="s">
        <v>17</v>
      </c>
      <c r="D479" t="s">
        <v>18</v>
      </c>
      <c r="E479">
        <v>0</v>
      </c>
    </row>
    <row r="480" spans="3:5">
      <c r="C480" t="s">
        <v>15</v>
      </c>
      <c r="D480" t="s">
        <v>16</v>
      </c>
      <c r="E480">
        <v>1</v>
      </c>
    </row>
    <row r="481" spans="3:5">
      <c r="C481" t="s">
        <v>15</v>
      </c>
      <c r="D481" t="s">
        <v>16</v>
      </c>
      <c r="E481">
        <v>0</v>
      </c>
    </row>
    <row r="482" spans="3:5">
      <c r="C482" t="s">
        <v>15</v>
      </c>
      <c r="D482" t="s">
        <v>16</v>
      </c>
      <c r="E482">
        <v>0</v>
      </c>
    </row>
    <row r="483" spans="3:5">
      <c r="C483" t="s">
        <v>17</v>
      </c>
      <c r="D483" t="s">
        <v>18</v>
      </c>
      <c r="E483">
        <v>0</v>
      </c>
    </row>
    <row r="484" spans="3:5">
      <c r="C484" t="s">
        <v>17</v>
      </c>
      <c r="D484" t="s">
        <v>18</v>
      </c>
      <c r="E484">
        <v>0</v>
      </c>
    </row>
    <row r="485" spans="3:5">
      <c r="C485" t="s">
        <v>17</v>
      </c>
      <c r="D485" t="s">
        <v>18</v>
      </c>
      <c r="E485">
        <v>0</v>
      </c>
    </row>
    <row r="486" spans="3:5">
      <c r="C486" t="s">
        <v>17</v>
      </c>
      <c r="D486" t="s">
        <v>18</v>
      </c>
      <c r="E486">
        <v>0</v>
      </c>
    </row>
    <row r="487" spans="3:5">
      <c r="C487" t="s">
        <v>17</v>
      </c>
      <c r="D487" t="s">
        <v>18</v>
      </c>
      <c r="E487">
        <v>0</v>
      </c>
    </row>
    <row r="488" spans="3:5">
      <c r="C488" t="s">
        <v>15</v>
      </c>
      <c r="D488" t="s">
        <v>16</v>
      </c>
      <c r="E488">
        <v>0</v>
      </c>
    </row>
    <row r="489" spans="3:5">
      <c r="C489" t="s">
        <v>15</v>
      </c>
      <c r="D489" t="s">
        <v>16</v>
      </c>
      <c r="E489">
        <v>0</v>
      </c>
    </row>
    <row r="490" spans="3:5">
      <c r="C490" t="s">
        <v>17</v>
      </c>
      <c r="D490" t="s">
        <v>18</v>
      </c>
      <c r="E490">
        <v>0</v>
      </c>
    </row>
    <row r="491" spans="3:5">
      <c r="C491" t="s">
        <v>17</v>
      </c>
      <c r="D491" t="s">
        <v>18</v>
      </c>
      <c r="E491">
        <v>0</v>
      </c>
    </row>
    <row r="492" spans="3:5">
      <c r="C492" t="s">
        <v>15</v>
      </c>
      <c r="D492" t="s">
        <v>16</v>
      </c>
      <c r="E492">
        <v>1</v>
      </c>
    </row>
    <row r="493" spans="3:5">
      <c r="C493" t="s">
        <v>15</v>
      </c>
      <c r="D493" t="s">
        <v>16</v>
      </c>
      <c r="E493">
        <v>0</v>
      </c>
    </row>
    <row r="494" spans="3:5">
      <c r="C494" t="s">
        <v>17</v>
      </c>
      <c r="D494" t="s">
        <v>18</v>
      </c>
      <c r="E494">
        <v>0</v>
      </c>
    </row>
    <row r="495" spans="3:5">
      <c r="C495" t="s">
        <v>17</v>
      </c>
      <c r="D495" t="s">
        <v>18</v>
      </c>
      <c r="E495">
        <v>0</v>
      </c>
    </row>
    <row r="496" spans="3:5">
      <c r="C496" t="s">
        <v>17</v>
      </c>
      <c r="D496" t="s">
        <v>18</v>
      </c>
      <c r="E496">
        <v>0</v>
      </c>
    </row>
    <row r="497" spans="3:5">
      <c r="C497" t="s">
        <v>15</v>
      </c>
      <c r="D497" t="s">
        <v>16</v>
      </c>
      <c r="E497">
        <v>0</v>
      </c>
    </row>
    <row r="498" spans="3:5">
      <c r="C498" t="s">
        <v>15</v>
      </c>
      <c r="D498" t="s">
        <v>16</v>
      </c>
      <c r="E498">
        <v>0</v>
      </c>
    </row>
    <row r="499" spans="3:5">
      <c r="C499" t="s">
        <v>15</v>
      </c>
      <c r="D499" t="s">
        <v>16</v>
      </c>
      <c r="E499">
        <v>0</v>
      </c>
    </row>
    <row r="500" spans="3:5">
      <c r="C500" t="s">
        <v>17</v>
      </c>
      <c r="D500" t="s">
        <v>18</v>
      </c>
      <c r="E500">
        <v>0</v>
      </c>
    </row>
    <row r="501" spans="3:5">
      <c r="C501" t="s">
        <v>17</v>
      </c>
      <c r="D501" t="s">
        <v>18</v>
      </c>
      <c r="E501">
        <v>0</v>
      </c>
    </row>
    <row r="502" spans="3:5">
      <c r="C502" t="s">
        <v>17</v>
      </c>
      <c r="D502" t="s">
        <v>18</v>
      </c>
      <c r="E502">
        <v>0</v>
      </c>
    </row>
    <row r="503" spans="3:5">
      <c r="C503" t="s">
        <v>15</v>
      </c>
      <c r="D503" t="s">
        <v>16</v>
      </c>
      <c r="E503">
        <v>0</v>
      </c>
    </row>
    <row r="504" spans="3:5">
      <c r="C504" t="s">
        <v>15</v>
      </c>
      <c r="D504" t="s">
        <v>16</v>
      </c>
      <c r="E504">
        <v>0</v>
      </c>
    </row>
    <row r="505" spans="3:5">
      <c r="C505" t="s">
        <v>17</v>
      </c>
      <c r="D505" t="s">
        <v>18</v>
      </c>
      <c r="E505">
        <v>0</v>
      </c>
    </row>
    <row r="506" spans="3:5">
      <c r="C506" t="s">
        <v>15</v>
      </c>
      <c r="D506" t="s">
        <v>16</v>
      </c>
      <c r="E506">
        <v>0</v>
      </c>
    </row>
    <row r="507" spans="3:5">
      <c r="C507" t="s">
        <v>17</v>
      </c>
      <c r="D507" t="s">
        <v>18</v>
      </c>
      <c r="E507">
        <v>0</v>
      </c>
    </row>
    <row r="508" spans="3:5">
      <c r="C508" t="s">
        <v>17</v>
      </c>
      <c r="D508" t="s">
        <v>18</v>
      </c>
      <c r="E508">
        <v>0</v>
      </c>
    </row>
    <row r="509" spans="3:5">
      <c r="C509" t="s">
        <v>15</v>
      </c>
      <c r="D509" t="s">
        <v>16</v>
      </c>
      <c r="E509">
        <v>0</v>
      </c>
    </row>
    <row r="510" spans="3:5">
      <c r="C510" t="s">
        <v>17</v>
      </c>
      <c r="D510" t="s">
        <v>18</v>
      </c>
      <c r="E510">
        <v>0</v>
      </c>
    </row>
    <row r="511" spans="3:5">
      <c r="C511" t="s">
        <v>15</v>
      </c>
      <c r="D511" t="s">
        <v>16</v>
      </c>
      <c r="E511">
        <v>0</v>
      </c>
    </row>
    <row r="512" spans="3:5">
      <c r="C512" t="s">
        <v>15</v>
      </c>
      <c r="D512" t="s">
        <v>16</v>
      </c>
      <c r="E512">
        <v>0</v>
      </c>
    </row>
    <row r="513" spans="3:5">
      <c r="C513" t="s">
        <v>17</v>
      </c>
      <c r="D513" t="s">
        <v>18</v>
      </c>
      <c r="E513">
        <v>0</v>
      </c>
    </row>
    <row r="514" spans="3:5">
      <c r="C514" t="s">
        <v>15</v>
      </c>
      <c r="D514" t="s">
        <v>16</v>
      </c>
      <c r="E514">
        <v>0</v>
      </c>
    </row>
    <row r="515" spans="3:5">
      <c r="C515" t="s">
        <v>17</v>
      </c>
      <c r="D515" t="s">
        <v>18</v>
      </c>
      <c r="E515">
        <v>1</v>
      </c>
    </row>
    <row r="516" spans="3:5">
      <c r="C516" t="s">
        <v>17</v>
      </c>
      <c r="D516" t="s">
        <v>18</v>
      </c>
      <c r="E516">
        <v>1</v>
      </c>
    </row>
    <row r="517" spans="3:5">
      <c r="C517" t="s">
        <v>17</v>
      </c>
      <c r="D517" t="s">
        <v>18</v>
      </c>
      <c r="E517">
        <v>0</v>
      </c>
    </row>
    <row r="518" spans="3:5">
      <c r="C518" t="s">
        <v>15</v>
      </c>
      <c r="D518" t="s">
        <v>16</v>
      </c>
      <c r="E518">
        <v>0</v>
      </c>
    </row>
    <row r="519" spans="3:5">
      <c r="C519" t="s">
        <v>15</v>
      </c>
      <c r="D519" t="s">
        <v>16</v>
      </c>
      <c r="E519">
        <v>0</v>
      </c>
    </row>
    <row r="520" spans="3:5">
      <c r="C520" t="s">
        <v>15</v>
      </c>
      <c r="D520" t="s">
        <v>16</v>
      </c>
      <c r="E520">
        <v>0</v>
      </c>
    </row>
    <row r="521" spans="3:5">
      <c r="C521" t="s">
        <v>17</v>
      </c>
      <c r="D521" t="s">
        <v>18</v>
      </c>
      <c r="E521">
        <v>0</v>
      </c>
    </row>
    <row r="522" spans="3:5">
      <c r="C522" t="s">
        <v>17</v>
      </c>
      <c r="D522" t="s">
        <v>18</v>
      </c>
      <c r="E522">
        <v>0</v>
      </c>
    </row>
    <row r="523" spans="3:5">
      <c r="C523" t="s">
        <v>17</v>
      </c>
      <c r="D523" t="s">
        <v>18</v>
      </c>
      <c r="E523">
        <v>0</v>
      </c>
    </row>
    <row r="524" spans="3:5">
      <c r="C524" t="s">
        <v>17</v>
      </c>
      <c r="D524" t="s">
        <v>18</v>
      </c>
      <c r="E524">
        <v>0</v>
      </c>
    </row>
    <row r="525" spans="3:5">
      <c r="C525" t="s">
        <v>17</v>
      </c>
      <c r="D525" t="s">
        <v>18</v>
      </c>
      <c r="E525">
        <v>0</v>
      </c>
    </row>
    <row r="526" spans="3:5">
      <c r="C526" t="s">
        <v>17</v>
      </c>
      <c r="D526" t="s">
        <v>18</v>
      </c>
      <c r="E526">
        <v>1</v>
      </c>
    </row>
    <row r="527" spans="3:5">
      <c r="C527" t="s">
        <v>17</v>
      </c>
      <c r="D527" t="s">
        <v>18</v>
      </c>
      <c r="E527">
        <v>1</v>
      </c>
    </row>
    <row r="528" spans="3:5">
      <c r="C528" t="s">
        <v>17</v>
      </c>
      <c r="D528" t="s">
        <v>18</v>
      </c>
      <c r="E528">
        <v>0</v>
      </c>
    </row>
    <row r="529" spans="3:5">
      <c r="C529" t="s">
        <v>17</v>
      </c>
      <c r="D529" t="s">
        <v>18</v>
      </c>
      <c r="E529">
        <v>0</v>
      </c>
    </row>
    <row r="530" spans="3:5">
      <c r="C530" t="s">
        <v>17</v>
      </c>
      <c r="D530" t="s">
        <v>18</v>
      </c>
      <c r="E530">
        <v>0</v>
      </c>
    </row>
    <row r="531" spans="3:5">
      <c r="C531" t="s">
        <v>17</v>
      </c>
      <c r="D531" t="s">
        <v>18</v>
      </c>
      <c r="E531">
        <v>0</v>
      </c>
    </row>
    <row r="532" spans="3:5">
      <c r="C532" t="s">
        <v>15</v>
      </c>
      <c r="D532" t="s">
        <v>16</v>
      </c>
      <c r="E532">
        <v>0</v>
      </c>
    </row>
    <row r="533" spans="3:5">
      <c r="C533" t="s">
        <v>15</v>
      </c>
      <c r="D533" t="s">
        <v>16</v>
      </c>
      <c r="E533">
        <v>0</v>
      </c>
    </row>
    <row r="534" spans="3:5">
      <c r="C534" t="s">
        <v>17</v>
      </c>
      <c r="D534" t="s">
        <v>18</v>
      </c>
      <c r="E534">
        <v>0</v>
      </c>
    </row>
    <row r="535" spans="3:5">
      <c r="C535" t="s">
        <v>17</v>
      </c>
      <c r="D535" t="s">
        <v>18</v>
      </c>
      <c r="E535">
        <v>0</v>
      </c>
    </row>
    <row r="536" spans="3:5">
      <c r="C536" t="s">
        <v>17</v>
      </c>
      <c r="D536" t="s">
        <v>18</v>
      </c>
      <c r="E536">
        <v>1</v>
      </c>
    </row>
    <row r="537" spans="3:5">
      <c r="C537" t="s">
        <v>17</v>
      </c>
      <c r="D537" t="s">
        <v>18</v>
      </c>
      <c r="E537">
        <v>1</v>
      </c>
    </row>
    <row r="538" spans="3:5">
      <c r="C538" t="s">
        <v>17</v>
      </c>
      <c r="D538" t="s">
        <v>18</v>
      </c>
      <c r="E538">
        <v>0</v>
      </c>
    </row>
    <row r="539" spans="3:5">
      <c r="C539" t="s">
        <v>15</v>
      </c>
      <c r="D539" t="s">
        <v>16</v>
      </c>
      <c r="E539">
        <v>0</v>
      </c>
    </row>
    <row r="540" spans="3:5">
      <c r="C540" t="s">
        <v>17</v>
      </c>
      <c r="D540" t="s">
        <v>18</v>
      </c>
      <c r="E540">
        <v>0</v>
      </c>
    </row>
    <row r="541" spans="3:5">
      <c r="C541" t="s">
        <v>17</v>
      </c>
      <c r="D541" t="s">
        <v>18</v>
      </c>
      <c r="E541">
        <v>0</v>
      </c>
    </row>
    <row r="542" spans="3:5">
      <c r="C542" t="s">
        <v>15</v>
      </c>
      <c r="D542" t="s">
        <v>16</v>
      </c>
      <c r="E542">
        <v>0</v>
      </c>
    </row>
    <row r="543" spans="3:5">
      <c r="C543" t="s">
        <v>15</v>
      </c>
      <c r="D543" t="s">
        <v>16</v>
      </c>
      <c r="E543">
        <v>0</v>
      </c>
    </row>
    <row r="544" spans="3:5">
      <c r="C544" t="s">
        <v>17</v>
      </c>
      <c r="D544" t="s">
        <v>18</v>
      </c>
      <c r="E544">
        <v>0</v>
      </c>
    </row>
    <row r="545" spans="3:5">
      <c r="C545" t="s">
        <v>15</v>
      </c>
      <c r="D545" t="s">
        <v>16</v>
      </c>
      <c r="E545">
        <v>0</v>
      </c>
    </row>
    <row r="546" spans="3:5">
      <c r="C546" t="s">
        <v>15</v>
      </c>
      <c r="D546" t="s">
        <v>16</v>
      </c>
      <c r="E546">
        <v>0</v>
      </c>
    </row>
    <row r="547" spans="3:5">
      <c r="C547" t="s">
        <v>17</v>
      </c>
      <c r="D547" t="s">
        <v>18</v>
      </c>
      <c r="E547">
        <v>0</v>
      </c>
    </row>
    <row r="548" spans="3:5">
      <c r="C548" t="s">
        <v>15</v>
      </c>
      <c r="D548" t="s">
        <v>16</v>
      </c>
      <c r="E548">
        <v>0</v>
      </c>
    </row>
    <row r="549" spans="3:5">
      <c r="C549" t="s">
        <v>15</v>
      </c>
      <c r="D549" t="s">
        <v>16</v>
      </c>
      <c r="E549">
        <v>0</v>
      </c>
    </row>
    <row r="550" spans="3:5">
      <c r="C550" t="s">
        <v>17</v>
      </c>
      <c r="D550" t="s">
        <v>18</v>
      </c>
      <c r="E550">
        <v>0</v>
      </c>
    </row>
    <row r="551" spans="3:5">
      <c r="C551" t="s">
        <v>17</v>
      </c>
      <c r="D551" t="s">
        <v>18</v>
      </c>
      <c r="E551">
        <v>0</v>
      </c>
    </row>
    <row r="552" spans="3:5">
      <c r="C552" t="s">
        <v>17</v>
      </c>
      <c r="D552" t="s">
        <v>18</v>
      </c>
      <c r="E552">
        <v>0</v>
      </c>
    </row>
    <row r="553" spans="3:5">
      <c r="C553" t="s">
        <v>17</v>
      </c>
      <c r="D553" t="s">
        <v>18</v>
      </c>
      <c r="E553">
        <v>0</v>
      </c>
    </row>
    <row r="554" spans="3:5">
      <c r="C554" t="s">
        <v>15</v>
      </c>
      <c r="D554" t="s">
        <v>16</v>
      </c>
      <c r="E554">
        <v>0</v>
      </c>
    </row>
    <row r="555" spans="3:5">
      <c r="C555" t="s">
        <v>17</v>
      </c>
      <c r="D555" t="s">
        <v>18</v>
      </c>
      <c r="E555">
        <v>0</v>
      </c>
    </row>
    <row r="556" spans="3:5">
      <c r="C556" t="s">
        <v>15</v>
      </c>
      <c r="D556" t="s">
        <v>16</v>
      </c>
      <c r="E556">
        <v>0</v>
      </c>
    </row>
    <row r="557" spans="3:5">
      <c r="C557" t="s">
        <v>15</v>
      </c>
      <c r="D557" t="s">
        <v>16</v>
      </c>
      <c r="E557">
        <v>0</v>
      </c>
    </row>
    <row r="558" spans="3:5">
      <c r="C558" t="s">
        <v>15</v>
      </c>
      <c r="D558" t="s">
        <v>16</v>
      </c>
      <c r="E558">
        <v>0</v>
      </c>
    </row>
    <row r="559" spans="3:5">
      <c r="C559" t="s">
        <v>15</v>
      </c>
      <c r="D559" t="s">
        <v>16</v>
      </c>
      <c r="E559">
        <v>0</v>
      </c>
    </row>
    <row r="560" spans="3:5">
      <c r="C560" t="s">
        <v>17</v>
      </c>
      <c r="D560" t="s">
        <v>18</v>
      </c>
      <c r="E560">
        <v>0</v>
      </c>
    </row>
    <row r="561" spans="3:5">
      <c r="C561" t="s">
        <v>15</v>
      </c>
      <c r="D561" t="s">
        <v>16</v>
      </c>
      <c r="E561">
        <v>0</v>
      </c>
    </row>
    <row r="562" spans="3:5">
      <c r="C562" t="s">
        <v>15</v>
      </c>
      <c r="D562" t="s">
        <v>16</v>
      </c>
      <c r="E562">
        <v>0</v>
      </c>
    </row>
    <row r="563" spans="3:5">
      <c r="C563" t="s">
        <v>17</v>
      </c>
      <c r="D563" t="s">
        <v>18</v>
      </c>
      <c r="E563">
        <v>0</v>
      </c>
    </row>
    <row r="564" spans="3:5">
      <c r="C564" t="s">
        <v>17</v>
      </c>
      <c r="D564" t="s">
        <v>18</v>
      </c>
      <c r="E564">
        <v>0</v>
      </c>
    </row>
    <row r="565" spans="3:5">
      <c r="C565" t="s">
        <v>15</v>
      </c>
      <c r="D565" t="s">
        <v>16</v>
      </c>
      <c r="E565">
        <v>0</v>
      </c>
    </row>
    <row r="566" spans="3:5">
      <c r="C566" t="s">
        <v>17</v>
      </c>
      <c r="D566" t="s">
        <v>18</v>
      </c>
      <c r="E566">
        <v>0</v>
      </c>
    </row>
    <row r="567" spans="3:5">
      <c r="C567" t="s">
        <v>15</v>
      </c>
      <c r="D567" t="s">
        <v>16</v>
      </c>
      <c r="E567">
        <v>0</v>
      </c>
    </row>
    <row r="568" spans="3:5">
      <c r="C568" t="s">
        <v>17</v>
      </c>
      <c r="D568" t="s">
        <v>18</v>
      </c>
      <c r="E568">
        <v>0</v>
      </c>
    </row>
    <row r="569" spans="3:5">
      <c r="C569" t="s">
        <v>17</v>
      </c>
      <c r="D569" t="s">
        <v>18</v>
      </c>
      <c r="E569">
        <v>0</v>
      </c>
    </row>
    <row r="570" spans="3:5">
      <c r="C570" t="s">
        <v>17</v>
      </c>
      <c r="D570" t="s">
        <v>18</v>
      </c>
      <c r="E570">
        <v>0</v>
      </c>
    </row>
    <row r="571" spans="3:5">
      <c r="C571" t="s">
        <v>17</v>
      </c>
      <c r="D571" t="s">
        <v>18</v>
      </c>
      <c r="E571">
        <v>0</v>
      </c>
    </row>
    <row r="572" spans="3:5">
      <c r="C572" t="s">
        <v>15</v>
      </c>
      <c r="D572" t="s">
        <v>16</v>
      </c>
      <c r="E572">
        <v>0</v>
      </c>
    </row>
    <row r="573" spans="3:5">
      <c r="C573" t="s">
        <v>17</v>
      </c>
      <c r="D573" t="s">
        <v>18</v>
      </c>
      <c r="E573">
        <v>0</v>
      </c>
    </row>
    <row r="574" spans="3:5">
      <c r="C574" t="s">
        <v>17</v>
      </c>
      <c r="D574" t="s">
        <v>18</v>
      </c>
      <c r="E574">
        <v>0</v>
      </c>
    </row>
    <row r="575" spans="3:5">
      <c r="C575" t="s">
        <v>17</v>
      </c>
      <c r="D575" t="s">
        <v>18</v>
      </c>
      <c r="E575">
        <v>0</v>
      </c>
    </row>
    <row r="576" spans="3:5">
      <c r="C576" t="s">
        <v>17</v>
      </c>
      <c r="D576" t="s">
        <v>18</v>
      </c>
      <c r="E576">
        <v>0</v>
      </c>
    </row>
    <row r="577" spans="3:5">
      <c r="C577" t="s">
        <v>17</v>
      </c>
      <c r="D577" t="s">
        <v>18</v>
      </c>
      <c r="E577">
        <v>0</v>
      </c>
    </row>
    <row r="578" spans="3:5">
      <c r="C578" t="s">
        <v>17</v>
      </c>
      <c r="D578" t="s">
        <v>18</v>
      </c>
      <c r="E578">
        <v>0</v>
      </c>
    </row>
    <row r="579" spans="3:5">
      <c r="C579" t="s">
        <v>15</v>
      </c>
      <c r="D579" t="s">
        <v>16</v>
      </c>
      <c r="E579">
        <v>0</v>
      </c>
    </row>
    <row r="580" spans="3:5">
      <c r="C580" t="s">
        <v>15</v>
      </c>
      <c r="D580" t="s">
        <v>16</v>
      </c>
      <c r="E580">
        <v>0</v>
      </c>
    </row>
    <row r="581" spans="3:5">
      <c r="C581" t="s">
        <v>15</v>
      </c>
      <c r="D581" t="s">
        <v>16</v>
      </c>
      <c r="E581">
        <v>1</v>
      </c>
    </row>
    <row r="582" spans="3:5">
      <c r="C582" t="s">
        <v>15</v>
      </c>
      <c r="D582" t="s">
        <v>16</v>
      </c>
      <c r="E582">
        <v>0</v>
      </c>
    </row>
    <row r="583" spans="3:5">
      <c r="C583" t="s">
        <v>17</v>
      </c>
      <c r="D583" t="s">
        <v>18</v>
      </c>
      <c r="E583">
        <v>0</v>
      </c>
    </row>
    <row r="584" spans="3:5">
      <c r="C584" t="s">
        <v>17</v>
      </c>
      <c r="D584" t="s">
        <v>18</v>
      </c>
      <c r="E584">
        <v>0</v>
      </c>
    </row>
    <row r="585" spans="3:5">
      <c r="C585" t="s">
        <v>15</v>
      </c>
      <c r="D585" t="s">
        <v>16</v>
      </c>
      <c r="E585">
        <v>0</v>
      </c>
    </row>
    <row r="586" spans="3:5">
      <c r="C586" t="s">
        <v>17</v>
      </c>
      <c r="D586" t="s">
        <v>18</v>
      </c>
      <c r="E586">
        <v>0</v>
      </c>
    </row>
    <row r="587" spans="3:5">
      <c r="C587" t="s">
        <v>15</v>
      </c>
      <c r="D587" t="s">
        <v>16</v>
      </c>
      <c r="E587">
        <v>0</v>
      </c>
    </row>
    <row r="588" spans="3:5">
      <c r="C588" t="s">
        <v>17</v>
      </c>
      <c r="D588" t="s">
        <v>18</v>
      </c>
      <c r="E588">
        <v>0</v>
      </c>
    </row>
    <row r="589" spans="3:5">
      <c r="C589" t="s">
        <v>15</v>
      </c>
      <c r="D589" t="s">
        <v>16</v>
      </c>
      <c r="E589">
        <v>0</v>
      </c>
    </row>
    <row r="590" spans="3:5">
      <c r="C590" t="s">
        <v>17</v>
      </c>
      <c r="D590" t="s">
        <v>18</v>
      </c>
      <c r="E590">
        <v>0</v>
      </c>
    </row>
    <row r="591" spans="3:5">
      <c r="C591" t="s">
        <v>15</v>
      </c>
      <c r="D591" t="s">
        <v>16</v>
      </c>
      <c r="E591">
        <v>0</v>
      </c>
    </row>
    <row r="592" spans="3:5">
      <c r="C592" t="s">
        <v>15</v>
      </c>
      <c r="D592" t="s">
        <v>16</v>
      </c>
      <c r="E592">
        <v>0</v>
      </c>
    </row>
    <row r="593" spans="3:5">
      <c r="C593" t="s">
        <v>15</v>
      </c>
      <c r="D593" t="s">
        <v>16</v>
      </c>
      <c r="E593">
        <v>0</v>
      </c>
    </row>
    <row r="594" spans="3:5">
      <c r="C594" t="s">
        <v>15</v>
      </c>
      <c r="D594" t="s">
        <v>16</v>
      </c>
      <c r="E594">
        <v>0</v>
      </c>
    </row>
    <row r="595" spans="3:5">
      <c r="C595" t="s">
        <v>17</v>
      </c>
      <c r="D595" t="s">
        <v>18</v>
      </c>
      <c r="E595">
        <v>0</v>
      </c>
    </row>
    <row r="596" spans="3:5">
      <c r="C596" t="s">
        <v>17</v>
      </c>
      <c r="D596" t="s">
        <v>18</v>
      </c>
      <c r="E596">
        <v>0</v>
      </c>
    </row>
    <row r="597" spans="3:5">
      <c r="C597" t="s">
        <v>17</v>
      </c>
      <c r="D597" t="s">
        <v>18</v>
      </c>
      <c r="E597">
        <v>0</v>
      </c>
    </row>
    <row r="598" spans="3:5">
      <c r="C598" t="s">
        <v>15</v>
      </c>
      <c r="D598" t="s">
        <v>16</v>
      </c>
      <c r="E598">
        <v>0</v>
      </c>
    </row>
    <row r="599" spans="3:5">
      <c r="C599" t="s">
        <v>15</v>
      </c>
      <c r="D599" t="s">
        <v>16</v>
      </c>
      <c r="E599">
        <v>0</v>
      </c>
    </row>
    <row r="600" spans="3:5">
      <c r="C600" t="s">
        <v>17</v>
      </c>
      <c r="D600" t="s">
        <v>18</v>
      </c>
      <c r="E600">
        <v>0</v>
      </c>
    </row>
    <row r="601" spans="3:5">
      <c r="C601" t="s">
        <v>17</v>
      </c>
      <c r="D601" t="s">
        <v>18</v>
      </c>
      <c r="E601">
        <v>0</v>
      </c>
    </row>
    <row r="602" spans="3:5">
      <c r="C602" t="s">
        <v>15</v>
      </c>
      <c r="D602" t="s">
        <v>16</v>
      </c>
      <c r="E602">
        <v>0</v>
      </c>
    </row>
    <row r="603" spans="3:5">
      <c r="C603" t="s">
        <v>17</v>
      </c>
      <c r="D603" t="s">
        <v>18</v>
      </c>
      <c r="E603">
        <v>0</v>
      </c>
    </row>
    <row r="604" spans="3:5">
      <c r="C604" t="s">
        <v>17</v>
      </c>
      <c r="D604" t="s">
        <v>18</v>
      </c>
      <c r="E604">
        <v>0</v>
      </c>
    </row>
    <row r="605" spans="3:5">
      <c r="C605" t="s">
        <v>15</v>
      </c>
      <c r="D605" t="s">
        <v>16</v>
      </c>
      <c r="E605">
        <v>0</v>
      </c>
    </row>
    <row r="606" spans="3:5">
      <c r="C606" t="s">
        <v>15</v>
      </c>
      <c r="D606" t="s">
        <v>16</v>
      </c>
      <c r="E606">
        <v>0</v>
      </c>
    </row>
    <row r="607" spans="3:5">
      <c r="C607" t="s">
        <v>15</v>
      </c>
      <c r="D607" t="s">
        <v>16</v>
      </c>
      <c r="E607">
        <v>0</v>
      </c>
    </row>
    <row r="608" spans="3:5">
      <c r="C608" t="s">
        <v>15</v>
      </c>
      <c r="D608" t="s">
        <v>16</v>
      </c>
      <c r="E608">
        <v>0</v>
      </c>
    </row>
    <row r="609" spans="3:5">
      <c r="C609" t="s">
        <v>17</v>
      </c>
      <c r="D609" t="s">
        <v>18</v>
      </c>
      <c r="E609">
        <v>0</v>
      </c>
    </row>
    <row r="610" spans="3:5">
      <c r="C610" t="s">
        <v>15</v>
      </c>
      <c r="D610" t="s">
        <v>16</v>
      </c>
      <c r="E610">
        <v>0</v>
      </c>
    </row>
    <row r="611" spans="3:5">
      <c r="C611" t="s">
        <v>17</v>
      </c>
      <c r="D611" t="s">
        <v>18</v>
      </c>
      <c r="E611">
        <v>0</v>
      </c>
    </row>
    <row r="612" spans="3:5">
      <c r="C612" t="s">
        <v>15</v>
      </c>
      <c r="D612" t="s">
        <v>16</v>
      </c>
      <c r="E612">
        <v>0</v>
      </c>
    </row>
    <row r="613" spans="3:5">
      <c r="C613" t="s">
        <v>17</v>
      </c>
      <c r="D613" t="s">
        <v>18</v>
      </c>
      <c r="E613">
        <v>0</v>
      </c>
    </row>
    <row r="614" spans="3:5">
      <c r="C614" t="s">
        <v>15</v>
      </c>
      <c r="D614" t="s">
        <v>16</v>
      </c>
      <c r="E614">
        <v>0</v>
      </c>
    </row>
    <row r="615" spans="3:5">
      <c r="C615" t="s">
        <v>17</v>
      </c>
      <c r="D615" t="s">
        <v>18</v>
      </c>
      <c r="E615">
        <v>0</v>
      </c>
    </row>
    <row r="616" spans="3:5">
      <c r="C616" t="s">
        <v>17</v>
      </c>
      <c r="D616" t="s">
        <v>18</v>
      </c>
      <c r="E616">
        <v>0</v>
      </c>
    </row>
    <row r="617" spans="3:5">
      <c r="C617" t="s">
        <v>15</v>
      </c>
      <c r="D617" t="s">
        <v>16</v>
      </c>
      <c r="E617">
        <v>0</v>
      </c>
    </row>
    <row r="618" spans="3:5">
      <c r="C618" t="s">
        <v>17</v>
      </c>
      <c r="D618" t="s">
        <v>18</v>
      </c>
      <c r="E618">
        <v>0</v>
      </c>
    </row>
    <row r="619" spans="3:5">
      <c r="C619" t="s">
        <v>17</v>
      </c>
      <c r="D619" t="s">
        <v>18</v>
      </c>
      <c r="E619">
        <v>0</v>
      </c>
    </row>
    <row r="620" spans="3:5">
      <c r="C620" t="s">
        <v>15</v>
      </c>
      <c r="D620" t="s">
        <v>16</v>
      </c>
      <c r="E620">
        <v>0</v>
      </c>
    </row>
    <row r="621" spans="3:5">
      <c r="C621" t="s">
        <v>17</v>
      </c>
      <c r="D621" t="s">
        <v>18</v>
      </c>
      <c r="E621">
        <v>0</v>
      </c>
    </row>
    <row r="622" spans="3:5">
      <c r="C622" t="s">
        <v>15</v>
      </c>
      <c r="D622" t="s">
        <v>16</v>
      </c>
      <c r="E622">
        <v>0</v>
      </c>
    </row>
    <row r="623" spans="3:5">
      <c r="C623" t="s">
        <v>17</v>
      </c>
      <c r="D623" t="s">
        <v>18</v>
      </c>
      <c r="E623">
        <v>0</v>
      </c>
    </row>
    <row r="624" spans="3:5">
      <c r="C624" t="s">
        <v>15</v>
      </c>
      <c r="D624" t="s">
        <v>16</v>
      </c>
      <c r="E624">
        <v>0</v>
      </c>
    </row>
    <row r="625" spans="3:5">
      <c r="C625" t="s">
        <v>17</v>
      </c>
      <c r="D625" t="s">
        <v>18</v>
      </c>
      <c r="E625">
        <v>0</v>
      </c>
    </row>
    <row r="626" spans="3:5">
      <c r="C626" t="s">
        <v>15</v>
      </c>
      <c r="D626" t="s">
        <v>16</v>
      </c>
      <c r="E626">
        <v>0</v>
      </c>
    </row>
    <row r="627" spans="3:5">
      <c r="C627" t="s">
        <v>15</v>
      </c>
      <c r="D627" t="s">
        <v>16</v>
      </c>
      <c r="E627">
        <v>0</v>
      </c>
    </row>
    <row r="628" spans="3:5">
      <c r="C628" t="s">
        <v>17</v>
      </c>
      <c r="D628" t="s">
        <v>18</v>
      </c>
      <c r="E628">
        <v>0</v>
      </c>
    </row>
    <row r="629" spans="3:5">
      <c r="C629" t="s">
        <v>15</v>
      </c>
      <c r="D629" t="s">
        <v>16</v>
      </c>
      <c r="E629">
        <v>0</v>
      </c>
    </row>
    <row r="630" spans="3:5">
      <c r="C630" t="s">
        <v>15</v>
      </c>
      <c r="D630" t="s">
        <v>16</v>
      </c>
      <c r="E630">
        <v>0</v>
      </c>
    </row>
    <row r="631" spans="3:5">
      <c r="C631" t="s">
        <v>17</v>
      </c>
      <c r="D631" t="s">
        <v>18</v>
      </c>
      <c r="E631">
        <v>0</v>
      </c>
    </row>
    <row r="632" spans="3:5">
      <c r="C632" t="s">
        <v>15</v>
      </c>
      <c r="D632" t="s">
        <v>16</v>
      </c>
      <c r="E632">
        <v>0</v>
      </c>
    </row>
    <row r="633" spans="3:5">
      <c r="C633" t="s">
        <v>15</v>
      </c>
      <c r="D633" t="s">
        <v>16</v>
      </c>
      <c r="E633">
        <v>0</v>
      </c>
    </row>
    <row r="634" spans="3:5">
      <c r="C634" t="s">
        <v>17</v>
      </c>
      <c r="D634" t="s">
        <v>18</v>
      </c>
      <c r="E634">
        <v>0</v>
      </c>
    </row>
    <row r="635" spans="3:5">
      <c r="C635" t="s">
        <v>17</v>
      </c>
      <c r="D635" t="s">
        <v>18</v>
      </c>
      <c r="E635">
        <v>0</v>
      </c>
    </row>
    <row r="636" spans="3:5">
      <c r="C636" t="s">
        <v>15</v>
      </c>
      <c r="D636" t="s">
        <v>16</v>
      </c>
      <c r="E636">
        <v>0</v>
      </c>
    </row>
    <row r="637" spans="3:5">
      <c r="C637" t="s">
        <v>15</v>
      </c>
      <c r="D637" t="s">
        <v>16</v>
      </c>
      <c r="E637">
        <v>0</v>
      </c>
    </row>
    <row r="638" spans="3:5">
      <c r="C638" t="s">
        <v>15</v>
      </c>
      <c r="D638" t="s">
        <v>16</v>
      </c>
      <c r="E638">
        <v>0</v>
      </c>
    </row>
    <row r="639" spans="3:5">
      <c r="C639" t="s">
        <v>15</v>
      </c>
      <c r="D639" t="s">
        <v>16</v>
      </c>
      <c r="E639">
        <v>0</v>
      </c>
    </row>
    <row r="640" spans="3:5">
      <c r="C640" t="s">
        <v>17</v>
      </c>
      <c r="D640" t="s">
        <v>18</v>
      </c>
      <c r="E640">
        <v>0</v>
      </c>
    </row>
    <row r="641" spans="3:5">
      <c r="C641" t="s">
        <v>17</v>
      </c>
      <c r="D641" t="s">
        <v>18</v>
      </c>
      <c r="E641">
        <v>0</v>
      </c>
    </row>
    <row r="642" spans="3:5">
      <c r="C642" t="s">
        <v>17</v>
      </c>
      <c r="D642" t="s">
        <v>18</v>
      </c>
      <c r="E642">
        <v>0</v>
      </c>
    </row>
    <row r="643" spans="3:5">
      <c r="C643" t="s">
        <v>17</v>
      </c>
      <c r="D643" t="s">
        <v>18</v>
      </c>
      <c r="E643">
        <v>0</v>
      </c>
    </row>
    <row r="644" spans="3:5">
      <c r="C644" t="s">
        <v>17</v>
      </c>
      <c r="D644" t="s">
        <v>18</v>
      </c>
      <c r="E644">
        <v>0</v>
      </c>
    </row>
    <row r="645" spans="3:5">
      <c r="C645" t="s">
        <v>17</v>
      </c>
      <c r="D645" t="s">
        <v>18</v>
      </c>
      <c r="E645">
        <v>0</v>
      </c>
    </row>
    <row r="646" spans="3:5">
      <c r="C646" t="s">
        <v>15</v>
      </c>
      <c r="D646" t="s">
        <v>16</v>
      </c>
      <c r="E646">
        <v>0</v>
      </c>
    </row>
    <row r="647" spans="3:5">
      <c r="C647" t="s">
        <v>17</v>
      </c>
      <c r="D647" t="s">
        <v>18</v>
      </c>
      <c r="E647">
        <v>0</v>
      </c>
    </row>
    <row r="648" spans="3:5">
      <c r="C648" t="s">
        <v>15</v>
      </c>
      <c r="D648" t="s">
        <v>16</v>
      </c>
      <c r="E648">
        <v>0</v>
      </c>
    </row>
    <row r="649" spans="3:5">
      <c r="C649" t="s">
        <v>15</v>
      </c>
      <c r="D649" t="s">
        <v>16</v>
      </c>
      <c r="E649">
        <v>0</v>
      </c>
    </row>
    <row r="650" spans="3:5">
      <c r="C650" t="s">
        <v>15</v>
      </c>
      <c r="D650" t="s">
        <v>16</v>
      </c>
      <c r="E650">
        <v>0</v>
      </c>
    </row>
    <row r="651" spans="3:5">
      <c r="C651" t="s">
        <v>15</v>
      </c>
      <c r="D651" t="s">
        <v>16</v>
      </c>
      <c r="E651">
        <v>0</v>
      </c>
    </row>
    <row r="652" spans="3:5">
      <c r="C652" t="s">
        <v>15</v>
      </c>
      <c r="D652" t="s">
        <v>16</v>
      </c>
      <c r="E652">
        <v>0</v>
      </c>
    </row>
    <row r="653" spans="3:5">
      <c r="C653" t="s">
        <v>17</v>
      </c>
      <c r="D653" t="s">
        <v>18</v>
      </c>
      <c r="E653">
        <v>0</v>
      </c>
    </row>
    <row r="654" spans="3:5">
      <c r="C654" t="s">
        <v>17</v>
      </c>
      <c r="D654" t="s">
        <v>18</v>
      </c>
      <c r="E654">
        <v>0</v>
      </c>
    </row>
    <row r="655" spans="3:5">
      <c r="C655" t="s">
        <v>15</v>
      </c>
      <c r="D655" t="s">
        <v>16</v>
      </c>
      <c r="E655">
        <v>0</v>
      </c>
    </row>
    <row r="656" spans="3:5">
      <c r="C656" t="s">
        <v>15</v>
      </c>
      <c r="D656" t="s">
        <v>16</v>
      </c>
      <c r="E656">
        <v>0</v>
      </c>
    </row>
    <row r="657" spans="3:5">
      <c r="C657" t="s">
        <v>15</v>
      </c>
      <c r="D657" t="s">
        <v>16</v>
      </c>
      <c r="E657">
        <v>0</v>
      </c>
    </row>
    <row r="658" spans="3:5">
      <c r="C658" t="s">
        <v>15</v>
      </c>
      <c r="D658" t="s">
        <v>16</v>
      </c>
      <c r="E658">
        <v>0</v>
      </c>
    </row>
    <row r="659" spans="3:5">
      <c r="C659" t="s">
        <v>17</v>
      </c>
      <c r="D659" t="s">
        <v>18</v>
      </c>
      <c r="E659">
        <v>0</v>
      </c>
    </row>
    <row r="660" spans="3:5">
      <c r="C660" t="s">
        <v>17</v>
      </c>
      <c r="D660" t="s">
        <v>18</v>
      </c>
      <c r="E660">
        <v>0</v>
      </c>
    </row>
    <row r="661" spans="3:5">
      <c r="C661" t="s">
        <v>15</v>
      </c>
      <c r="D661" t="s">
        <v>16</v>
      </c>
      <c r="E661">
        <v>0</v>
      </c>
    </row>
    <row r="662" spans="3:5">
      <c r="C662" t="s">
        <v>15</v>
      </c>
      <c r="D662" t="s">
        <v>16</v>
      </c>
      <c r="E662">
        <v>0</v>
      </c>
    </row>
    <row r="663" spans="3:5">
      <c r="C663" t="s">
        <v>17</v>
      </c>
      <c r="D663" t="s">
        <v>18</v>
      </c>
      <c r="E663">
        <v>0</v>
      </c>
    </row>
    <row r="664" spans="3:5">
      <c r="C664" t="s">
        <v>17</v>
      </c>
      <c r="D664" t="s">
        <v>18</v>
      </c>
      <c r="E664">
        <v>0</v>
      </c>
    </row>
    <row r="665" spans="3:5">
      <c r="C665" t="s">
        <v>15</v>
      </c>
      <c r="D665" t="s">
        <v>16</v>
      </c>
      <c r="E665">
        <v>0</v>
      </c>
    </row>
    <row r="666" spans="3:5">
      <c r="C666" t="s">
        <v>17</v>
      </c>
      <c r="D666" t="s">
        <v>18</v>
      </c>
      <c r="E666">
        <v>0</v>
      </c>
    </row>
    <row r="667" spans="3:5">
      <c r="C667" t="s">
        <v>15</v>
      </c>
      <c r="D667" t="s">
        <v>16</v>
      </c>
      <c r="E667">
        <v>0</v>
      </c>
    </row>
    <row r="668" spans="3:5">
      <c r="C668" t="s">
        <v>17</v>
      </c>
      <c r="D668" t="s">
        <v>18</v>
      </c>
      <c r="E668">
        <v>0</v>
      </c>
    </row>
    <row r="669" spans="3:5">
      <c r="C669" t="s">
        <v>17</v>
      </c>
      <c r="D669" t="s">
        <v>18</v>
      </c>
      <c r="E669">
        <v>0</v>
      </c>
    </row>
    <row r="670" spans="3:5">
      <c r="C670" t="s">
        <v>17</v>
      </c>
      <c r="D670" t="s">
        <v>18</v>
      </c>
      <c r="E670">
        <v>0</v>
      </c>
    </row>
    <row r="671" spans="3:5">
      <c r="C671" t="s">
        <v>15</v>
      </c>
      <c r="D671" t="s">
        <v>16</v>
      </c>
      <c r="E671">
        <v>0</v>
      </c>
    </row>
    <row r="672" spans="3:5">
      <c r="C672" t="s">
        <v>17</v>
      </c>
      <c r="D672" t="s">
        <v>18</v>
      </c>
      <c r="E672">
        <v>1</v>
      </c>
    </row>
    <row r="673" spans="3:5">
      <c r="C673" t="s">
        <v>15</v>
      </c>
      <c r="D673" t="s">
        <v>16</v>
      </c>
      <c r="E673">
        <v>0</v>
      </c>
    </row>
    <row r="674" spans="3:5">
      <c r="C674" t="s">
        <v>17</v>
      </c>
      <c r="D674" t="s">
        <v>18</v>
      </c>
      <c r="E674">
        <v>1</v>
      </c>
    </row>
    <row r="675" spans="3:5">
      <c r="C675" t="s">
        <v>17</v>
      </c>
      <c r="D675" t="s">
        <v>18</v>
      </c>
      <c r="E675">
        <v>0</v>
      </c>
    </row>
    <row r="676" spans="3:5">
      <c r="C676" t="s">
        <v>15</v>
      </c>
      <c r="D676" t="s">
        <v>16</v>
      </c>
      <c r="E676">
        <v>0</v>
      </c>
    </row>
    <row r="677" spans="3:5">
      <c r="C677" t="s">
        <v>17</v>
      </c>
      <c r="D677" t="s">
        <v>18</v>
      </c>
      <c r="E677">
        <v>0</v>
      </c>
    </row>
    <row r="678" spans="3:5">
      <c r="C678" t="s">
        <v>15</v>
      </c>
      <c r="D678" t="s">
        <v>16</v>
      </c>
      <c r="E678">
        <v>0</v>
      </c>
    </row>
    <row r="679" spans="3:5">
      <c r="C679" t="s">
        <v>15</v>
      </c>
      <c r="D679" t="s">
        <v>16</v>
      </c>
      <c r="E679">
        <v>0</v>
      </c>
    </row>
    <row r="680" spans="3:5">
      <c r="C680" t="s">
        <v>17</v>
      </c>
      <c r="D680" t="s">
        <v>18</v>
      </c>
      <c r="E680">
        <v>1</v>
      </c>
    </row>
    <row r="681" spans="3:5">
      <c r="C681" t="s">
        <v>17</v>
      </c>
      <c r="D681" t="s">
        <v>18</v>
      </c>
      <c r="E681">
        <v>0</v>
      </c>
    </row>
    <row r="682" spans="3:5">
      <c r="C682" t="s">
        <v>17</v>
      </c>
      <c r="D682" t="s">
        <v>18</v>
      </c>
      <c r="E682">
        <v>0</v>
      </c>
    </row>
    <row r="683" spans="3:5">
      <c r="C683" t="s">
        <v>15</v>
      </c>
      <c r="D683" t="s">
        <v>16</v>
      </c>
      <c r="E683">
        <v>0</v>
      </c>
    </row>
    <row r="684" spans="3:5">
      <c r="C684" t="s">
        <v>17</v>
      </c>
      <c r="D684" t="s">
        <v>18</v>
      </c>
      <c r="E684">
        <v>0</v>
      </c>
    </row>
    <row r="685" spans="3:5">
      <c r="C685" t="s">
        <v>17</v>
      </c>
      <c r="D685" t="s">
        <v>18</v>
      </c>
      <c r="E685">
        <v>0</v>
      </c>
    </row>
    <row r="686" spans="3:5">
      <c r="C686" t="s">
        <v>15</v>
      </c>
      <c r="D686" t="s">
        <v>16</v>
      </c>
      <c r="E686">
        <v>0</v>
      </c>
    </row>
    <row r="687" spans="3:5">
      <c r="C687" t="s">
        <v>15</v>
      </c>
      <c r="D687" t="s">
        <v>16</v>
      </c>
      <c r="E687">
        <v>0</v>
      </c>
    </row>
    <row r="688" spans="3:5">
      <c r="C688" t="s">
        <v>17</v>
      </c>
      <c r="D688" t="s">
        <v>18</v>
      </c>
      <c r="E688">
        <v>0</v>
      </c>
    </row>
    <row r="689" spans="3:5">
      <c r="C689" t="s">
        <v>15</v>
      </c>
      <c r="D689" t="s">
        <v>16</v>
      </c>
      <c r="E689">
        <v>0</v>
      </c>
    </row>
    <row r="690" spans="3:5">
      <c r="C690" t="s">
        <v>17</v>
      </c>
      <c r="D690" t="s">
        <v>18</v>
      </c>
      <c r="E690">
        <v>0</v>
      </c>
    </row>
    <row r="691" spans="3:5">
      <c r="C691" t="s">
        <v>15</v>
      </c>
      <c r="D691" t="s">
        <v>16</v>
      </c>
      <c r="E691">
        <v>1</v>
      </c>
    </row>
    <row r="692" spans="3:5">
      <c r="C692" t="s">
        <v>15</v>
      </c>
      <c r="D692" t="s">
        <v>16</v>
      </c>
      <c r="E692">
        <v>0</v>
      </c>
    </row>
    <row r="693" spans="3:5">
      <c r="C693" t="s">
        <v>17</v>
      </c>
      <c r="D693" t="s">
        <v>18</v>
      </c>
      <c r="E693">
        <v>0</v>
      </c>
    </row>
    <row r="694" spans="3:5">
      <c r="C694" t="s">
        <v>17</v>
      </c>
      <c r="D694" t="s">
        <v>18</v>
      </c>
      <c r="E694">
        <v>0</v>
      </c>
    </row>
    <row r="695" spans="3:5">
      <c r="C695" t="s">
        <v>15</v>
      </c>
      <c r="D695" t="s">
        <v>16</v>
      </c>
      <c r="E695">
        <v>0</v>
      </c>
    </row>
    <row r="696" spans="3:5">
      <c r="C696" t="s">
        <v>17</v>
      </c>
      <c r="D696" t="s">
        <v>18</v>
      </c>
      <c r="E696">
        <v>0</v>
      </c>
    </row>
    <row r="697" spans="3:5">
      <c r="C697" t="s">
        <v>17</v>
      </c>
      <c r="D697" t="s">
        <v>18</v>
      </c>
      <c r="E697">
        <v>0</v>
      </c>
    </row>
    <row r="698" spans="3:5">
      <c r="C698" t="s">
        <v>15</v>
      </c>
      <c r="D698" t="s">
        <v>16</v>
      </c>
      <c r="E698">
        <v>0</v>
      </c>
    </row>
    <row r="699" spans="3:5">
      <c r="C699" t="s">
        <v>15</v>
      </c>
      <c r="D699" t="s">
        <v>16</v>
      </c>
      <c r="E699">
        <v>0</v>
      </c>
    </row>
    <row r="700" spans="3:5">
      <c r="C700" t="s">
        <v>15</v>
      </c>
      <c r="D700" t="s">
        <v>16</v>
      </c>
      <c r="E700">
        <v>0</v>
      </c>
    </row>
    <row r="701" spans="3:5">
      <c r="C701" t="s">
        <v>15</v>
      </c>
      <c r="D701" t="s">
        <v>16</v>
      </c>
      <c r="E701">
        <v>0</v>
      </c>
    </row>
    <row r="702" spans="3:5">
      <c r="C702" t="s">
        <v>17</v>
      </c>
      <c r="D702" t="s">
        <v>18</v>
      </c>
      <c r="E702">
        <v>0</v>
      </c>
    </row>
    <row r="703" spans="3:5">
      <c r="C703" t="s">
        <v>15</v>
      </c>
      <c r="D703" t="s">
        <v>16</v>
      </c>
      <c r="E703">
        <v>0</v>
      </c>
    </row>
    <row r="704" spans="3:5">
      <c r="C704" t="s">
        <v>15</v>
      </c>
      <c r="D704" t="s">
        <v>16</v>
      </c>
      <c r="E704">
        <v>0</v>
      </c>
    </row>
    <row r="705" spans="3:5">
      <c r="C705" t="s">
        <v>17</v>
      </c>
      <c r="D705" t="s">
        <v>18</v>
      </c>
      <c r="E705">
        <v>0</v>
      </c>
    </row>
    <row r="706" spans="3:5">
      <c r="C706" t="s">
        <v>15</v>
      </c>
      <c r="D706" t="s">
        <v>16</v>
      </c>
      <c r="E706">
        <v>0</v>
      </c>
    </row>
    <row r="707" spans="3:5">
      <c r="C707" t="s">
        <v>15</v>
      </c>
      <c r="D707" t="s">
        <v>16</v>
      </c>
      <c r="E707">
        <v>0</v>
      </c>
    </row>
    <row r="708" spans="3:5">
      <c r="C708" t="s">
        <v>15</v>
      </c>
      <c r="D708" t="s">
        <v>16</v>
      </c>
      <c r="E708">
        <v>0</v>
      </c>
    </row>
    <row r="709" spans="3:5">
      <c r="C709" t="s">
        <v>17</v>
      </c>
      <c r="D709" t="s">
        <v>18</v>
      </c>
      <c r="E709">
        <v>0</v>
      </c>
    </row>
    <row r="710" spans="3:5">
      <c r="C710" t="s">
        <v>17</v>
      </c>
      <c r="D710" t="s">
        <v>18</v>
      </c>
      <c r="E710">
        <v>0</v>
      </c>
    </row>
    <row r="711" spans="3:5">
      <c r="C711" t="s">
        <v>17</v>
      </c>
      <c r="D711" t="s">
        <v>18</v>
      </c>
      <c r="E711">
        <v>0</v>
      </c>
    </row>
    <row r="712" spans="3:5">
      <c r="C712" t="s">
        <v>17</v>
      </c>
      <c r="D712" t="s">
        <v>18</v>
      </c>
      <c r="E712">
        <v>0</v>
      </c>
    </row>
    <row r="713" spans="3:5">
      <c r="C713" t="s">
        <v>15</v>
      </c>
      <c r="D713" t="s">
        <v>16</v>
      </c>
      <c r="E713">
        <v>0</v>
      </c>
    </row>
    <row r="714" spans="3:5">
      <c r="C714" t="s">
        <v>17</v>
      </c>
      <c r="D714" t="s">
        <v>18</v>
      </c>
      <c r="E714">
        <v>0</v>
      </c>
    </row>
    <row r="715" spans="3:5">
      <c r="C715" t="s">
        <v>15</v>
      </c>
      <c r="D715" t="s">
        <v>16</v>
      </c>
      <c r="E715">
        <v>0</v>
      </c>
    </row>
    <row r="716" spans="3:5">
      <c r="C716" t="s">
        <v>15</v>
      </c>
      <c r="D716" t="s">
        <v>16</v>
      </c>
      <c r="E716">
        <v>0</v>
      </c>
    </row>
    <row r="717" spans="3:5">
      <c r="C717" t="s">
        <v>15</v>
      </c>
      <c r="D717" t="s">
        <v>16</v>
      </c>
      <c r="E717">
        <v>0</v>
      </c>
    </row>
    <row r="718" spans="3:5">
      <c r="C718" t="s">
        <v>17</v>
      </c>
      <c r="D718" t="s">
        <v>18</v>
      </c>
      <c r="E718">
        <v>0</v>
      </c>
    </row>
    <row r="719" spans="3:5">
      <c r="C719" t="s">
        <v>17</v>
      </c>
      <c r="D719" t="s">
        <v>18</v>
      </c>
      <c r="E719">
        <v>0</v>
      </c>
    </row>
    <row r="720" spans="3:5">
      <c r="C720" t="s">
        <v>17</v>
      </c>
      <c r="D720" t="s">
        <v>18</v>
      </c>
      <c r="E720">
        <v>0</v>
      </c>
    </row>
    <row r="721" spans="3:5">
      <c r="C721" t="s">
        <v>17</v>
      </c>
      <c r="D721" t="s">
        <v>18</v>
      </c>
      <c r="E721">
        <v>0</v>
      </c>
    </row>
    <row r="722" spans="3:5">
      <c r="C722" t="s">
        <v>17</v>
      </c>
      <c r="D722" t="s">
        <v>18</v>
      </c>
      <c r="E722">
        <v>0</v>
      </c>
    </row>
    <row r="723" spans="3:5">
      <c r="C723" t="s">
        <v>15</v>
      </c>
      <c r="D723" t="s">
        <v>16</v>
      </c>
      <c r="E723">
        <v>0</v>
      </c>
    </row>
    <row r="724" spans="3:5">
      <c r="C724" t="s">
        <v>15</v>
      </c>
      <c r="D724" t="s">
        <v>16</v>
      </c>
      <c r="E724">
        <v>0</v>
      </c>
    </row>
    <row r="725" spans="3:5">
      <c r="C725" t="s">
        <v>15</v>
      </c>
      <c r="D725" t="s">
        <v>16</v>
      </c>
      <c r="E725">
        <v>0</v>
      </c>
    </row>
    <row r="726" spans="3:5">
      <c r="C726" t="s">
        <v>17</v>
      </c>
      <c r="D726" t="s">
        <v>18</v>
      </c>
      <c r="E726">
        <v>0</v>
      </c>
    </row>
    <row r="727" spans="3:5">
      <c r="C727" t="s">
        <v>15</v>
      </c>
      <c r="D727" t="s">
        <v>16</v>
      </c>
      <c r="E727">
        <v>0</v>
      </c>
    </row>
    <row r="728" spans="3:5">
      <c r="C728" t="s">
        <v>17</v>
      </c>
      <c r="D728" t="s">
        <v>18</v>
      </c>
      <c r="E728">
        <v>0</v>
      </c>
    </row>
    <row r="729" spans="3:5">
      <c r="C729" t="s">
        <v>17</v>
      </c>
      <c r="D729" t="s">
        <v>18</v>
      </c>
      <c r="E729">
        <v>0</v>
      </c>
    </row>
    <row r="730" spans="3:5">
      <c r="C730" t="s">
        <v>15</v>
      </c>
      <c r="D730" t="s">
        <v>16</v>
      </c>
      <c r="E730">
        <v>0</v>
      </c>
    </row>
    <row r="731" spans="3:5">
      <c r="C731" t="s">
        <v>15</v>
      </c>
      <c r="D731" t="s">
        <v>16</v>
      </c>
      <c r="E731">
        <v>0</v>
      </c>
    </row>
    <row r="732" spans="3:5">
      <c r="C732" t="s">
        <v>17</v>
      </c>
      <c r="D732" t="s">
        <v>18</v>
      </c>
      <c r="E732">
        <v>0</v>
      </c>
    </row>
    <row r="733" spans="3:5">
      <c r="C733" t="s">
        <v>15</v>
      </c>
      <c r="D733" t="s">
        <v>16</v>
      </c>
      <c r="E733">
        <v>0</v>
      </c>
    </row>
    <row r="734" spans="3:5">
      <c r="C734" t="s">
        <v>15</v>
      </c>
      <c r="D734" t="s">
        <v>16</v>
      </c>
      <c r="E734">
        <v>0</v>
      </c>
    </row>
    <row r="735" spans="3:5">
      <c r="C735" t="s">
        <v>15</v>
      </c>
      <c r="D735" t="s">
        <v>16</v>
      </c>
      <c r="E735">
        <v>0</v>
      </c>
    </row>
    <row r="736" spans="3:5">
      <c r="C736" t="s">
        <v>15</v>
      </c>
      <c r="D736" t="s">
        <v>16</v>
      </c>
      <c r="E736">
        <v>0</v>
      </c>
    </row>
    <row r="737" spans="3:5">
      <c r="C737" t="s">
        <v>17</v>
      </c>
      <c r="D737" t="s">
        <v>18</v>
      </c>
      <c r="E737">
        <v>0</v>
      </c>
    </row>
    <row r="738" spans="3:5">
      <c r="C738" t="s">
        <v>15</v>
      </c>
      <c r="D738" t="s">
        <v>16</v>
      </c>
      <c r="E738">
        <v>0</v>
      </c>
    </row>
    <row r="739" spans="3:5">
      <c r="C739" t="s">
        <v>17</v>
      </c>
      <c r="D739" t="s">
        <v>18</v>
      </c>
      <c r="E739">
        <v>0</v>
      </c>
    </row>
    <row r="740" spans="3:5">
      <c r="C740" t="s">
        <v>17</v>
      </c>
      <c r="D740" t="s">
        <v>18</v>
      </c>
      <c r="E740">
        <v>0</v>
      </c>
    </row>
    <row r="741" spans="3:5">
      <c r="C741" t="s">
        <v>17</v>
      </c>
      <c r="D741" t="s">
        <v>18</v>
      </c>
      <c r="E741">
        <v>0</v>
      </c>
    </row>
    <row r="742" spans="3:5">
      <c r="C742" t="s">
        <v>17</v>
      </c>
      <c r="D742" t="s">
        <v>18</v>
      </c>
      <c r="E742">
        <v>0</v>
      </c>
    </row>
    <row r="743" spans="3:5">
      <c r="C743" t="s">
        <v>15</v>
      </c>
      <c r="D743" t="s">
        <v>16</v>
      </c>
      <c r="E743">
        <v>0</v>
      </c>
    </row>
    <row r="744" spans="3:5">
      <c r="C744" t="s">
        <v>15</v>
      </c>
      <c r="D744" t="s">
        <v>16</v>
      </c>
      <c r="E744">
        <v>0</v>
      </c>
    </row>
    <row r="745" spans="3:5">
      <c r="C745" t="s">
        <v>17</v>
      </c>
      <c r="D745" t="s">
        <v>18</v>
      </c>
      <c r="E745">
        <v>0</v>
      </c>
    </row>
    <row r="746" spans="3:5">
      <c r="C746" t="s">
        <v>17</v>
      </c>
      <c r="D746" t="s">
        <v>18</v>
      </c>
      <c r="E746">
        <v>0</v>
      </c>
    </row>
    <row r="747" spans="3:5">
      <c r="C747" t="s">
        <v>17</v>
      </c>
      <c r="D747" t="s">
        <v>18</v>
      </c>
      <c r="E747">
        <v>0</v>
      </c>
    </row>
    <row r="748" spans="3:5">
      <c r="C748" t="s">
        <v>17</v>
      </c>
      <c r="D748" t="s">
        <v>18</v>
      </c>
      <c r="E748">
        <v>0</v>
      </c>
    </row>
    <row r="749" spans="3:5">
      <c r="C749" t="s">
        <v>17</v>
      </c>
      <c r="D749" t="s">
        <v>18</v>
      </c>
      <c r="E749">
        <v>0</v>
      </c>
    </row>
    <row r="750" spans="3:5">
      <c r="C750" t="s">
        <v>17</v>
      </c>
      <c r="D750" t="s">
        <v>18</v>
      </c>
      <c r="E750">
        <v>0</v>
      </c>
    </row>
    <row r="751" spans="3:5">
      <c r="C751" t="s">
        <v>15</v>
      </c>
      <c r="D751" t="s">
        <v>16</v>
      </c>
      <c r="E751">
        <v>0</v>
      </c>
    </row>
    <row r="752" spans="3:5">
      <c r="C752" t="s">
        <v>15</v>
      </c>
      <c r="D752" t="s">
        <v>16</v>
      </c>
      <c r="E752">
        <v>0</v>
      </c>
    </row>
    <row r="753" spans="3:5">
      <c r="C753" t="s">
        <v>17</v>
      </c>
      <c r="D753" t="s">
        <v>18</v>
      </c>
      <c r="E753">
        <v>0</v>
      </c>
    </row>
    <row r="754" spans="3:5">
      <c r="C754" t="s">
        <v>15</v>
      </c>
      <c r="D754" t="s">
        <v>16</v>
      </c>
      <c r="E754">
        <v>0</v>
      </c>
    </row>
    <row r="755" spans="3:5">
      <c r="C755" t="s">
        <v>17</v>
      </c>
      <c r="D755" t="s">
        <v>18</v>
      </c>
      <c r="E755">
        <v>0</v>
      </c>
    </row>
    <row r="756" spans="3:5">
      <c r="C756" t="s">
        <v>15</v>
      </c>
      <c r="D756" t="s">
        <v>16</v>
      </c>
      <c r="E756">
        <v>0</v>
      </c>
    </row>
    <row r="757" spans="3:5">
      <c r="C757" t="s">
        <v>17</v>
      </c>
      <c r="D757" t="s">
        <v>18</v>
      </c>
      <c r="E757">
        <v>0</v>
      </c>
    </row>
    <row r="758" spans="3:5">
      <c r="C758" t="s">
        <v>17</v>
      </c>
      <c r="D758" t="s">
        <v>18</v>
      </c>
      <c r="E758">
        <v>0</v>
      </c>
    </row>
    <row r="759" spans="3:5">
      <c r="C759" t="s">
        <v>17</v>
      </c>
      <c r="D759" t="s">
        <v>18</v>
      </c>
      <c r="E759">
        <v>0</v>
      </c>
    </row>
    <row r="760" spans="3:5">
      <c r="C760" t="s">
        <v>15</v>
      </c>
      <c r="D760" t="s">
        <v>16</v>
      </c>
      <c r="E760">
        <v>0</v>
      </c>
    </row>
    <row r="761" spans="3:5">
      <c r="C761" t="s">
        <v>17</v>
      </c>
      <c r="D761" t="s">
        <v>18</v>
      </c>
      <c r="E761">
        <v>0</v>
      </c>
    </row>
    <row r="762" spans="3:5">
      <c r="C762" t="s">
        <v>17</v>
      </c>
      <c r="D762" t="s">
        <v>18</v>
      </c>
      <c r="E762">
        <v>0</v>
      </c>
    </row>
    <row r="763" spans="3:5">
      <c r="C763" t="s">
        <v>15</v>
      </c>
      <c r="D763" t="s">
        <v>16</v>
      </c>
      <c r="E763">
        <v>0</v>
      </c>
    </row>
    <row r="764" spans="3:5">
      <c r="C764" t="s">
        <v>15</v>
      </c>
      <c r="D764" t="s">
        <v>16</v>
      </c>
      <c r="E764">
        <v>0</v>
      </c>
    </row>
    <row r="765" spans="3:5">
      <c r="C765" t="s">
        <v>15</v>
      </c>
      <c r="D765" t="s">
        <v>16</v>
      </c>
      <c r="E765">
        <v>0</v>
      </c>
    </row>
    <row r="766" spans="3:5">
      <c r="C766" t="s">
        <v>17</v>
      </c>
      <c r="D766" t="s">
        <v>18</v>
      </c>
      <c r="E766">
        <v>0</v>
      </c>
    </row>
    <row r="767" spans="3:5">
      <c r="C767" t="s">
        <v>15</v>
      </c>
      <c r="D767" t="s">
        <v>16</v>
      </c>
      <c r="E767">
        <v>0</v>
      </c>
    </row>
    <row r="768" spans="3:5">
      <c r="C768" t="s">
        <v>15</v>
      </c>
      <c r="D768" t="s">
        <v>16</v>
      </c>
      <c r="E768">
        <v>0</v>
      </c>
    </row>
    <row r="769" spans="3:5">
      <c r="C769" t="s">
        <v>15</v>
      </c>
      <c r="D769" t="s">
        <v>16</v>
      </c>
      <c r="E769">
        <v>0</v>
      </c>
    </row>
    <row r="770" spans="3:5">
      <c r="C770" t="s">
        <v>15</v>
      </c>
      <c r="D770" t="s">
        <v>16</v>
      </c>
      <c r="E770">
        <v>0</v>
      </c>
    </row>
    <row r="771" spans="3:5">
      <c r="C771" t="s">
        <v>17</v>
      </c>
      <c r="D771" t="s">
        <v>18</v>
      </c>
      <c r="E771">
        <v>0</v>
      </c>
    </row>
    <row r="772" spans="3:5">
      <c r="C772" t="s">
        <v>15</v>
      </c>
      <c r="D772" t="s">
        <v>16</v>
      </c>
      <c r="E772">
        <v>0</v>
      </c>
    </row>
    <row r="773" spans="3:5">
      <c r="C773" t="s">
        <v>17</v>
      </c>
      <c r="D773" t="s">
        <v>18</v>
      </c>
      <c r="E773">
        <v>0</v>
      </c>
    </row>
    <row r="774" spans="3:5">
      <c r="C774" t="s">
        <v>17</v>
      </c>
      <c r="D774" t="s">
        <v>18</v>
      </c>
      <c r="E774">
        <v>0</v>
      </c>
    </row>
    <row r="775" spans="3:5">
      <c r="C775" t="s">
        <v>17</v>
      </c>
      <c r="D775" t="s">
        <v>18</v>
      </c>
      <c r="E775">
        <v>0</v>
      </c>
    </row>
    <row r="776" spans="3:5">
      <c r="C776" t="s">
        <v>17</v>
      </c>
      <c r="D776" t="s">
        <v>18</v>
      </c>
      <c r="E776">
        <v>0</v>
      </c>
    </row>
    <row r="777" spans="3:5">
      <c r="C777" t="s">
        <v>15</v>
      </c>
      <c r="D777" t="s">
        <v>16</v>
      </c>
      <c r="E777">
        <v>0</v>
      </c>
    </row>
    <row r="778" spans="3:5">
      <c r="C778" t="s">
        <v>17</v>
      </c>
      <c r="D778" t="s">
        <v>18</v>
      </c>
      <c r="E778">
        <v>0</v>
      </c>
    </row>
    <row r="779" spans="3:5">
      <c r="C779" t="s">
        <v>17</v>
      </c>
      <c r="D779" t="s">
        <v>18</v>
      </c>
      <c r="E779">
        <v>0</v>
      </c>
    </row>
    <row r="780" spans="3:5">
      <c r="C780" t="s">
        <v>17</v>
      </c>
      <c r="D780" t="s">
        <v>18</v>
      </c>
      <c r="E780">
        <v>0</v>
      </c>
    </row>
    <row r="781" spans="3:5">
      <c r="C781" t="s">
        <v>15</v>
      </c>
      <c r="D781" t="s">
        <v>16</v>
      </c>
      <c r="E781">
        <v>0</v>
      </c>
    </row>
    <row r="782" spans="3:5">
      <c r="C782" t="s">
        <v>17</v>
      </c>
      <c r="D782" t="s">
        <v>18</v>
      </c>
      <c r="E782">
        <v>0</v>
      </c>
    </row>
    <row r="783" spans="3:5">
      <c r="C783" t="s">
        <v>17</v>
      </c>
      <c r="D783" t="s">
        <v>18</v>
      </c>
      <c r="E783">
        <v>0</v>
      </c>
    </row>
    <row r="784" spans="3:5">
      <c r="C784" t="s">
        <v>15</v>
      </c>
      <c r="D784" t="s">
        <v>16</v>
      </c>
      <c r="E784">
        <v>0</v>
      </c>
    </row>
    <row r="785" spans="3:5">
      <c r="C785" t="s">
        <v>15</v>
      </c>
      <c r="D785" t="s">
        <v>16</v>
      </c>
      <c r="E785">
        <v>0</v>
      </c>
    </row>
    <row r="786" spans="3:5">
      <c r="C786" t="s">
        <v>15</v>
      </c>
      <c r="D786" t="s">
        <v>16</v>
      </c>
      <c r="E786">
        <v>0</v>
      </c>
    </row>
    <row r="787" spans="3:5">
      <c r="C787" t="s">
        <v>15</v>
      </c>
      <c r="D787" t="s">
        <v>16</v>
      </c>
      <c r="E787">
        <v>0</v>
      </c>
    </row>
    <row r="788" spans="3:5">
      <c r="C788" t="s">
        <v>17</v>
      </c>
      <c r="D788" t="s">
        <v>18</v>
      </c>
      <c r="E788">
        <v>0</v>
      </c>
    </row>
    <row r="789" spans="3:5">
      <c r="C789" t="s">
        <v>15</v>
      </c>
      <c r="D789" t="s">
        <v>16</v>
      </c>
      <c r="E789">
        <v>0</v>
      </c>
    </row>
    <row r="790" spans="3:5">
      <c r="C790" t="s">
        <v>17</v>
      </c>
      <c r="D790" t="s">
        <v>18</v>
      </c>
      <c r="E790">
        <v>0</v>
      </c>
    </row>
    <row r="791" spans="3:5">
      <c r="C791" t="s">
        <v>15</v>
      </c>
      <c r="D791" t="s">
        <v>16</v>
      </c>
      <c r="E791">
        <v>0</v>
      </c>
    </row>
    <row r="792" spans="3:5">
      <c r="C792" t="s">
        <v>17</v>
      </c>
      <c r="D792" t="s">
        <v>18</v>
      </c>
      <c r="E792">
        <v>0</v>
      </c>
    </row>
    <row r="793" spans="3:5">
      <c r="C793" t="s">
        <v>15</v>
      </c>
      <c r="D793" t="s">
        <v>16</v>
      </c>
      <c r="E793">
        <v>0</v>
      </c>
    </row>
    <row r="794" spans="3:5">
      <c r="C794" t="s">
        <v>17</v>
      </c>
      <c r="D794" t="s">
        <v>18</v>
      </c>
      <c r="E794">
        <v>0</v>
      </c>
    </row>
    <row r="795" spans="3:5">
      <c r="C795" t="s">
        <v>17</v>
      </c>
      <c r="D795" t="s">
        <v>18</v>
      </c>
      <c r="E795">
        <v>0</v>
      </c>
    </row>
    <row r="796" spans="3:5">
      <c r="C796" t="s">
        <v>15</v>
      </c>
      <c r="D796" t="s">
        <v>16</v>
      </c>
      <c r="E796">
        <v>0</v>
      </c>
    </row>
    <row r="797" spans="3:5">
      <c r="C797" t="s">
        <v>17</v>
      </c>
      <c r="D797" t="s">
        <v>18</v>
      </c>
      <c r="E797">
        <v>0</v>
      </c>
    </row>
    <row r="798" spans="3:5">
      <c r="C798" t="s">
        <v>17</v>
      </c>
      <c r="D798" t="s">
        <v>18</v>
      </c>
      <c r="E798">
        <v>0</v>
      </c>
    </row>
    <row r="799" spans="3:5">
      <c r="C799" t="s">
        <v>15</v>
      </c>
      <c r="D799" t="s">
        <v>16</v>
      </c>
      <c r="E799">
        <v>0</v>
      </c>
    </row>
    <row r="800" spans="3:5">
      <c r="C800" t="s">
        <v>17</v>
      </c>
      <c r="D800" t="s">
        <v>18</v>
      </c>
      <c r="E800">
        <v>0</v>
      </c>
    </row>
    <row r="801" spans="3:5">
      <c r="C801" t="s">
        <v>15</v>
      </c>
      <c r="D801" t="s">
        <v>16</v>
      </c>
      <c r="E801">
        <v>0</v>
      </c>
    </row>
    <row r="802" spans="3:5">
      <c r="C802" t="s">
        <v>15</v>
      </c>
      <c r="D802" t="s">
        <v>16</v>
      </c>
      <c r="E802">
        <v>0</v>
      </c>
    </row>
    <row r="803" spans="3:5">
      <c r="C803" t="s">
        <v>15</v>
      </c>
      <c r="D803" t="s">
        <v>16</v>
      </c>
      <c r="E803">
        <v>0</v>
      </c>
    </row>
    <row r="804" spans="3:5">
      <c r="C804" t="s">
        <v>17</v>
      </c>
      <c r="D804" t="s">
        <v>18</v>
      </c>
      <c r="E804">
        <v>0</v>
      </c>
    </row>
    <row r="805" spans="3:5">
      <c r="C805" t="s">
        <v>15</v>
      </c>
      <c r="D805" t="s">
        <v>16</v>
      </c>
      <c r="E805">
        <v>0</v>
      </c>
    </row>
    <row r="806" spans="3:5">
      <c r="C806" t="s">
        <v>15</v>
      </c>
      <c r="D806" t="s">
        <v>16</v>
      </c>
      <c r="E806">
        <v>0</v>
      </c>
    </row>
    <row r="807" spans="3:5">
      <c r="C807" t="s">
        <v>17</v>
      </c>
      <c r="D807" t="s">
        <v>18</v>
      </c>
      <c r="E807">
        <v>0</v>
      </c>
    </row>
    <row r="808" spans="3:5">
      <c r="C808" t="s">
        <v>15</v>
      </c>
      <c r="D808" t="s">
        <v>16</v>
      </c>
      <c r="E808">
        <v>0</v>
      </c>
    </row>
    <row r="809" spans="3:5">
      <c r="C809" t="s">
        <v>15</v>
      </c>
      <c r="D809" t="s">
        <v>16</v>
      </c>
      <c r="E809">
        <v>0</v>
      </c>
    </row>
    <row r="810" spans="3:5">
      <c r="C810" t="s">
        <v>17</v>
      </c>
      <c r="D810" t="s">
        <v>18</v>
      </c>
      <c r="E810">
        <v>0</v>
      </c>
    </row>
    <row r="811" spans="3:5">
      <c r="C811" t="s">
        <v>17</v>
      </c>
      <c r="D811" t="s">
        <v>18</v>
      </c>
      <c r="E811">
        <v>0</v>
      </c>
    </row>
    <row r="812" spans="3:5">
      <c r="C812" t="s">
        <v>15</v>
      </c>
      <c r="D812" t="s">
        <v>16</v>
      </c>
      <c r="E812">
        <v>0</v>
      </c>
    </row>
    <row r="813" spans="3:5">
      <c r="C813" t="s">
        <v>15</v>
      </c>
      <c r="D813" t="s">
        <v>16</v>
      </c>
      <c r="E813">
        <v>0</v>
      </c>
    </row>
    <row r="814" spans="3:5">
      <c r="C814" t="s">
        <v>15</v>
      </c>
      <c r="D814" t="s">
        <v>16</v>
      </c>
      <c r="E814">
        <v>0</v>
      </c>
    </row>
    <row r="815" spans="3:5">
      <c r="C815" t="s">
        <v>17</v>
      </c>
      <c r="D815" t="s">
        <v>18</v>
      </c>
      <c r="E815">
        <v>0</v>
      </c>
    </row>
    <row r="816" spans="3:5">
      <c r="C816" t="s">
        <v>17</v>
      </c>
      <c r="D816" t="s">
        <v>18</v>
      </c>
      <c r="E816">
        <v>0</v>
      </c>
    </row>
    <row r="817" spans="3:5">
      <c r="C817" t="s">
        <v>17</v>
      </c>
      <c r="D817" t="s">
        <v>18</v>
      </c>
      <c r="E817">
        <v>0</v>
      </c>
    </row>
    <row r="818" spans="3:5">
      <c r="C818" t="s">
        <v>15</v>
      </c>
      <c r="D818" t="s">
        <v>16</v>
      </c>
      <c r="E818">
        <v>0</v>
      </c>
    </row>
    <row r="819" spans="3:5">
      <c r="C819" t="s">
        <v>17</v>
      </c>
      <c r="D819" t="s">
        <v>18</v>
      </c>
      <c r="E819">
        <v>0</v>
      </c>
    </row>
    <row r="820" spans="3:5">
      <c r="C820" t="s">
        <v>17</v>
      </c>
      <c r="D820" t="s">
        <v>18</v>
      </c>
      <c r="E820">
        <v>0</v>
      </c>
    </row>
    <row r="821" spans="3:5">
      <c r="C821" t="s">
        <v>17</v>
      </c>
      <c r="D821" t="s">
        <v>18</v>
      </c>
      <c r="E821">
        <v>0</v>
      </c>
    </row>
    <row r="822" spans="3:5">
      <c r="C822" t="s">
        <v>17</v>
      </c>
      <c r="D822" t="s">
        <v>18</v>
      </c>
      <c r="E822">
        <v>0</v>
      </c>
    </row>
    <row r="823" spans="3:5">
      <c r="C823" t="s">
        <v>15</v>
      </c>
      <c r="D823" t="s">
        <v>16</v>
      </c>
      <c r="E823">
        <v>1</v>
      </c>
    </row>
    <row r="824" spans="3:5">
      <c r="C824" t="s">
        <v>15</v>
      </c>
      <c r="D824" t="s">
        <v>16</v>
      </c>
      <c r="E824">
        <v>0</v>
      </c>
    </row>
    <row r="825" spans="3:5">
      <c r="C825" t="s">
        <v>15</v>
      </c>
      <c r="D825" t="s">
        <v>16</v>
      </c>
      <c r="E825">
        <v>0</v>
      </c>
    </row>
    <row r="826" spans="3:5">
      <c r="C826" t="s">
        <v>15</v>
      </c>
      <c r="D826" t="s">
        <v>16</v>
      </c>
      <c r="E826">
        <v>0</v>
      </c>
    </row>
    <row r="827" spans="3:5">
      <c r="C827" t="s">
        <v>17</v>
      </c>
      <c r="D827" t="s">
        <v>18</v>
      </c>
      <c r="E827">
        <v>0</v>
      </c>
    </row>
    <row r="828" spans="3:5">
      <c r="C828" t="s">
        <v>15</v>
      </c>
      <c r="D828" t="s">
        <v>16</v>
      </c>
      <c r="E828">
        <v>0</v>
      </c>
    </row>
    <row r="829" spans="3:5">
      <c r="C829" t="s">
        <v>17</v>
      </c>
      <c r="D829" t="s">
        <v>18</v>
      </c>
      <c r="E829">
        <v>0</v>
      </c>
    </row>
    <row r="830" spans="3:5">
      <c r="C830" t="s">
        <v>15</v>
      </c>
      <c r="D830" t="s">
        <v>16</v>
      </c>
      <c r="E830">
        <v>0</v>
      </c>
    </row>
    <row r="831" spans="3:5">
      <c r="C831" t="s">
        <v>17</v>
      </c>
      <c r="D831" t="s">
        <v>18</v>
      </c>
      <c r="E831">
        <v>0</v>
      </c>
    </row>
    <row r="832" spans="3:5">
      <c r="C832" t="s">
        <v>17</v>
      </c>
      <c r="D832" t="s">
        <v>18</v>
      </c>
      <c r="E832">
        <v>0</v>
      </c>
    </row>
    <row r="833" spans="3:5">
      <c r="C833" t="s">
        <v>15</v>
      </c>
      <c r="D833" t="s">
        <v>16</v>
      </c>
      <c r="E833">
        <v>0</v>
      </c>
    </row>
    <row r="834" spans="3:5">
      <c r="C834" t="s">
        <v>15</v>
      </c>
      <c r="D834" t="s">
        <v>16</v>
      </c>
      <c r="E834">
        <v>0</v>
      </c>
    </row>
    <row r="835" spans="3:5">
      <c r="C835" t="s">
        <v>17</v>
      </c>
      <c r="D835" t="s">
        <v>18</v>
      </c>
      <c r="E835">
        <v>0</v>
      </c>
    </row>
    <row r="836" spans="3:5">
      <c r="C836" t="s">
        <v>15</v>
      </c>
      <c r="D836" t="s">
        <v>16</v>
      </c>
      <c r="E836">
        <v>0</v>
      </c>
    </row>
    <row r="837" spans="3:5">
      <c r="C837" t="s">
        <v>17</v>
      </c>
      <c r="D837" t="s">
        <v>18</v>
      </c>
      <c r="E837">
        <v>0</v>
      </c>
    </row>
    <row r="838" spans="3:5">
      <c r="C838" t="s">
        <v>15</v>
      </c>
      <c r="D838" t="s">
        <v>16</v>
      </c>
      <c r="E838">
        <v>0</v>
      </c>
    </row>
    <row r="839" spans="3:5">
      <c r="C839" t="s">
        <v>15</v>
      </c>
      <c r="D839" t="s">
        <v>16</v>
      </c>
      <c r="E839">
        <v>0</v>
      </c>
    </row>
    <row r="840" spans="3:5">
      <c r="C840" t="s">
        <v>17</v>
      </c>
      <c r="D840" t="s">
        <v>18</v>
      </c>
      <c r="E840">
        <v>0</v>
      </c>
    </row>
    <row r="841" spans="3:5">
      <c r="C841" t="s">
        <v>17</v>
      </c>
      <c r="D841" t="s">
        <v>18</v>
      </c>
      <c r="E841">
        <v>0</v>
      </c>
    </row>
    <row r="842" spans="3:5">
      <c r="C842" t="s">
        <v>17</v>
      </c>
      <c r="D842" t="s">
        <v>18</v>
      </c>
      <c r="E842">
        <v>1</v>
      </c>
    </row>
    <row r="843" spans="3:5">
      <c r="C843" t="s">
        <v>15</v>
      </c>
      <c r="D843" t="s">
        <v>16</v>
      </c>
      <c r="E843">
        <v>0</v>
      </c>
    </row>
    <row r="844" spans="3:5">
      <c r="C844" t="s">
        <v>17</v>
      </c>
      <c r="D844" t="s">
        <v>18</v>
      </c>
      <c r="E844">
        <v>0</v>
      </c>
    </row>
    <row r="845" spans="3:5">
      <c r="C845" t="s">
        <v>17</v>
      </c>
      <c r="D845" t="s">
        <v>18</v>
      </c>
      <c r="E845">
        <v>0</v>
      </c>
    </row>
    <row r="846" spans="3:5">
      <c r="C846" t="s">
        <v>17</v>
      </c>
      <c r="D846" t="s">
        <v>18</v>
      </c>
      <c r="E846">
        <v>0</v>
      </c>
    </row>
    <row r="847" spans="3:5">
      <c r="C847" t="s">
        <v>17</v>
      </c>
      <c r="D847" t="s">
        <v>18</v>
      </c>
      <c r="E847">
        <v>0</v>
      </c>
    </row>
    <row r="848" spans="3:5">
      <c r="C848" t="s">
        <v>15</v>
      </c>
      <c r="D848" t="s">
        <v>16</v>
      </c>
      <c r="E848">
        <v>0</v>
      </c>
    </row>
    <row r="849" spans="3:5">
      <c r="C849" t="s">
        <v>17</v>
      </c>
      <c r="D849" t="s">
        <v>18</v>
      </c>
      <c r="E849">
        <v>0</v>
      </c>
    </row>
    <row r="850" spans="3:5">
      <c r="C850" t="s">
        <v>15</v>
      </c>
      <c r="D850" t="s">
        <v>16</v>
      </c>
      <c r="E850">
        <v>0</v>
      </c>
    </row>
    <row r="851" spans="3:5">
      <c r="C851" t="s">
        <v>15</v>
      </c>
      <c r="D851" t="s">
        <v>16</v>
      </c>
      <c r="E851">
        <v>0</v>
      </c>
    </row>
    <row r="852" spans="3:5">
      <c r="C852" t="s">
        <v>17</v>
      </c>
      <c r="D852" t="s">
        <v>18</v>
      </c>
      <c r="E852">
        <v>0</v>
      </c>
    </row>
    <row r="853" spans="3:5">
      <c r="C853" t="s">
        <v>17</v>
      </c>
      <c r="D853" t="s">
        <v>18</v>
      </c>
      <c r="E853">
        <v>0</v>
      </c>
    </row>
    <row r="854" spans="3:5">
      <c r="C854" t="s">
        <v>15</v>
      </c>
      <c r="D854" t="s">
        <v>16</v>
      </c>
      <c r="E854">
        <v>0</v>
      </c>
    </row>
    <row r="855" spans="3:5">
      <c r="C855" t="s">
        <v>15</v>
      </c>
      <c r="D855" t="s">
        <v>16</v>
      </c>
      <c r="E855">
        <v>0</v>
      </c>
    </row>
    <row r="856" spans="3:5">
      <c r="C856" t="s">
        <v>15</v>
      </c>
      <c r="D856" t="s">
        <v>16</v>
      </c>
      <c r="E856">
        <v>0</v>
      </c>
    </row>
    <row r="857" spans="3:5">
      <c r="C857" t="s">
        <v>15</v>
      </c>
      <c r="D857" t="s">
        <v>16</v>
      </c>
      <c r="E857">
        <v>0</v>
      </c>
    </row>
    <row r="858" spans="3:5">
      <c r="C858" t="s">
        <v>17</v>
      </c>
      <c r="D858" t="s">
        <v>18</v>
      </c>
      <c r="E858">
        <v>0</v>
      </c>
    </row>
    <row r="859" spans="3:5">
      <c r="C859" t="s">
        <v>15</v>
      </c>
      <c r="D859" t="s">
        <v>16</v>
      </c>
      <c r="E859">
        <v>0</v>
      </c>
    </row>
    <row r="860" spans="3:5">
      <c r="C860" t="s">
        <v>17</v>
      </c>
      <c r="D860" t="s">
        <v>18</v>
      </c>
      <c r="E860">
        <v>0</v>
      </c>
    </row>
    <row r="861" spans="3:5">
      <c r="C861" t="s">
        <v>15</v>
      </c>
      <c r="D861" t="s">
        <v>16</v>
      </c>
      <c r="E861">
        <v>0</v>
      </c>
    </row>
    <row r="862" spans="3:5">
      <c r="C862" t="s">
        <v>15</v>
      </c>
      <c r="D862" t="s">
        <v>16</v>
      </c>
      <c r="E862">
        <v>0</v>
      </c>
    </row>
    <row r="863" spans="3:5">
      <c r="C863" t="s">
        <v>17</v>
      </c>
      <c r="D863" t="s">
        <v>18</v>
      </c>
      <c r="E863">
        <v>0</v>
      </c>
    </row>
    <row r="864" spans="3:5">
      <c r="C864" t="s">
        <v>17</v>
      </c>
      <c r="D864" t="s">
        <v>18</v>
      </c>
      <c r="E864">
        <v>0</v>
      </c>
    </row>
    <row r="865" spans="3:5">
      <c r="C865" t="s">
        <v>15</v>
      </c>
      <c r="D865" t="s">
        <v>16</v>
      </c>
      <c r="E865">
        <v>0</v>
      </c>
    </row>
    <row r="866" spans="3:5">
      <c r="C866" t="s">
        <v>15</v>
      </c>
      <c r="D866" t="s">
        <v>16</v>
      </c>
      <c r="E866">
        <v>0</v>
      </c>
    </row>
    <row r="867" spans="3:5">
      <c r="C867" t="s">
        <v>15</v>
      </c>
      <c r="D867" t="s">
        <v>16</v>
      </c>
      <c r="E867">
        <v>0</v>
      </c>
    </row>
    <row r="868" spans="3:5">
      <c r="C868" t="s">
        <v>17</v>
      </c>
      <c r="D868" t="s">
        <v>18</v>
      </c>
      <c r="E868">
        <v>0</v>
      </c>
    </row>
    <row r="869" spans="3:5">
      <c r="C869" t="s">
        <v>17</v>
      </c>
      <c r="D869" t="s">
        <v>18</v>
      </c>
      <c r="E869">
        <v>0</v>
      </c>
    </row>
    <row r="870" spans="3:5">
      <c r="C870" t="s">
        <v>15</v>
      </c>
      <c r="D870" t="s">
        <v>16</v>
      </c>
      <c r="E870">
        <v>0</v>
      </c>
    </row>
    <row r="871" spans="3:5">
      <c r="C871" t="s">
        <v>15</v>
      </c>
      <c r="D871" t="s">
        <v>16</v>
      </c>
      <c r="E871">
        <v>0</v>
      </c>
    </row>
    <row r="872" spans="3:5">
      <c r="C872" t="s">
        <v>15</v>
      </c>
      <c r="D872" t="s">
        <v>16</v>
      </c>
      <c r="E872">
        <v>0</v>
      </c>
    </row>
    <row r="873" spans="3:5">
      <c r="C873" t="s">
        <v>15</v>
      </c>
      <c r="D873" t="s">
        <v>16</v>
      </c>
      <c r="E873">
        <v>0</v>
      </c>
    </row>
    <row r="874" spans="3:5">
      <c r="C874" t="s">
        <v>15</v>
      </c>
      <c r="D874" t="s">
        <v>16</v>
      </c>
      <c r="E874">
        <v>0</v>
      </c>
    </row>
    <row r="875" spans="3:5">
      <c r="C875" t="s">
        <v>17</v>
      </c>
      <c r="D875" t="s">
        <v>18</v>
      </c>
      <c r="E875">
        <v>0</v>
      </c>
    </row>
    <row r="876" spans="3:5">
      <c r="C876" t="s">
        <v>17</v>
      </c>
      <c r="D876" t="s">
        <v>18</v>
      </c>
      <c r="E876">
        <v>0</v>
      </c>
    </row>
    <row r="877" spans="3:5">
      <c r="C877" t="s">
        <v>15</v>
      </c>
      <c r="D877" t="s">
        <v>16</v>
      </c>
      <c r="E877">
        <v>0</v>
      </c>
    </row>
    <row r="878" spans="3:5">
      <c r="C878" t="s">
        <v>17</v>
      </c>
      <c r="D878" t="s">
        <v>18</v>
      </c>
      <c r="E878">
        <v>0</v>
      </c>
    </row>
    <row r="879" spans="3:5">
      <c r="C879" t="s">
        <v>17</v>
      </c>
      <c r="D879" t="s">
        <v>18</v>
      </c>
      <c r="E879">
        <v>0</v>
      </c>
    </row>
    <row r="880" spans="3:5">
      <c r="C880" t="s">
        <v>15</v>
      </c>
      <c r="D880" t="s">
        <v>16</v>
      </c>
      <c r="E880">
        <v>0</v>
      </c>
    </row>
    <row r="881" spans="3:5">
      <c r="C881" t="s">
        <v>17</v>
      </c>
      <c r="D881" t="s">
        <v>18</v>
      </c>
      <c r="E881">
        <v>0</v>
      </c>
    </row>
    <row r="882" spans="3:5">
      <c r="C882" t="s">
        <v>17</v>
      </c>
      <c r="D882" t="s">
        <v>18</v>
      </c>
      <c r="E882">
        <v>0</v>
      </c>
    </row>
    <row r="883" spans="3:5">
      <c r="C883" t="s">
        <v>15</v>
      </c>
      <c r="D883" t="s">
        <v>16</v>
      </c>
      <c r="E883">
        <v>0</v>
      </c>
    </row>
    <row r="884" spans="3:5">
      <c r="C884" t="s">
        <v>17</v>
      </c>
      <c r="D884" t="s">
        <v>18</v>
      </c>
      <c r="E884">
        <v>0</v>
      </c>
    </row>
    <row r="885" spans="3:5">
      <c r="C885" t="s">
        <v>15</v>
      </c>
      <c r="D885" t="s">
        <v>16</v>
      </c>
      <c r="E885">
        <v>0</v>
      </c>
    </row>
    <row r="886" spans="3:5">
      <c r="C886" t="s">
        <v>17</v>
      </c>
      <c r="D886" t="s">
        <v>18</v>
      </c>
      <c r="E886">
        <v>0</v>
      </c>
    </row>
    <row r="887" spans="3:5">
      <c r="C887" t="s">
        <v>15</v>
      </c>
      <c r="D887" t="s">
        <v>16</v>
      </c>
      <c r="E887">
        <v>1</v>
      </c>
    </row>
    <row r="888" spans="3:5">
      <c r="C888" t="s">
        <v>17</v>
      </c>
      <c r="D888" t="s">
        <v>18</v>
      </c>
      <c r="E888">
        <v>0</v>
      </c>
    </row>
    <row r="889" spans="3:5">
      <c r="C889" t="s">
        <v>17</v>
      </c>
      <c r="D889" t="s">
        <v>18</v>
      </c>
      <c r="E889">
        <v>0</v>
      </c>
    </row>
    <row r="890" spans="3:5">
      <c r="C890" t="s">
        <v>17</v>
      </c>
      <c r="D890" t="s">
        <v>18</v>
      </c>
      <c r="E890">
        <v>0</v>
      </c>
    </row>
    <row r="891" spans="3:5">
      <c r="C891" t="s">
        <v>17</v>
      </c>
      <c r="D891" t="s">
        <v>18</v>
      </c>
      <c r="E891">
        <v>0</v>
      </c>
    </row>
    <row r="892" spans="3:5">
      <c r="C892" t="s">
        <v>17</v>
      </c>
      <c r="D892" t="s">
        <v>18</v>
      </c>
      <c r="E892">
        <v>0</v>
      </c>
    </row>
    <row r="893" spans="3:5">
      <c r="C893" t="s">
        <v>15</v>
      </c>
      <c r="D893" t="s">
        <v>16</v>
      </c>
      <c r="E893">
        <v>0</v>
      </c>
    </row>
    <row r="894" spans="3:5">
      <c r="C894" t="s">
        <v>17</v>
      </c>
      <c r="D894" t="s">
        <v>18</v>
      </c>
      <c r="E894">
        <v>0</v>
      </c>
    </row>
    <row r="895" spans="3:5">
      <c r="C895" t="s">
        <v>15</v>
      </c>
      <c r="D895" t="s">
        <v>16</v>
      </c>
      <c r="E895">
        <v>0</v>
      </c>
    </row>
    <row r="896" spans="3:5">
      <c r="C896" t="s">
        <v>15</v>
      </c>
      <c r="D896" t="s">
        <v>16</v>
      </c>
      <c r="E896">
        <v>0</v>
      </c>
    </row>
    <row r="897" spans="3:5">
      <c r="C897" t="s">
        <v>15</v>
      </c>
      <c r="D897" t="s">
        <v>16</v>
      </c>
      <c r="E897">
        <v>0</v>
      </c>
    </row>
    <row r="898" spans="3:5">
      <c r="C898" t="s">
        <v>17</v>
      </c>
      <c r="D898" t="s">
        <v>18</v>
      </c>
      <c r="E898">
        <v>0</v>
      </c>
    </row>
    <row r="899" spans="3:5">
      <c r="C899" t="s">
        <v>15</v>
      </c>
      <c r="D899" t="s">
        <v>16</v>
      </c>
      <c r="E899">
        <v>0</v>
      </c>
    </row>
    <row r="900" spans="3:5">
      <c r="C900" t="s">
        <v>17</v>
      </c>
      <c r="D900" t="s">
        <v>18</v>
      </c>
      <c r="E900">
        <v>0</v>
      </c>
    </row>
    <row r="901" spans="3:5">
      <c r="C901" t="s">
        <v>17</v>
      </c>
      <c r="D901" t="s">
        <v>18</v>
      </c>
      <c r="E901">
        <v>0</v>
      </c>
    </row>
    <row r="902" spans="3:5">
      <c r="C902" t="s">
        <v>15</v>
      </c>
      <c r="D902" t="s">
        <v>16</v>
      </c>
      <c r="E902">
        <v>0</v>
      </c>
    </row>
    <row r="903" spans="3:5">
      <c r="C903" t="s">
        <v>15</v>
      </c>
      <c r="D903" t="s">
        <v>16</v>
      </c>
      <c r="E903">
        <v>0</v>
      </c>
    </row>
    <row r="904" spans="3:5">
      <c r="C904" t="s">
        <v>17</v>
      </c>
      <c r="D904" t="s">
        <v>18</v>
      </c>
      <c r="E904">
        <v>0</v>
      </c>
    </row>
    <row r="905" spans="3:5">
      <c r="C905" t="s">
        <v>17</v>
      </c>
      <c r="D905" t="s">
        <v>18</v>
      </c>
      <c r="E905">
        <v>0</v>
      </c>
    </row>
    <row r="906" spans="3:5">
      <c r="C906" t="s">
        <v>17</v>
      </c>
      <c r="D906" t="s">
        <v>18</v>
      </c>
      <c r="E906">
        <v>0</v>
      </c>
    </row>
    <row r="907" spans="3:5">
      <c r="C907" t="s">
        <v>17</v>
      </c>
      <c r="D907" t="s">
        <v>18</v>
      </c>
      <c r="E907">
        <v>0</v>
      </c>
    </row>
    <row r="908" spans="3:5">
      <c r="C908" t="s">
        <v>15</v>
      </c>
      <c r="D908" t="s">
        <v>16</v>
      </c>
      <c r="E908">
        <v>0</v>
      </c>
    </row>
    <row r="909" spans="3:5">
      <c r="C909" t="s">
        <v>15</v>
      </c>
      <c r="D909" t="s">
        <v>16</v>
      </c>
      <c r="E909">
        <v>0</v>
      </c>
    </row>
    <row r="910" spans="3:5">
      <c r="C910" t="s">
        <v>15</v>
      </c>
      <c r="D910" t="s">
        <v>16</v>
      </c>
      <c r="E910">
        <v>0</v>
      </c>
    </row>
    <row r="911" spans="3:5">
      <c r="C911" t="s">
        <v>17</v>
      </c>
      <c r="D911" t="s">
        <v>18</v>
      </c>
      <c r="E911">
        <v>0</v>
      </c>
    </row>
    <row r="912" spans="3:5">
      <c r="C912" t="s">
        <v>15</v>
      </c>
      <c r="D912" t="s">
        <v>16</v>
      </c>
      <c r="E912">
        <v>0</v>
      </c>
    </row>
    <row r="913" spans="3:5">
      <c r="C913" t="s">
        <v>15</v>
      </c>
      <c r="D913" t="s">
        <v>16</v>
      </c>
      <c r="E913">
        <v>1</v>
      </c>
    </row>
    <row r="914" spans="3:5">
      <c r="C914" t="s">
        <v>17</v>
      </c>
      <c r="D914" t="s">
        <v>18</v>
      </c>
      <c r="E914">
        <v>0</v>
      </c>
    </row>
    <row r="915" spans="3:5">
      <c r="C915" t="s">
        <v>15</v>
      </c>
      <c r="D915" t="s">
        <v>16</v>
      </c>
      <c r="E915">
        <v>0</v>
      </c>
    </row>
    <row r="916" spans="3:5">
      <c r="C916" t="s">
        <v>17</v>
      </c>
      <c r="D916" t="s">
        <v>18</v>
      </c>
      <c r="E916">
        <v>0</v>
      </c>
    </row>
    <row r="917" spans="3:5">
      <c r="C917" t="s">
        <v>17</v>
      </c>
      <c r="D917" t="s">
        <v>18</v>
      </c>
      <c r="E917">
        <v>0</v>
      </c>
    </row>
    <row r="918" spans="3:5">
      <c r="C918" t="s">
        <v>15</v>
      </c>
      <c r="D918" t="s">
        <v>16</v>
      </c>
      <c r="E918">
        <v>0</v>
      </c>
    </row>
    <row r="919" spans="3:5">
      <c r="C919" t="s">
        <v>15</v>
      </c>
      <c r="D919" t="s">
        <v>16</v>
      </c>
      <c r="E919">
        <v>0</v>
      </c>
    </row>
    <row r="920" spans="3:5">
      <c r="C920" t="s">
        <v>15</v>
      </c>
      <c r="D920" t="s">
        <v>16</v>
      </c>
      <c r="E920">
        <v>0</v>
      </c>
    </row>
    <row r="921" spans="3:5">
      <c r="C921" t="s">
        <v>15</v>
      </c>
      <c r="D921" t="s">
        <v>16</v>
      </c>
      <c r="E921">
        <v>0</v>
      </c>
    </row>
    <row r="922" spans="3:5">
      <c r="C922" t="s">
        <v>15</v>
      </c>
      <c r="D922" t="s">
        <v>16</v>
      </c>
      <c r="E922">
        <v>0</v>
      </c>
    </row>
    <row r="923" spans="3:5">
      <c r="C923" t="s">
        <v>17</v>
      </c>
      <c r="D923" t="s">
        <v>18</v>
      </c>
      <c r="E923">
        <v>0</v>
      </c>
    </row>
    <row r="924" spans="3:5">
      <c r="C924" t="s">
        <v>15</v>
      </c>
      <c r="D924" t="s">
        <v>16</v>
      </c>
      <c r="E924">
        <v>0</v>
      </c>
    </row>
    <row r="925" spans="3:5">
      <c r="C925" t="s">
        <v>17</v>
      </c>
      <c r="D925" t="s">
        <v>18</v>
      </c>
      <c r="E925">
        <v>0</v>
      </c>
    </row>
    <row r="926" spans="3:5">
      <c r="C926" t="s">
        <v>17</v>
      </c>
      <c r="D926" t="s">
        <v>18</v>
      </c>
      <c r="E926">
        <v>0</v>
      </c>
    </row>
    <row r="927" spans="3:5">
      <c r="C927" t="s">
        <v>15</v>
      </c>
      <c r="D927" t="s">
        <v>16</v>
      </c>
      <c r="E927">
        <v>0</v>
      </c>
    </row>
    <row r="928" spans="3:5">
      <c r="C928" t="s">
        <v>17</v>
      </c>
      <c r="D928" t="s">
        <v>18</v>
      </c>
      <c r="E928">
        <v>0</v>
      </c>
    </row>
    <row r="929" spans="3:5">
      <c r="C929" t="s">
        <v>17</v>
      </c>
      <c r="D929" t="s">
        <v>18</v>
      </c>
      <c r="E929">
        <v>0</v>
      </c>
    </row>
    <row r="930" spans="3:5">
      <c r="C930" t="s">
        <v>15</v>
      </c>
      <c r="D930" t="s">
        <v>16</v>
      </c>
      <c r="E930">
        <v>0</v>
      </c>
    </row>
    <row r="931" spans="3:5">
      <c r="C931" t="s">
        <v>15</v>
      </c>
      <c r="D931" t="s">
        <v>16</v>
      </c>
      <c r="E931">
        <v>0</v>
      </c>
    </row>
    <row r="932" spans="3:5">
      <c r="C932" t="s">
        <v>15</v>
      </c>
      <c r="D932" t="s">
        <v>16</v>
      </c>
      <c r="E932">
        <v>0</v>
      </c>
    </row>
    <row r="933" spans="3:5">
      <c r="C933" t="s">
        <v>15</v>
      </c>
      <c r="D933" t="s">
        <v>16</v>
      </c>
      <c r="E933">
        <v>0</v>
      </c>
    </row>
    <row r="934" spans="3:5">
      <c r="C934" t="s">
        <v>17</v>
      </c>
      <c r="D934" t="s">
        <v>18</v>
      </c>
      <c r="E934">
        <v>0</v>
      </c>
    </row>
    <row r="935" spans="3:5">
      <c r="C935" t="s">
        <v>17</v>
      </c>
      <c r="D935" t="s">
        <v>18</v>
      </c>
      <c r="E935">
        <v>0</v>
      </c>
    </row>
    <row r="936" spans="3:5">
      <c r="C936" t="s">
        <v>17</v>
      </c>
      <c r="D936" t="s">
        <v>18</v>
      </c>
      <c r="E936">
        <v>0</v>
      </c>
    </row>
    <row r="937" spans="3:5">
      <c r="C937" t="s">
        <v>15</v>
      </c>
      <c r="D937" t="s">
        <v>16</v>
      </c>
      <c r="E937">
        <v>0</v>
      </c>
    </row>
    <row r="938" spans="3:5">
      <c r="C938" t="s">
        <v>17</v>
      </c>
      <c r="D938" t="s">
        <v>18</v>
      </c>
      <c r="E938">
        <v>0</v>
      </c>
    </row>
    <row r="939" spans="3:5">
      <c r="C939" t="s">
        <v>17</v>
      </c>
      <c r="D939" t="s">
        <v>18</v>
      </c>
      <c r="E939">
        <v>0</v>
      </c>
    </row>
    <row r="940" spans="3:5">
      <c r="C940" t="s">
        <v>17</v>
      </c>
      <c r="D940" t="s">
        <v>18</v>
      </c>
      <c r="E940">
        <v>0</v>
      </c>
    </row>
    <row r="941" spans="3:5">
      <c r="C941" t="s">
        <v>17</v>
      </c>
      <c r="D941" t="s">
        <v>18</v>
      </c>
      <c r="E941">
        <v>0</v>
      </c>
    </row>
    <row r="942" spans="3:5">
      <c r="C942" t="s">
        <v>15</v>
      </c>
      <c r="D942" t="s">
        <v>16</v>
      </c>
      <c r="E942">
        <v>0</v>
      </c>
    </row>
    <row r="943" spans="3:5">
      <c r="C943" t="s">
        <v>17</v>
      </c>
      <c r="D943" t="s">
        <v>18</v>
      </c>
      <c r="E943">
        <v>0</v>
      </c>
    </row>
    <row r="944" spans="3:5">
      <c r="C944" t="s">
        <v>15</v>
      </c>
      <c r="D944" t="s">
        <v>16</v>
      </c>
      <c r="E944">
        <v>0</v>
      </c>
    </row>
    <row r="945" spans="3:5">
      <c r="C945" t="s">
        <v>17</v>
      </c>
      <c r="D945" t="s">
        <v>18</v>
      </c>
      <c r="E945">
        <v>0</v>
      </c>
    </row>
    <row r="946" spans="3:5">
      <c r="C946" t="s">
        <v>15</v>
      </c>
      <c r="D946" t="s">
        <v>16</v>
      </c>
      <c r="E946">
        <v>0</v>
      </c>
    </row>
    <row r="947" spans="3:5">
      <c r="C947" t="s">
        <v>15</v>
      </c>
      <c r="D947" t="s">
        <v>16</v>
      </c>
      <c r="E947">
        <v>0</v>
      </c>
    </row>
    <row r="948" spans="3:5">
      <c r="C948" t="s">
        <v>17</v>
      </c>
      <c r="D948" t="s">
        <v>18</v>
      </c>
      <c r="E948">
        <v>0</v>
      </c>
    </row>
    <row r="949" spans="3:5">
      <c r="C949" t="s">
        <v>17</v>
      </c>
      <c r="D949" t="s">
        <v>18</v>
      </c>
      <c r="E949">
        <v>0</v>
      </c>
    </row>
    <row r="950" spans="3:5">
      <c r="C950" t="s">
        <v>17</v>
      </c>
      <c r="D950" t="s">
        <v>18</v>
      </c>
      <c r="E950">
        <v>0</v>
      </c>
    </row>
    <row r="951" spans="3:5">
      <c r="C951" t="s">
        <v>15</v>
      </c>
      <c r="D951" t="s">
        <v>16</v>
      </c>
      <c r="E951">
        <v>0</v>
      </c>
    </row>
    <row r="952" spans="3:5">
      <c r="C952" t="s">
        <v>17</v>
      </c>
      <c r="D952" t="s">
        <v>18</v>
      </c>
      <c r="E952">
        <v>0</v>
      </c>
    </row>
    <row r="953" spans="3:5">
      <c r="C953" t="s">
        <v>15</v>
      </c>
      <c r="D953" t="s">
        <v>16</v>
      </c>
      <c r="E953">
        <v>0</v>
      </c>
    </row>
    <row r="954" spans="3:5">
      <c r="C954" t="s">
        <v>15</v>
      </c>
      <c r="D954" t="s">
        <v>16</v>
      </c>
      <c r="E954">
        <v>0</v>
      </c>
    </row>
    <row r="955" spans="3:5">
      <c r="C955" t="s">
        <v>15</v>
      </c>
      <c r="D955" t="s">
        <v>16</v>
      </c>
      <c r="E955">
        <v>0</v>
      </c>
    </row>
    <row r="956" spans="3:5">
      <c r="C956" t="s">
        <v>17</v>
      </c>
      <c r="D956" t="s">
        <v>18</v>
      </c>
      <c r="E956">
        <v>0</v>
      </c>
    </row>
    <row r="957" spans="3:5">
      <c r="C957" t="s">
        <v>17</v>
      </c>
      <c r="D957" t="s">
        <v>18</v>
      </c>
      <c r="E957">
        <v>0</v>
      </c>
    </row>
    <row r="958" spans="3:5">
      <c r="C958" t="s">
        <v>17</v>
      </c>
      <c r="D958" t="s">
        <v>18</v>
      </c>
      <c r="E958">
        <v>0</v>
      </c>
    </row>
    <row r="959" spans="3:5">
      <c r="C959" t="s">
        <v>17</v>
      </c>
      <c r="D959" t="s">
        <v>18</v>
      </c>
      <c r="E959">
        <v>0</v>
      </c>
    </row>
    <row r="960" spans="3:5">
      <c r="C960" t="s">
        <v>15</v>
      </c>
      <c r="D960" t="s">
        <v>16</v>
      </c>
      <c r="E960">
        <v>0</v>
      </c>
    </row>
    <row r="961" spans="3:5">
      <c r="C961" t="s">
        <v>17</v>
      </c>
      <c r="D961" t="s">
        <v>18</v>
      </c>
      <c r="E961">
        <v>0</v>
      </c>
    </row>
    <row r="962" spans="3:5">
      <c r="C962" t="s">
        <v>15</v>
      </c>
      <c r="D962" t="s">
        <v>16</v>
      </c>
      <c r="E962">
        <v>0</v>
      </c>
    </row>
    <row r="963" spans="3:5">
      <c r="C963" t="s">
        <v>15</v>
      </c>
      <c r="D963" t="s">
        <v>16</v>
      </c>
      <c r="E963">
        <v>0</v>
      </c>
    </row>
    <row r="964" spans="3:5">
      <c r="C964" t="s">
        <v>17</v>
      </c>
      <c r="D964" t="s">
        <v>18</v>
      </c>
      <c r="E964">
        <v>0</v>
      </c>
    </row>
    <row r="965" spans="3:5">
      <c r="C965" t="s">
        <v>17</v>
      </c>
      <c r="D965" t="s">
        <v>18</v>
      </c>
      <c r="E965">
        <v>1</v>
      </c>
    </row>
    <row r="966" spans="3:5">
      <c r="C966" t="s">
        <v>17</v>
      </c>
      <c r="D966" t="s">
        <v>18</v>
      </c>
      <c r="E966">
        <v>0</v>
      </c>
    </row>
    <row r="967" spans="3:5">
      <c r="C967" t="s">
        <v>15</v>
      </c>
      <c r="D967" t="s">
        <v>16</v>
      </c>
      <c r="E967">
        <v>0</v>
      </c>
    </row>
    <row r="968" spans="3:5">
      <c r="C968" t="s">
        <v>17</v>
      </c>
      <c r="D968" t="s">
        <v>18</v>
      </c>
      <c r="E968">
        <v>0</v>
      </c>
    </row>
    <row r="969" spans="3:5">
      <c r="C969" t="s">
        <v>15</v>
      </c>
      <c r="D969" t="s">
        <v>16</v>
      </c>
      <c r="E969">
        <v>0</v>
      </c>
    </row>
    <row r="970" spans="3:5">
      <c r="C970" t="s">
        <v>17</v>
      </c>
      <c r="D970" t="s">
        <v>18</v>
      </c>
      <c r="E970">
        <v>0</v>
      </c>
    </row>
    <row r="971" spans="3:5">
      <c r="C971" t="s">
        <v>17</v>
      </c>
      <c r="D971" t="s">
        <v>18</v>
      </c>
      <c r="E971">
        <v>0</v>
      </c>
    </row>
    <row r="972" spans="3:5">
      <c r="C972" t="s">
        <v>17</v>
      </c>
      <c r="D972" t="s">
        <v>18</v>
      </c>
      <c r="E972">
        <v>0</v>
      </c>
    </row>
    <row r="973" spans="3:5">
      <c r="C973" t="s">
        <v>17</v>
      </c>
      <c r="D973" t="s">
        <v>18</v>
      </c>
      <c r="E973">
        <v>0</v>
      </c>
    </row>
    <row r="974" spans="3:5">
      <c r="C974" t="s">
        <v>17</v>
      </c>
      <c r="D974" t="s">
        <v>18</v>
      </c>
      <c r="E974">
        <v>0</v>
      </c>
    </row>
    <row r="975" spans="3:5">
      <c r="C975" t="s">
        <v>17</v>
      </c>
      <c r="D975" t="s">
        <v>18</v>
      </c>
      <c r="E975">
        <v>0</v>
      </c>
    </row>
    <row r="976" spans="3:5">
      <c r="C976" t="s">
        <v>17</v>
      </c>
      <c r="D976" t="s">
        <v>18</v>
      </c>
      <c r="E976">
        <v>0</v>
      </c>
    </row>
    <row r="977" spans="3:5">
      <c r="C977" t="s">
        <v>17</v>
      </c>
      <c r="D977" t="s">
        <v>18</v>
      </c>
      <c r="E977">
        <v>0</v>
      </c>
    </row>
    <row r="978" spans="3:5">
      <c r="C978" t="s">
        <v>17</v>
      </c>
      <c r="D978" t="s">
        <v>18</v>
      </c>
      <c r="E978">
        <v>0</v>
      </c>
    </row>
    <row r="979" spans="3:5">
      <c r="C979" t="s">
        <v>17</v>
      </c>
      <c r="D979" t="s">
        <v>18</v>
      </c>
      <c r="E979">
        <v>0</v>
      </c>
    </row>
    <row r="980" spans="3:5">
      <c r="C980" t="s">
        <v>15</v>
      </c>
      <c r="D980" t="s">
        <v>16</v>
      </c>
      <c r="E980">
        <v>0</v>
      </c>
    </row>
    <row r="981" spans="3:5">
      <c r="C981" t="s">
        <v>15</v>
      </c>
      <c r="D981" t="s">
        <v>16</v>
      </c>
      <c r="E981">
        <v>0</v>
      </c>
    </row>
    <row r="982" spans="3:5">
      <c r="C982" t="s">
        <v>17</v>
      </c>
      <c r="D982" t="s">
        <v>18</v>
      </c>
      <c r="E982">
        <v>0</v>
      </c>
    </row>
    <row r="983" spans="3:5">
      <c r="C983" t="s">
        <v>15</v>
      </c>
      <c r="D983" t="s">
        <v>16</v>
      </c>
      <c r="E983">
        <v>0</v>
      </c>
    </row>
    <row r="984" spans="3:5">
      <c r="C984" t="s">
        <v>17</v>
      </c>
      <c r="D984" t="s">
        <v>18</v>
      </c>
      <c r="E984">
        <v>0</v>
      </c>
    </row>
    <row r="985" spans="3:5">
      <c r="C985" t="s">
        <v>15</v>
      </c>
      <c r="D985" t="s">
        <v>16</v>
      </c>
      <c r="E985">
        <v>0</v>
      </c>
    </row>
    <row r="986" spans="3:5">
      <c r="C986" t="s">
        <v>15</v>
      </c>
      <c r="D986" t="s">
        <v>16</v>
      </c>
      <c r="E986">
        <v>0</v>
      </c>
    </row>
    <row r="987" spans="3:5">
      <c r="C987" t="s">
        <v>17</v>
      </c>
      <c r="D987" t="s">
        <v>18</v>
      </c>
      <c r="E987">
        <v>0</v>
      </c>
    </row>
    <row r="988" spans="3:5">
      <c r="C988" t="s">
        <v>17</v>
      </c>
      <c r="D988" t="s">
        <v>18</v>
      </c>
      <c r="E988">
        <v>0</v>
      </c>
    </row>
    <row r="989" spans="3:5">
      <c r="C989" t="s">
        <v>15</v>
      </c>
      <c r="D989" t="s">
        <v>16</v>
      </c>
      <c r="E989">
        <v>0</v>
      </c>
    </row>
    <row r="990" spans="3:5">
      <c r="C990" t="s">
        <v>15</v>
      </c>
      <c r="D990" t="s">
        <v>16</v>
      </c>
      <c r="E990">
        <v>0</v>
      </c>
    </row>
    <row r="991" spans="3:5">
      <c r="C991" t="s">
        <v>17</v>
      </c>
      <c r="D991" t="s">
        <v>18</v>
      </c>
      <c r="E991">
        <v>0</v>
      </c>
    </row>
    <row r="992" spans="3:5">
      <c r="C992" t="s">
        <v>15</v>
      </c>
      <c r="D992" t="s">
        <v>16</v>
      </c>
      <c r="E992">
        <v>0</v>
      </c>
    </row>
    <row r="993" spans="3:5">
      <c r="C993" t="s">
        <v>17</v>
      </c>
      <c r="D993" t="s">
        <v>18</v>
      </c>
      <c r="E993">
        <v>0</v>
      </c>
    </row>
    <row r="994" spans="3:5">
      <c r="C994" t="s">
        <v>17</v>
      </c>
      <c r="D994" t="s">
        <v>18</v>
      </c>
      <c r="E994">
        <v>0</v>
      </c>
    </row>
    <row r="995" spans="3:5">
      <c r="C995" t="s">
        <v>15</v>
      </c>
      <c r="D995" t="s">
        <v>16</v>
      </c>
      <c r="E995">
        <v>0</v>
      </c>
    </row>
    <row r="996" spans="3:5">
      <c r="C996" t="s">
        <v>15</v>
      </c>
      <c r="D996" t="s">
        <v>16</v>
      </c>
      <c r="E996">
        <v>0</v>
      </c>
    </row>
    <row r="997" spans="3:5">
      <c r="C997" t="s">
        <v>15</v>
      </c>
      <c r="D997" t="s">
        <v>16</v>
      </c>
      <c r="E997">
        <v>0</v>
      </c>
    </row>
    <row r="998" spans="3:5">
      <c r="C998" t="s">
        <v>15</v>
      </c>
      <c r="D998" t="s">
        <v>16</v>
      </c>
      <c r="E998">
        <v>0</v>
      </c>
    </row>
    <row r="999" spans="3:5">
      <c r="C999" t="s">
        <v>17</v>
      </c>
      <c r="D999" t="s">
        <v>18</v>
      </c>
      <c r="E999">
        <v>0</v>
      </c>
    </row>
    <row r="1000" spans="3:5">
      <c r="C1000" t="s">
        <v>15</v>
      </c>
      <c r="D1000" t="s">
        <v>16</v>
      </c>
      <c r="E1000">
        <v>0</v>
      </c>
    </row>
    <row r="1001" spans="3:5">
      <c r="C1001" t="s">
        <v>15</v>
      </c>
      <c r="D1001" t="s">
        <v>16</v>
      </c>
      <c r="E1001">
        <v>0</v>
      </c>
    </row>
    <row r="1002" spans="3:5">
      <c r="C1002" t="s">
        <v>17</v>
      </c>
      <c r="D1002" t="s">
        <v>18</v>
      </c>
      <c r="E1002">
        <v>0</v>
      </c>
    </row>
    <row r="1003" spans="3:5">
      <c r="C1003" t="s">
        <v>15</v>
      </c>
      <c r="D1003" t="s">
        <v>16</v>
      </c>
      <c r="E1003">
        <v>0</v>
      </c>
    </row>
    <row r="1004" spans="3:5">
      <c r="C1004" t="s">
        <v>17</v>
      </c>
      <c r="D1004" t="s">
        <v>18</v>
      </c>
      <c r="E1004">
        <v>0</v>
      </c>
    </row>
    <row r="1005" spans="3:5">
      <c r="C1005" t="s">
        <v>17</v>
      </c>
      <c r="D1005" t="s">
        <v>18</v>
      </c>
      <c r="E1005">
        <v>0</v>
      </c>
    </row>
    <row r="1006" spans="3:5">
      <c r="C1006" t="s">
        <v>15</v>
      </c>
      <c r="D1006" t="s">
        <v>16</v>
      </c>
      <c r="E1006">
        <v>0</v>
      </c>
    </row>
    <row r="1007" spans="3:5">
      <c r="C1007" t="s">
        <v>15</v>
      </c>
      <c r="D1007" t="s">
        <v>16</v>
      </c>
      <c r="E1007">
        <v>0</v>
      </c>
    </row>
    <row r="1008" spans="3:5">
      <c r="C1008" t="s">
        <v>15</v>
      </c>
      <c r="D1008" t="s">
        <v>16</v>
      </c>
      <c r="E1008">
        <v>0</v>
      </c>
    </row>
    <row r="1009" spans="3:5">
      <c r="C1009" t="s">
        <v>17</v>
      </c>
      <c r="D1009" t="s">
        <v>18</v>
      </c>
      <c r="E1009">
        <v>1</v>
      </c>
    </row>
    <row r="1010" spans="3:5">
      <c r="C1010" t="s">
        <v>17</v>
      </c>
      <c r="D1010" t="s">
        <v>18</v>
      </c>
      <c r="E1010">
        <v>0</v>
      </c>
    </row>
    <row r="1011" spans="3:5">
      <c r="C1011" t="s">
        <v>15</v>
      </c>
      <c r="D1011" t="s">
        <v>16</v>
      </c>
      <c r="E1011">
        <v>0</v>
      </c>
    </row>
    <row r="1012" spans="3:5">
      <c r="C1012" t="s">
        <v>15</v>
      </c>
      <c r="D1012" t="s">
        <v>16</v>
      </c>
      <c r="E1012">
        <v>0</v>
      </c>
    </row>
    <row r="1013" spans="3:5">
      <c r="C1013" t="s">
        <v>17</v>
      </c>
      <c r="D1013" t="s">
        <v>18</v>
      </c>
      <c r="E1013">
        <v>0</v>
      </c>
    </row>
    <row r="1014" spans="3:5">
      <c r="C1014" t="s">
        <v>17</v>
      </c>
      <c r="D1014" t="s">
        <v>18</v>
      </c>
      <c r="E1014">
        <v>0</v>
      </c>
    </row>
    <row r="1015" spans="3:5">
      <c r="C1015" t="s">
        <v>15</v>
      </c>
      <c r="D1015" t="s">
        <v>16</v>
      </c>
      <c r="E1015">
        <v>0</v>
      </c>
    </row>
    <row r="1016" spans="3:5">
      <c r="C1016" t="s">
        <v>17</v>
      </c>
      <c r="D1016" t="s">
        <v>18</v>
      </c>
      <c r="E1016">
        <v>0</v>
      </c>
    </row>
    <row r="1017" spans="3:5">
      <c r="C1017" t="s">
        <v>15</v>
      </c>
      <c r="D1017" t="s">
        <v>16</v>
      </c>
      <c r="E1017">
        <v>0</v>
      </c>
    </row>
    <row r="1018" spans="3:5">
      <c r="C1018" t="s">
        <v>17</v>
      </c>
      <c r="D1018" t="s">
        <v>18</v>
      </c>
      <c r="E1018">
        <v>0</v>
      </c>
    </row>
    <row r="1019" spans="3:5">
      <c r="C1019" t="s">
        <v>15</v>
      </c>
      <c r="D1019" t="s">
        <v>16</v>
      </c>
      <c r="E1019">
        <v>0</v>
      </c>
    </row>
    <row r="1020" spans="3:5">
      <c r="C1020" t="s">
        <v>15</v>
      </c>
      <c r="D1020" t="s">
        <v>16</v>
      </c>
      <c r="E1020">
        <v>0</v>
      </c>
    </row>
    <row r="1021" spans="3:5">
      <c r="C1021" t="s">
        <v>15</v>
      </c>
      <c r="D1021" t="s">
        <v>16</v>
      </c>
      <c r="E1021">
        <v>0</v>
      </c>
    </row>
    <row r="1022" spans="3:5">
      <c r="C1022" t="s">
        <v>17</v>
      </c>
      <c r="D1022" t="s">
        <v>18</v>
      </c>
      <c r="E1022">
        <v>0</v>
      </c>
    </row>
    <row r="1023" spans="3:5">
      <c r="C1023" t="s">
        <v>15</v>
      </c>
      <c r="D1023" t="s">
        <v>16</v>
      </c>
      <c r="E1023">
        <v>0</v>
      </c>
    </row>
    <row r="1024" spans="3:5">
      <c r="C1024" t="s">
        <v>15</v>
      </c>
      <c r="D1024" t="s">
        <v>16</v>
      </c>
      <c r="E1024">
        <v>0</v>
      </c>
    </row>
    <row r="1025" spans="3:5">
      <c r="C1025" t="s">
        <v>15</v>
      </c>
      <c r="D1025" t="s">
        <v>16</v>
      </c>
      <c r="E1025">
        <v>0</v>
      </c>
    </row>
    <row r="1026" spans="3:5">
      <c r="C1026" t="s">
        <v>17</v>
      </c>
      <c r="D1026" t="s">
        <v>18</v>
      </c>
      <c r="E1026">
        <v>0</v>
      </c>
    </row>
    <row r="1027" spans="3:5">
      <c r="C1027" t="s">
        <v>15</v>
      </c>
      <c r="D1027" t="s">
        <v>16</v>
      </c>
      <c r="E1027">
        <v>0</v>
      </c>
    </row>
    <row r="1028" spans="3:5">
      <c r="C1028" t="s">
        <v>17</v>
      </c>
      <c r="D1028" t="s">
        <v>18</v>
      </c>
      <c r="E1028">
        <v>1</v>
      </c>
    </row>
    <row r="1029" spans="3:5">
      <c r="C1029" t="s">
        <v>17</v>
      </c>
      <c r="D1029" t="s">
        <v>18</v>
      </c>
      <c r="E1029">
        <v>0</v>
      </c>
    </row>
    <row r="1030" spans="3:5">
      <c r="C1030" t="s">
        <v>17</v>
      </c>
      <c r="D1030" t="s">
        <v>18</v>
      </c>
      <c r="E1030">
        <v>0</v>
      </c>
    </row>
    <row r="1031" spans="3:5">
      <c r="C1031" t="s">
        <v>17</v>
      </c>
      <c r="D1031" t="s">
        <v>18</v>
      </c>
      <c r="E1031">
        <v>0</v>
      </c>
    </row>
    <row r="1032" spans="3:5">
      <c r="C1032" t="s">
        <v>17</v>
      </c>
      <c r="D1032" t="s">
        <v>18</v>
      </c>
      <c r="E1032">
        <v>0</v>
      </c>
    </row>
    <row r="1033" spans="3:5">
      <c r="C1033" t="s">
        <v>17</v>
      </c>
      <c r="D1033" t="s">
        <v>18</v>
      </c>
      <c r="E1033">
        <v>0</v>
      </c>
    </row>
    <row r="1034" spans="3:5">
      <c r="C1034" t="s">
        <v>15</v>
      </c>
      <c r="D1034" t="s">
        <v>16</v>
      </c>
      <c r="E1034">
        <v>0</v>
      </c>
    </row>
    <row r="1035" spans="3:5">
      <c r="C1035" t="s">
        <v>17</v>
      </c>
      <c r="D1035" t="s">
        <v>18</v>
      </c>
      <c r="E1035">
        <v>0</v>
      </c>
    </row>
    <row r="1036" spans="3:5">
      <c r="C1036" t="s">
        <v>17</v>
      </c>
      <c r="D1036" t="s">
        <v>18</v>
      </c>
      <c r="E1036">
        <v>0</v>
      </c>
    </row>
    <row r="1037" spans="3:5">
      <c r="C1037" t="s">
        <v>15</v>
      </c>
      <c r="D1037" t="s">
        <v>16</v>
      </c>
      <c r="E1037">
        <v>0</v>
      </c>
    </row>
    <row r="1038" spans="3:5">
      <c r="C1038" t="s">
        <v>15</v>
      </c>
      <c r="D1038" t="s">
        <v>16</v>
      </c>
      <c r="E1038">
        <v>0</v>
      </c>
    </row>
    <row r="1039" spans="3:5">
      <c r="C1039" t="s">
        <v>17</v>
      </c>
      <c r="D1039" t="s">
        <v>18</v>
      </c>
      <c r="E1039">
        <v>0</v>
      </c>
    </row>
    <row r="1040" spans="3:5">
      <c r="C1040" t="s">
        <v>17</v>
      </c>
      <c r="D1040" t="s">
        <v>18</v>
      </c>
      <c r="E1040">
        <v>0</v>
      </c>
    </row>
    <row r="1041" spans="3:5">
      <c r="C1041" t="s">
        <v>15</v>
      </c>
      <c r="D1041" t="s">
        <v>16</v>
      </c>
      <c r="E1041">
        <v>0</v>
      </c>
    </row>
    <row r="1042" spans="3:5">
      <c r="C1042" t="s">
        <v>15</v>
      </c>
      <c r="D1042" t="s">
        <v>16</v>
      </c>
      <c r="E1042">
        <v>0</v>
      </c>
    </row>
    <row r="1043" spans="3:5">
      <c r="C1043" t="s">
        <v>15</v>
      </c>
      <c r="D1043" t="s">
        <v>16</v>
      </c>
      <c r="E1043">
        <v>0</v>
      </c>
    </row>
    <row r="1044" spans="3:5">
      <c r="C1044" t="s">
        <v>17</v>
      </c>
      <c r="D1044" t="s">
        <v>18</v>
      </c>
      <c r="E1044">
        <v>0</v>
      </c>
    </row>
    <row r="1045" spans="3:5">
      <c r="C1045" t="s">
        <v>15</v>
      </c>
      <c r="D1045" t="s">
        <v>16</v>
      </c>
      <c r="E1045">
        <v>0</v>
      </c>
    </row>
    <row r="1046" spans="3:5">
      <c r="C1046" t="s">
        <v>17</v>
      </c>
      <c r="D1046" t="s">
        <v>18</v>
      </c>
      <c r="E1046">
        <v>0</v>
      </c>
    </row>
    <row r="1047" spans="3:5">
      <c r="C1047" t="s">
        <v>15</v>
      </c>
      <c r="D1047" t="s">
        <v>16</v>
      </c>
      <c r="E1047">
        <v>0</v>
      </c>
    </row>
    <row r="1048" spans="3:5">
      <c r="C1048" t="s">
        <v>17</v>
      </c>
      <c r="D1048" t="s">
        <v>18</v>
      </c>
      <c r="E1048">
        <v>0</v>
      </c>
    </row>
    <row r="1049" spans="3:5">
      <c r="C1049" t="s">
        <v>17</v>
      </c>
      <c r="D1049" t="s">
        <v>18</v>
      </c>
      <c r="E1049">
        <v>0</v>
      </c>
    </row>
    <row r="1050" spans="3:5">
      <c r="C1050" t="s">
        <v>15</v>
      </c>
      <c r="D1050" t="s">
        <v>16</v>
      </c>
      <c r="E1050">
        <v>0</v>
      </c>
    </row>
    <row r="1051" spans="3:5">
      <c r="C1051" t="s">
        <v>17</v>
      </c>
      <c r="D1051" t="s">
        <v>18</v>
      </c>
      <c r="E1051">
        <v>0</v>
      </c>
    </row>
    <row r="1052" spans="3:5">
      <c r="C1052" t="s">
        <v>15</v>
      </c>
      <c r="D1052" t="s">
        <v>16</v>
      </c>
      <c r="E1052">
        <v>0</v>
      </c>
    </row>
    <row r="1053" spans="3:5">
      <c r="C1053" t="s">
        <v>17</v>
      </c>
      <c r="D1053" t="s">
        <v>18</v>
      </c>
      <c r="E1053">
        <v>0</v>
      </c>
    </row>
    <row r="1054" spans="3:5">
      <c r="C1054" t="s">
        <v>15</v>
      </c>
      <c r="D1054" t="s">
        <v>16</v>
      </c>
      <c r="E1054">
        <v>0</v>
      </c>
    </row>
    <row r="1055" spans="3:5">
      <c r="C1055" t="s">
        <v>15</v>
      </c>
      <c r="D1055" t="s">
        <v>16</v>
      </c>
      <c r="E1055">
        <v>0</v>
      </c>
    </row>
    <row r="1056" spans="3:5">
      <c r="C1056" t="s">
        <v>17</v>
      </c>
      <c r="D1056" t="s">
        <v>18</v>
      </c>
      <c r="E1056">
        <v>0</v>
      </c>
    </row>
    <row r="1057" spans="3:5">
      <c r="C1057" t="s">
        <v>17</v>
      </c>
      <c r="D1057" t="s">
        <v>18</v>
      </c>
      <c r="E1057">
        <v>0</v>
      </c>
    </row>
    <row r="1058" spans="3:5">
      <c r="C1058" t="s">
        <v>15</v>
      </c>
      <c r="D1058" t="s">
        <v>16</v>
      </c>
      <c r="E1058">
        <v>0</v>
      </c>
    </row>
    <row r="1059" spans="3:5">
      <c r="C1059" t="s">
        <v>17</v>
      </c>
      <c r="D1059" t="s">
        <v>18</v>
      </c>
      <c r="E1059">
        <v>0</v>
      </c>
    </row>
    <row r="1060" spans="3:5">
      <c r="C1060" t="s">
        <v>17</v>
      </c>
      <c r="D1060" t="s">
        <v>18</v>
      </c>
      <c r="E1060">
        <v>0</v>
      </c>
    </row>
    <row r="1061" spans="3:5">
      <c r="C1061" t="s">
        <v>15</v>
      </c>
      <c r="D1061" t="s">
        <v>16</v>
      </c>
      <c r="E1061">
        <v>1</v>
      </c>
    </row>
    <row r="1062" spans="3:5">
      <c r="C1062" t="s">
        <v>15</v>
      </c>
      <c r="D1062" t="s">
        <v>16</v>
      </c>
      <c r="E1062">
        <v>0</v>
      </c>
    </row>
    <row r="1063" spans="3:5">
      <c r="C1063" t="s">
        <v>15</v>
      </c>
      <c r="D1063" t="s">
        <v>16</v>
      </c>
      <c r="E1063">
        <v>0</v>
      </c>
    </row>
    <row r="1064" spans="3:5">
      <c r="C1064" t="s">
        <v>17</v>
      </c>
      <c r="D1064" t="s">
        <v>18</v>
      </c>
      <c r="E1064">
        <v>1</v>
      </c>
    </row>
    <row r="1065" spans="3:5">
      <c r="C1065" t="s">
        <v>17</v>
      </c>
      <c r="D1065" t="s">
        <v>18</v>
      </c>
      <c r="E1065">
        <v>0</v>
      </c>
    </row>
    <row r="1066" spans="3:5">
      <c r="C1066" t="s">
        <v>17</v>
      </c>
      <c r="D1066" t="s">
        <v>18</v>
      </c>
      <c r="E1066">
        <v>0</v>
      </c>
    </row>
    <row r="1067" spans="3:5">
      <c r="C1067" t="s">
        <v>15</v>
      </c>
      <c r="D1067" t="s">
        <v>16</v>
      </c>
      <c r="E1067">
        <v>0</v>
      </c>
    </row>
    <row r="1068" spans="3:5">
      <c r="C1068" t="s">
        <v>15</v>
      </c>
      <c r="D1068" t="s">
        <v>16</v>
      </c>
      <c r="E1068">
        <v>0</v>
      </c>
    </row>
    <row r="1069" spans="3:5">
      <c r="C1069" t="s">
        <v>15</v>
      </c>
      <c r="D1069" t="s">
        <v>16</v>
      </c>
      <c r="E1069">
        <v>0</v>
      </c>
    </row>
    <row r="1070" spans="3:5">
      <c r="C1070" t="s">
        <v>15</v>
      </c>
      <c r="D1070" t="s">
        <v>16</v>
      </c>
      <c r="E1070">
        <v>0</v>
      </c>
    </row>
    <row r="1071" spans="3:5">
      <c r="C1071" t="s">
        <v>17</v>
      </c>
      <c r="D1071" t="s">
        <v>18</v>
      </c>
      <c r="E1071">
        <v>0</v>
      </c>
    </row>
    <row r="1072" spans="3:5">
      <c r="C1072" t="s">
        <v>17</v>
      </c>
      <c r="D1072" t="s">
        <v>18</v>
      </c>
      <c r="E1072">
        <v>0</v>
      </c>
    </row>
    <row r="1073" spans="3:5">
      <c r="C1073" t="s">
        <v>17</v>
      </c>
      <c r="D1073" t="s">
        <v>18</v>
      </c>
      <c r="E1073">
        <v>0</v>
      </c>
    </row>
    <row r="1074" spans="3:5">
      <c r="C1074" t="s">
        <v>15</v>
      </c>
      <c r="D1074" t="s">
        <v>16</v>
      </c>
      <c r="E1074">
        <v>0</v>
      </c>
    </row>
    <row r="1075" spans="3:5">
      <c r="C1075" t="s">
        <v>15</v>
      </c>
      <c r="D1075" t="s">
        <v>16</v>
      </c>
      <c r="E1075">
        <v>0</v>
      </c>
    </row>
    <row r="1076" spans="3:5">
      <c r="C1076" t="s">
        <v>17</v>
      </c>
      <c r="D1076" t="s">
        <v>18</v>
      </c>
      <c r="E1076">
        <v>0</v>
      </c>
    </row>
    <row r="1077" spans="3:5">
      <c r="C1077" t="s">
        <v>15</v>
      </c>
      <c r="D1077" t="s">
        <v>16</v>
      </c>
      <c r="E1077">
        <v>0</v>
      </c>
    </row>
    <row r="1078" spans="3:5">
      <c r="C1078" t="s">
        <v>15</v>
      </c>
      <c r="D1078" t="s">
        <v>16</v>
      </c>
      <c r="E1078">
        <v>0</v>
      </c>
    </row>
    <row r="1079" spans="3:5">
      <c r="C1079" t="s">
        <v>17</v>
      </c>
      <c r="D1079" t="s">
        <v>18</v>
      </c>
      <c r="E1079">
        <v>0</v>
      </c>
    </row>
    <row r="1080" spans="3:5">
      <c r="C1080" t="s">
        <v>15</v>
      </c>
      <c r="D1080" t="s">
        <v>16</v>
      </c>
      <c r="E1080">
        <v>0</v>
      </c>
    </row>
    <row r="1081" spans="3:5">
      <c r="C1081" t="s">
        <v>15</v>
      </c>
      <c r="D1081" t="s">
        <v>16</v>
      </c>
      <c r="E1081">
        <v>0</v>
      </c>
    </row>
    <row r="1082" spans="3:5">
      <c r="C1082" t="s">
        <v>15</v>
      </c>
      <c r="D1082" t="s">
        <v>16</v>
      </c>
      <c r="E1082">
        <v>1</v>
      </c>
    </row>
    <row r="1083" spans="3:5">
      <c r="C1083" t="s">
        <v>15</v>
      </c>
      <c r="D1083" t="s">
        <v>16</v>
      </c>
      <c r="E1083">
        <v>0</v>
      </c>
    </row>
    <row r="1084" spans="3:5">
      <c r="C1084" t="s">
        <v>17</v>
      </c>
      <c r="D1084" t="s">
        <v>18</v>
      </c>
      <c r="E1084">
        <v>0</v>
      </c>
    </row>
    <row r="1085" spans="3:5">
      <c r="C1085" t="s">
        <v>15</v>
      </c>
      <c r="D1085" t="s">
        <v>16</v>
      </c>
      <c r="E1085">
        <v>0</v>
      </c>
    </row>
    <row r="1086" spans="3:5">
      <c r="C1086" t="s">
        <v>17</v>
      </c>
      <c r="D1086" t="s">
        <v>18</v>
      </c>
      <c r="E1086">
        <v>0</v>
      </c>
    </row>
    <row r="1087" spans="3:5">
      <c r="C1087" t="s">
        <v>15</v>
      </c>
      <c r="D1087" t="s">
        <v>16</v>
      </c>
      <c r="E1087">
        <v>0</v>
      </c>
    </row>
    <row r="1088" spans="3:5">
      <c r="C1088" t="s">
        <v>15</v>
      </c>
      <c r="D1088" t="s">
        <v>16</v>
      </c>
      <c r="E1088">
        <v>0</v>
      </c>
    </row>
    <row r="1089" spans="3:5">
      <c r="C1089" t="s">
        <v>15</v>
      </c>
      <c r="D1089" t="s">
        <v>16</v>
      </c>
      <c r="E1089">
        <v>0</v>
      </c>
    </row>
    <row r="1090" spans="3:5">
      <c r="C1090" t="s">
        <v>17</v>
      </c>
      <c r="D1090" t="s">
        <v>18</v>
      </c>
      <c r="E1090">
        <v>0</v>
      </c>
    </row>
    <row r="1091" spans="3:5">
      <c r="C1091" t="s">
        <v>15</v>
      </c>
      <c r="D1091" t="s">
        <v>16</v>
      </c>
      <c r="E1091">
        <v>0</v>
      </c>
    </row>
    <row r="1092" spans="3:5">
      <c r="C1092" t="s">
        <v>15</v>
      </c>
      <c r="D1092" t="s">
        <v>16</v>
      </c>
      <c r="E1092">
        <v>0</v>
      </c>
    </row>
    <row r="1093" spans="3:5">
      <c r="C1093" t="s">
        <v>15</v>
      </c>
      <c r="D1093" t="s">
        <v>16</v>
      </c>
      <c r="E1093">
        <v>0</v>
      </c>
    </row>
    <row r="1094" spans="3:5">
      <c r="C1094" t="s">
        <v>17</v>
      </c>
      <c r="D1094" t="s">
        <v>18</v>
      </c>
      <c r="E1094">
        <v>0</v>
      </c>
    </row>
    <row r="1095" spans="3:5">
      <c r="C1095" t="s">
        <v>17</v>
      </c>
      <c r="D1095" t="s">
        <v>18</v>
      </c>
      <c r="E1095">
        <v>0</v>
      </c>
    </row>
    <row r="1096" spans="3:5">
      <c r="C1096" t="s">
        <v>15</v>
      </c>
      <c r="D1096" t="s">
        <v>16</v>
      </c>
      <c r="E1096">
        <v>0</v>
      </c>
    </row>
    <row r="1097" spans="3:5">
      <c r="C1097" t="s">
        <v>15</v>
      </c>
      <c r="D1097" t="s">
        <v>16</v>
      </c>
      <c r="E1097">
        <v>0</v>
      </c>
    </row>
    <row r="1098" spans="3:5">
      <c r="C1098" t="s">
        <v>15</v>
      </c>
      <c r="D1098" t="s">
        <v>16</v>
      </c>
      <c r="E1098">
        <v>0</v>
      </c>
    </row>
    <row r="1099" spans="3:5">
      <c r="C1099" t="s">
        <v>17</v>
      </c>
      <c r="D1099" t="s">
        <v>18</v>
      </c>
      <c r="E1099">
        <v>0</v>
      </c>
    </row>
    <row r="1100" spans="3:5">
      <c r="C1100" t="s">
        <v>15</v>
      </c>
      <c r="D1100" t="s">
        <v>16</v>
      </c>
      <c r="E1100">
        <v>0</v>
      </c>
    </row>
    <row r="1101" spans="3:5">
      <c r="C1101" t="s">
        <v>17</v>
      </c>
      <c r="D1101" t="s">
        <v>18</v>
      </c>
      <c r="E1101">
        <v>0</v>
      </c>
    </row>
    <row r="1102" spans="3:5">
      <c r="C1102" t="s">
        <v>15</v>
      </c>
      <c r="D1102" t="s">
        <v>16</v>
      </c>
      <c r="E1102">
        <v>0</v>
      </c>
    </row>
    <row r="1103" spans="3:5">
      <c r="C1103" t="s">
        <v>15</v>
      </c>
      <c r="D1103" t="s">
        <v>16</v>
      </c>
      <c r="E1103">
        <v>0</v>
      </c>
    </row>
    <row r="1104" spans="3:5">
      <c r="C1104" t="s">
        <v>17</v>
      </c>
      <c r="D1104" t="s">
        <v>18</v>
      </c>
      <c r="E1104">
        <v>0</v>
      </c>
    </row>
    <row r="1105" spans="3:5">
      <c r="C1105" t="s">
        <v>15</v>
      </c>
      <c r="D1105" t="s">
        <v>16</v>
      </c>
      <c r="E1105">
        <v>0</v>
      </c>
    </row>
    <row r="1106" spans="3:5">
      <c r="C1106" t="s">
        <v>17</v>
      </c>
      <c r="D1106" t="s">
        <v>18</v>
      </c>
      <c r="E1106">
        <v>0</v>
      </c>
    </row>
    <row r="1107" spans="3:5">
      <c r="C1107" t="s">
        <v>15</v>
      </c>
      <c r="D1107" t="s">
        <v>16</v>
      </c>
      <c r="E1107">
        <v>0</v>
      </c>
    </row>
    <row r="1108" spans="3:5">
      <c r="C1108" t="s">
        <v>15</v>
      </c>
      <c r="D1108" t="s">
        <v>16</v>
      </c>
      <c r="E1108">
        <v>0</v>
      </c>
    </row>
    <row r="1109" spans="3:5">
      <c r="C1109" t="s">
        <v>17</v>
      </c>
      <c r="D1109" t="s">
        <v>18</v>
      </c>
      <c r="E1109">
        <v>0</v>
      </c>
    </row>
    <row r="1110" spans="3:5">
      <c r="C1110" t="s">
        <v>17</v>
      </c>
      <c r="D1110" t="s">
        <v>18</v>
      </c>
      <c r="E1110">
        <v>1</v>
      </c>
    </row>
    <row r="1111" spans="3:5">
      <c r="C1111" t="s">
        <v>15</v>
      </c>
      <c r="D1111" t="s">
        <v>16</v>
      </c>
      <c r="E1111">
        <v>0</v>
      </c>
    </row>
    <row r="1112" spans="3:5">
      <c r="C1112" t="s">
        <v>15</v>
      </c>
      <c r="D1112" t="s">
        <v>16</v>
      </c>
      <c r="E1112">
        <v>0</v>
      </c>
    </row>
    <row r="1113" spans="3:5">
      <c r="C1113" t="s">
        <v>15</v>
      </c>
      <c r="D1113" t="s">
        <v>16</v>
      </c>
      <c r="E1113">
        <v>0</v>
      </c>
    </row>
    <row r="1114" spans="3:5">
      <c r="C1114" t="s">
        <v>17</v>
      </c>
      <c r="D1114" t="s">
        <v>18</v>
      </c>
      <c r="E1114">
        <v>0</v>
      </c>
    </row>
    <row r="1115" spans="3:5">
      <c r="C1115" t="s">
        <v>17</v>
      </c>
      <c r="D1115" t="s">
        <v>18</v>
      </c>
      <c r="E1115">
        <v>0</v>
      </c>
    </row>
    <row r="1116" spans="3:5">
      <c r="C1116" t="s">
        <v>15</v>
      </c>
      <c r="D1116" t="s">
        <v>16</v>
      </c>
      <c r="E1116">
        <v>0</v>
      </c>
    </row>
    <row r="1117" spans="3:5">
      <c r="C1117" t="s">
        <v>15</v>
      </c>
      <c r="D1117" t="s">
        <v>16</v>
      </c>
      <c r="E1117">
        <v>0</v>
      </c>
    </row>
    <row r="1118" spans="3:5">
      <c r="C1118" t="s">
        <v>15</v>
      </c>
      <c r="D1118" t="s">
        <v>16</v>
      </c>
      <c r="E1118">
        <v>0</v>
      </c>
    </row>
    <row r="1119" spans="3:5">
      <c r="C1119" t="s">
        <v>17</v>
      </c>
      <c r="D1119" t="s">
        <v>18</v>
      </c>
      <c r="E1119">
        <v>0</v>
      </c>
    </row>
    <row r="1120" spans="3:5">
      <c r="C1120" t="s">
        <v>15</v>
      </c>
      <c r="D1120" t="s">
        <v>16</v>
      </c>
      <c r="E1120">
        <v>0</v>
      </c>
    </row>
    <row r="1121" spans="3:5">
      <c r="C1121" t="s">
        <v>15</v>
      </c>
      <c r="D1121" t="s">
        <v>16</v>
      </c>
      <c r="E1121">
        <v>1</v>
      </c>
    </row>
    <row r="1122" spans="3:5">
      <c r="C1122" t="s">
        <v>17</v>
      </c>
      <c r="D1122" t="s">
        <v>18</v>
      </c>
      <c r="E1122">
        <v>0</v>
      </c>
    </row>
    <row r="1123" spans="3:5">
      <c r="C1123" t="s">
        <v>17</v>
      </c>
      <c r="D1123" t="s">
        <v>18</v>
      </c>
      <c r="E1123">
        <v>0</v>
      </c>
    </row>
    <row r="1124" spans="3:5">
      <c r="C1124" t="s">
        <v>17</v>
      </c>
      <c r="D1124" t="s">
        <v>18</v>
      </c>
      <c r="E1124">
        <v>1</v>
      </c>
    </row>
    <row r="1125" spans="3:5">
      <c r="C1125" t="s">
        <v>17</v>
      </c>
      <c r="D1125" t="s">
        <v>18</v>
      </c>
      <c r="E1125">
        <v>0</v>
      </c>
    </row>
    <row r="1126" spans="3:5">
      <c r="C1126" t="s">
        <v>15</v>
      </c>
      <c r="D1126" t="s">
        <v>16</v>
      </c>
      <c r="E1126">
        <v>0</v>
      </c>
    </row>
    <row r="1127" spans="3:5">
      <c r="C1127" t="s">
        <v>17</v>
      </c>
      <c r="D1127" t="s">
        <v>18</v>
      </c>
      <c r="E1127">
        <v>0</v>
      </c>
    </row>
    <row r="1128" spans="3:5">
      <c r="C1128" t="s">
        <v>17</v>
      </c>
      <c r="D1128" t="s">
        <v>18</v>
      </c>
      <c r="E1128">
        <v>0</v>
      </c>
    </row>
    <row r="1129" spans="3:5">
      <c r="C1129" t="s">
        <v>17</v>
      </c>
      <c r="D1129" t="s">
        <v>18</v>
      </c>
      <c r="E1129">
        <v>0</v>
      </c>
    </row>
    <row r="1130" spans="3:5">
      <c r="C1130" t="s">
        <v>15</v>
      </c>
      <c r="D1130" t="s">
        <v>16</v>
      </c>
      <c r="E1130">
        <v>0</v>
      </c>
    </row>
    <row r="1131" spans="3:5">
      <c r="C1131" t="s">
        <v>17</v>
      </c>
      <c r="D1131" t="s">
        <v>18</v>
      </c>
      <c r="E1131">
        <v>0</v>
      </c>
    </row>
    <row r="1132" spans="3:5">
      <c r="C1132" t="s">
        <v>17</v>
      </c>
      <c r="D1132" t="s">
        <v>18</v>
      </c>
      <c r="E1132">
        <v>0</v>
      </c>
    </row>
    <row r="1133" spans="3:5">
      <c r="C1133" t="s">
        <v>15</v>
      </c>
      <c r="D1133" t="s">
        <v>16</v>
      </c>
      <c r="E1133">
        <v>0</v>
      </c>
    </row>
    <row r="1134" spans="3:5">
      <c r="C1134" t="s">
        <v>17</v>
      </c>
      <c r="D1134" t="s">
        <v>18</v>
      </c>
      <c r="E1134">
        <v>0</v>
      </c>
    </row>
    <row r="1135" spans="3:5">
      <c r="C1135" t="s">
        <v>15</v>
      </c>
      <c r="D1135" t="s">
        <v>16</v>
      </c>
      <c r="E1135">
        <v>0</v>
      </c>
    </row>
    <row r="1136" spans="3:5">
      <c r="C1136" t="s">
        <v>15</v>
      </c>
      <c r="D1136" t="s">
        <v>16</v>
      </c>
      <c r="E1136">
        <v>0</v>
      </c>
    </row>
    <row r="1137" spans="3:5">
      <c r="C1137" t="s">
        <v>17</v>
      </c>
      <c r="D1137" t="s">
        <v>18</v>
      </c>
      <c r="E1137">
        <v>0</v>
      </c>
    </row>
    <row r="1138" spans="3:5">
      <c r="C1138" t="s">
        <v>15</v>
      </c>
      <c r="D1138" t="s">
        <v>16</v>
      </c>
      <c r="E1138">
        <v>0</v>
      </c>
    </row>
    <row r="1139" spans="3:5">
      <c r="C1139" t="s">
        <v>15</v>
      </c>
      <c r="D1139" t="s">
        <v>16</v>
      </c>
      <c r="E1139">
        <v>0</v>
      </c>
    </row>
    <row r="1140" spans="3:5">
      <c r="C1140" t="s">
        <v>15</v>
      </c>
      <c r="D1140" t="s">
        <v>16</v>
      </c>
      <c r="E1140">
        <v>0</v>
      </c>
    </row>
    <row r="1141" spans="3:5">
      <c r="C1141" t="s">
        <v>15</v>
      </c>
      <c r="D1141" t="s">
        <v>16</v>
      </c>
      <c r="E1141">
        <v>0</v>
      </c>
    </row>
    <row r="1142" spans="3:5">
      <c r="C1142" t="s">
        <v>15</v>
      </c>
      <c r="D1142" t="s">
        <v>16</v>
      </c>
      <c r="E1142">
        <v>0</v>
      </c>
    </row>
    <row r="1143" spans="3:5">
      <c r="C1143" t="s">
        <v>17</v>
      </c>
      <c r="D1143" t="s">
        <v>18</v>
      </c>
      <c r="E1143">
        <v>0</v>
      </c>
    </row>
    <row r="1144" spans="3:5">
      <c r="C1144" t="s">
        <v>17</v>
      </c>
      <c r="D1144" t="s">
        <v>18</v>
      </c>
      <c r="E1144">
        <v>0</v>
      </c>
    </row>
    <row r="1145" spans="3:5">
      <c r="C1145" t="s">
        <v>17</v>
      </c>
      <c r="D1145" t="s">
        <v>18</v>
      </c>
      <c r="E1145">
        <v>0</v>
      </c>
    </row>
    <row r="1146" spans="3:5">
      <c r="C1146" t="s">
        <v>15</v>
      </c>
      <c r="D1146" t="s">
        <v>16</v>
      </c>
      <c r="E1146">
        <v>0</v>
      </c>
    </row>
    <row r="1147" spans="3:5">
      <c r="C1147" t="s">
        <v>17</v>
      </c>
      <c r="D1147" t="s">
        <v>18</v>
      </c>
      <c r="E1147">
        <v>0</v>
      </c>
    </row>
    <row r="1148" spans="3:5">
      <c r="C1148" t="s">
        <v>15</v>
      </c>
      <c r="D1148" t="s">
        <v>16</v>
      </c>
      <c r="E1148">
        <v>0</v>
      </c>
    </row>
    <row r="1149" spans="3:5">
      <c r="C1149" t="s">
        <v>17</v>
      </c>
      <c r="D1149" t="s">
        <v>18</v>
      </c>
      <c r="E1149">
        <v>0</v>
      </c>
    </row>
    <row r="1150" spans="3:5">
      <c r="C1150" t="s">
        <v>17</v>
      </c>
      <c r="D1150" t="s">
        <v>18</v>
      </c>
      <c r="E1150">
        <v>0</v>
      </c>
    </row>
    <row r="1151" spans="3:5">
      <c r="C1151" t="s">
        <v>15</v>
      </c>
      <c r="D1151" t="s">
        <v>16</v>
      </c>
      <c r="E1151">
        <v>0</v>
      </c>
    </row>
    <row r="1152" spans="3:5">
      <c r="C1152" t="s">
        <v>17</v>
      </c>
      <c r="D1152" t="s">
        <v>18</v>
      </c>
      <c r="E1152">
        <v>0</v>
      </c>
    </row>
    <row r="1153" spans="3:5">
      <c r="C1153" t="s">
        <v>17</v>
      </c>
      <c r="D1153" t="s">
        <v>18</v>
      </c>
      <c r="E1153">
        <v>0</v>
      </c>
    </row>
    <row r="1154" spans="3:5">
      <c r="C1154" t="s">
        <v>17</v>
      </c>
      <c r="D1154" t="s">
        <v>18</v>
      </c>
      <c r="E1154">
        <v>0</v>
      </c>
    </row>
    <row r="1155" spans="3:5">
      <c r="C1155" t="s">
        <v>15</v>
      </c>
      <c r="D1155" t="s">
        <v>16</v>
      </c>
      <c r="E1155">
        <v>1</v>
      </c>
    </row>
    <row r="1156" spans="3:5">
      <c r="C1156" t="s">
        <v>15</v>
      </c>
      <c r="D1156" t="s">
        <v>16</v>
      </c>
      <c r="E1156">
        <v>0</v>
      </c>
    </row>
    <row r="1157" spans="3:5">
      <c r="C1157" t="s">
        <v>15</v>
      </c>
      <c r="D1157" t="s">
        <v>16</v>
      </c>
      <c r="E1157">
        <v>0</v>
      </c>
    </row>
    <row r="1158" spans="3:5">
      <c r="C1158" t="s">
        <v>17</v>
      </c>
      <c r="D1158" t="s">
        <v>18</v>
      </c>
      <c r="E1158">
        <v>0</v>
      </c>
    </row>
    <row r="1159" spans="3:5">
      <c r="C1159" t="s">
        <v>15</v>
      </c>
      <c r="D1159" t="s">
        <v>16</v>
      </c>
      <c r="E1159">
        <v>0</v>
      </c>
    </row>
    <row r="1160" spans="3:5">
      <c r="C1160" t="s">
        <v>17</v>
      </c>
      <c r="D1160" t="s">
        <v>18</v>
      </c>
      <c r="E1160">
        <v>0</v>
      </c>
    </row>
    <row r="1161" spans="3:5">
      <c r="C1161" t="s">
        <v>17</v>
      </c>
      <c r="D1161" t="s">
        <v>18</v>
      </c>
      <c r="E1161">
        <v>0</v>
      </c>
    </row>
    <row r="1162" spans="3:5">
      <c r="C1162" t="s">
        <v>17</v>
      </c>
      <c r="D1162" t="s">
        <v>18</v>
      </c>
      <c r="E1162">
        <v>0</v>
      </c>
    </row>
    <row r="1163" spans="3:5">
      <c r="C1163" t="s">
        <v>17</v>
      </c>
      <c r="D1163" t="s">
        <v>18</v>
      </c>
      <c r="E1163">
        <v>0</v>
      </c>
    </row>
    <row r="1164" spans="3:5">
      <c r="C1164" t="s">
        <v>15</v>
      </c>
      <c r="D1164" t="s">
        <v>16</v>
      </c>
      <c r="E1164">
        <v>0</v>
      </c>
    </row>
    <row r="1165" spans="3:5">
      <c r="C1165" t="s">
        <v>17</v>
      </c>
      <c r="D1165" t="s">
        <v>18</v>
      </c>
      <c r="E1165">
        <v>0</v>
      </c>
    </row>
    <row r="1166" spans="3:5">
      <c r="C1166" t="s">
        <v>15</v>
      </c>
      <c r="D1166" t="s">
        <v>16</v>
      </c>
      <c r="E1166">
        <v>0</v>
      </c>
    </row>
    <row r="1167" spans="3:5">
      <c r="C1167" t="s">
        <v>17</v>
      </c>
      <c r="D1167" t="s">
        <v>18</v>
      </c>
      <c r="E1167">
        <v>0</v>
      </c>
    </row>
    <row r="1168" spans="3:5">
      <c r="C1168" t="s">
        <v>15</v>
      </c>
      <c r="D1168" t="s">
        <v>16</v>
      </c>
      <c r="E1168">
        <v>0</v>
      </c>
    </row>
    <row r="1169" spans="3:5">
      <c r="C1169" t="s">
        <v>17</v>
      </c>
      <c r="D1169" t="s">
        <v>18</v>
      </c>
      <c r="E1169">
        <v>0</v>
      </c>
    </row>
    <row r="1170" spans="3:5">
      <c r="C1170" t="s">
        <v>15</v>
      </c>
      <c r="D1170" t="s">
        <v>16</v>
      </c>
      <c r="E1170">
        <v>0</v>
      </c>
    </row>
    <row r="1171" spans="3:5">
      <c r="C1171" t="s">
        <v>17</v>
      </c>
      <c r="D1171" t="s">
        <v>18</v>
      </c>
      <c r="E1171">
        <v>0</v>
      </c>
    </row>
    <row r="1172" spans="3:5">
      <c r="C1172" t="s">
        <v>17</v>
      </c>
      <c r="D1172" t="s">
        <v>18</v>
      </c>
      <c r="E1172">
        <v>0</v>
      </c>
    </row>
    <row r="1173" spans="3:5">
      <c r="C1173" t="s">
        <v>15</v>
      </c>
      <c r="D1173" t="s">
        <v>16</v>
      </c>
      <c r="E1173">
        <v>0</v>
      </c>
    </row>
    <row r="1174" spans="3:5">
      <c r="C1174" t="s">
        <v>15</v>
      </c>
      <c r="D1174" t="s">
        <v>16</v>
      </c>
      <c r="E1174">
        <v>0</v>
      </c>
    </row>
    <row r="1175" spans="3:5">
      <c r="C1175" t="s">
        <v>15</v>
      </c>
      <c r="D1175" t="s">
        <v>16</v>
      </c>
      <c r="E1175">
        <v>0</v>
      </c>
    </row>
    <row r="1176" spans="3:5">
      <c r="C1176" t="s">
        <v>17</v>
      </c>
      <c r="D1176" t="s">
        <v>18</v>
      </c>
      <c r="E1176">
        <v>0</v>
      </c>
    </row>
    <row r="1177" spans="3:5">
      <c r="C1177" t="s">
        <v>17</v>
      </c>
      <c r="D1177" t="s">
        <v>18</v>
      </c>
      <c r="E1177">
        <v>0</v>
      </c>
    </row>
    <row r="1178" spans="3:5">
      <c r="C1178" t="s">
        <v>15</v>
      </c>
      <c r="D1178" t="s">
        <v>16</v>
      </c>
      <c r="E1178">
        <v>0</v>
      </c>
    </row>
    <row r="1179" spans="3:5">
      <c r="C1179" t="s">
        <v>17</v>
      </c>
      <c r="D1179" t="s">
        <v>18</v>
      </c>
      <c r="E1179">
        <v>0</v>
      </c>
    </row>
    <row r="1180" spans="3:5">
      <c r="C1180" t="s">
        <v>17</v>
      </c>
      <c r="D1180" t="s">
        <v>18</v>
      </c>
      <c r="E1180">
        <v>0</v>
      </c>
    </row>
    <row r="1181" spans="3:5">
      <c r="C1181" t="s">
        <v>15</v>
      </c>
      <c r="D1181" t="s">
        <v>16</v>
      </c>
      <c r="E1181">
        <v>0</v>
      </c>
    </row>
    <row r="1182" spans="3:5">
      <c r="C1182" t="s">
        <v>17</v>
      </c>
      <c r="D1182" t="s">
        <v>18</v>
      </c>
      <c r="E1182">
        <v>0</v>
      </c>
    </row>
    <row r="1183" spans="3:5">
      <c r="C1183" t="s">
        <v>15</v>
      </c>
      <c r="D1183" t="s">
        <v>16</v>
      </c>
      <c r="E1183">
        <v>0</v>
      </c>
    </row>
    <row r="1184" spans="3:5">
      <c r="C1184" t="s">
        <v>15</v>
      </c>
      <c r="D1184" t="s">
        <v>16</v>
      </c>
      <c r="E1184">
        <v>0</v>
      </c>
    </row>
    <row r="1185" spans="3:5">
      <c r="C1185" t="s">
        <v>15</v>
      </c>
      <c r="D1185" t="s">
        <v>16</v>
      </c>
      <c r="E1185">
        <v>0</v>
      </c>
    </row>
    <row r="1186" spans="3:5">
      <c r="C1186" t="s">
        <v>17</v>
      </c>
      <c r="D1186" t="s">
        <v>18</v>
      </c>
      <c r="E1186">
        <v>0</v>
      </c>
    </row>
    <row r="1187" spans="3:5">
      <c r="C1187" t="s">
        <v>17</v>
      </c>
      <c r="D1187" t="s">
        <v>18</v>
      </c>
      <c r="E1187">
        <v>0</v>
      </c>
    </row>
    <row r="1188" spans="3:5">
      <c r="C1188" t="s">
        <v>17</v>
      </c>
      <c r="D1188" t="s">
        <v>18</v>
      </c>
      <c r="E1188">
        <v>0</v>
      </c>
    </row>
    <row r="1189" spans="3:5">
      <c r="C1189" t="s">
        <v>15</v>
      </c>
      <c r="D1189" t="s">
        <v>16</v>
      </c>
      <c r="E1189">
        <v>0</v>
      </c>
    </row>
    <row r="1190" spans="3:5">
      <c r="C1190" t="s">
        <v>15</v>
      </c>
      <c r="D1190" t="s">
        <v>16</v>
      </c>
      <c r="E1190">
        <v>0</v>
      </c>
    </row>
    <row r="1191" spans="3:5">
      <c r="C1191" t="s">
        <v>17</v>
      </c>
      <c r="D1191" t="s">
        <v>18</v>
      </c>
      <c r="E1191">
        <v>0</v>
      </c>
    </row>
    <row r="1192" spans="3:5">
      <c r="C1192" t="s">
        <v>15</v>
      </c>
      <c r="D1192" t="s">
        <v>16</v>
      </c>
      <c r="E1192">
        <v>0</v>
      </c>
    </row>
    <row r="1193" spans="3:5">
      <c r="C1193" t="s">
        <v>17</v>
      </c>
      <c r="D1193" t="s">
        <v>18</v>
      </c>
      <c r="E1193">
        <v>0</v>
      </c>
    </row>
    <row r="1194" spans="3:5">
      <c r="C1194" t="s">
        <v>17</v>
      </c>
      <c r="D1194" t="s">
        <v>18</v>
      </c>
      <c r="E1194">
        <v>0</v>
      </c>
    </row>
    <row r="1195" spans="3:5">
      <c r="C1195" t="s">
        <v>17</v>
      </c>
      <c r="D1195" t="s">
        <v>18</v>
      </c>
      <c r="E1195">
        <v>0</v>
      </c>
    </row>
    <row r="1196" spans="3:5">
      <c r="C1196" t="s">
        <v>17</v>
      </c>
      <c r="D1196" t="s">
        <v>18</v>
      </c>
      <c r="E1196">
        <v>0</v>
      </c>
    </row>
    <row r="1197" spans="3:5">
      <c r="C1197" t="s">
        <v>17</v>
      </c>
      <c r="D1197" t="s">
        <v>18</v>
      </c>
      <c r="E1197">
        <v>0</v>
      </c>
    </row>
    <row r="1198" spans="3:5">
      <c r="C1198" t="s">
        <v>15</v>
      </c>
      <c r="D1198" t="s">
        <v>16</v>
      </c>
      <c r="E1198">
        <v>0</v>
      </c>
    </row>
    <row r="1199" spans="3:5">
      <c r="C1199" t="s">
        <v>15</v>
      </c>
      <c r="D1199" t="s">
        <v>16</v>
      </c>
      <c r="E1199">
        <v>0</v>
      </c>
    </row>
    <row r="1200" spans="3:5">
      <c r="C1200" t="s">
        <v>17</v>
      </c>
      <c r="D1200" t="s">
        <v>18</v>
      </c>
      <c r="E1200">
        <v>0</v>
      </c>
    </row>
    <row r="1201" spans="3:5">
      <c r="C1201" t="s">
        <v>17</v>
      </c>
      <c r="D1201" t="s">
        <v>18</v>
      </c>
      <c r="E1201">
        <v>0</v>
      </c>
    </row>
    <row r="1202" spans="3:5">
      <c r="C1202" t="s">
        <v>17</v>
      </c>
      <c r="D1202" t="s">
        <v>18</v>
      </c>
      <c r="E1202">
        <v>0</v>
      </c>
    </row>
    <row r="1203" spans="3:5">
      <c r="C1203" t="s">
        <v>17</v>
      </c>
      <c r="D1203" t="s">
        <v>18</v>
      </c>
      <c r="E1203">
        <v>0</v>
      </c>
    </row>
    <row r="1204" spans="3:5">
      <c r="C1204" t="s">
        <v>17</v>
      </c>
      <c r="D1204" t="s">
        <v>18</v>
      </c>
      <c r="E1204">
        <v>0</v>
      </c>
    </row>
    <row r="1205" spans="3:5">
      <c r="C1205" t="s">
        <v>15</v>
      </c>
      <c r="D1205" t="s">
        <v>16</v>
      </c>
      <c r="E1205">
        <v>0</v>
      </c>
    </row>
    <row r="1206" spans="3:5">
      <c r="C1206" t="s">
        <v>15</v>
      </c>
      <c r="D1206" t="s">
        <v>16</v>
      </c>
      <c r="E1206">
        <v>0</v>
      </c>
    </row>
    <row r="1207" spans="3:5">
      <c r="C1207" t="s">
        <v>15</v>
      </c>
      <c r="D1207" t="s">
        <v>16</v>
      </c>
      <c r="E1207">
        <v>0</v>
      </c>
    </row>
    <row r="1208" spans="3:5">
      <c r="C1208" t="s">
        <v>15</v>
      </c>
      <c r="D1208" t="s">
        <v>16</v>
      </c>
      <c r="E1208">
        <v>0</v>
      </c>
    </row>
    <row r="1209" spans="3:5">
      <c r="C1209" t="s">
        <v>17</v>
      </c>
      <c r="D1209" t="s">
        <v>18</v>
      </c>
      <c r="E1209">
        <v>0</v>
      </c>
    </row>
    <row r="1210" spans="3:5">
      <c r="C1210" t="s">
        <v>15</v>
      </c>
      <c r="D1210" t="s">
        <v>16</v>
      </c>
      <c r="E1210">
        <v>0</v>
      </c>
    </row>
    <row r="1211" spans="3:5">
      <c r="C1211" t="s">
        <v>17</v>
      </c>
      <c r="D1211" t="s">
        <v>18</v>
      </c>
      <c r="E1211">
        <v>1</v>
      </c>
    </row>
    <row r="1212" spans="3:5">
      <c r="C1212" t="s">
        <v>17</v>
      </c>
      <c r="D1212" t="s">
        <v>18</v>
      </c>
      <c r="E1212">
        <v>0</v>
      </c>
    </row>
    <row r="1213" spans="3:5">
      <c r="C1213" t="s">
        <v>17</v>
      </c>
      <c r="D1213" t="s">
        <v>18</v>
      </c>
      <c r="E1213">
        <v>0</v>
      </c>
    </row>
    <row r="1214" spans="3:5">
      <c r="C1214" t="s">
        <v>15</v>
      </c>
      <c r="D1214" t="s">
        <v>16</v>
      </c>
      <c r="E1214">
        <v>0</v>
      </c>
    </row>
    <row r="1215" spans="3:5">
      <c r="C1215" t="s">
        <v>15</v>
      </c>
      <c r="D1215" t="s">
        <v>16</v>
      </c>
      <c r="E1215">
        <v>0</v>
      </c>
    </row>
    <row r="1216" spans="3:5">
      <c r="C1216" t="s">
        <v>15</v>
      </c>
      <c r="D1216" t="s">
        <v>16</v>
      </c>
      <c r="E1216">
        <v>0</v>
      </c>
    </row>
    <row r="1217" spans="3:5">
      <c r="C1217" t="s">
        <v>17</v>
      </c>
      <c r="D1217" t="s">
        <v>18</v>
      </c>
      <c r="E1217">
        <v>0</v>
      </c>
    </row>
    <row r="1218" spans="3:5">
      <c r="C1218" t="s">
        <v>17</v>
      </c>
      <c r="D1218" t="s">
        <v>18</v>
      </c>
      <c r="E1218">
        <v>0</v>
      </c>
    </row>
    <row r="1219" spans="3:5">
      <c r="C1219" t="s">
        <v>15</v>
      </c>
      <c r="D1219" t="s">
        <v>16</v>
      </c>
      <c r="E1219">
        <v>0</v>
      </c>
    </row>
    <row r="1220" spans="3:5">
      <c r="C1220" t="s">
        <v>17</v>
      </c>
      <c r="D1220" t="s">
        <v>18</v>
      </c>
      <c r="E1220">
        <v>0</v>
      </c>
    </row>
    <row r="1221" spans="3:5">
      <c r="C1221" t="s">
        <v>17</v>
      </c>
      <c r="D1221" t="s">
        <v>18</v>
      </c>
      <c r="E1221">
        <v>0</v>
      </c>
    </row>
    <row r="1222" spans="3:5">
      <c r="C1222" t="s">
        <v>15</v>
      </c>
      <c r="D1222" t="s">
        <v>16</v>
      </c>
      <c r="E1222">
        <v>0</v>
      </c>
    </row>
    <row r="1223" spans="3:5">
      <c r="C1223" t="s">
        <v>15</v>
      </c>
      <c r="D1223" t="s">
        <v>16</v>
      </c>
      <c r="E1223">
        <v>1</v>
      </c>
    </row>
    <row r="1224" spans="3:5">
      <c r="C1224" t="s">
        <v>17</v>
      </c>
      <c r="D1224" t="s">
        <v>18</v>
      </c>
      <c r="E1224">
        <v>0</v>
      </c>
    </row>
    <row r="1225" spans="3:5">
      <c r="C1225" t="s">
        <v>17</v>
      </c>
      <c r="D1225" t="s">
        <v>18</v>
      </c>
      <c r="E1225">
        <v>0</v>
      </c>
    </row>
    <row r="1226" spans="3:5">
      <c r="C1226" t="s">
        <v>15</v>
      </c>
      <c r="D1226" t="s">
        <v>16</v>
      </c>
      <c r="E1226">
        <v>0</v>
      </c>
    </row>
    <row r="1227" spans="3:5">
      <c r="C1227" t="s">
        <v>15</v>
      </c>
      <c r="D1227" t="s">
        <v>16</v>
      </c>
      <c r="E1227">
        <v>0</v>
      </c>
    </row>
    <row r="1228" spans="3:5">
      <c r="C1228" t="s">
        <v>17</v>
      </c>
      <c r="D1228" t="s">
        <v>18</v>
      </c>
      <c r="E1228">
        <v>0</v>
      </c>
    </row>
    <row r="1229" spans="3:5">
      <c r="C1229" t="s">
        <v>15</v>
      </c>
      <c r="D1229" t="s">
        <v>16</v>
      </c>
      <c r="E1229">
        <v>0</v>
      </c>
    </row>
    <row r="1230" spans="3:5">
      <c r="C1230" t="s">
        <v>15</v>
      </c>
      <c r="D1230" t="s">
        <v>16</v>
      </c>
      <c r="E1230">
        <v>0</v>
      </c>
    </row>
    <row r="1231" spans="3:5">
      <c r="C1231" t="s">
        <v>15</v>
      </c>
      <c r="D1231" t="s">
        <v>16</v>
      </c>
      <c r="E1231">
        <v>0</v>
      </c>
    </row>
    <row r="1232" spans="3:5">
      <c r="C1232" t="s">
        <v>15</v>
      </c>
      <c r="D1232" t="s">
        <v>16</v>
      </c>
      <c r="E1232">
        <v>0</v>
      </c>
    </row>
    <row r="1233" spans="3:5">
      <c r="C1233" t="s">
        <v>15</v>
      </c>
      <c r="D1233" t="s">
        <v>16</v>
      </c>
      <c r="E1233">
        <v>0</v>
      </c>
    </row>
    <row r="1234" spans="3:5">
      <c r="C1234" t="s">
        <v>15</v>
      </c>
      <c r="D1234" t="s">
        <v>16</v>
      </c>
      <c r="E1234">
        <v>0</v>
      </c>
    </row>
    <row r="1235" spans="3:5">
      <c r="C1235" t="s">
        <v>17</v>
      </c>
      <c r="D1235" t="s">
        <v>18</v>
      </c>
      <c r="E1235">
        <v>0</v>
      </c>
    </row>
    <row r="1236" spans="3:5">
      <c r="C1236" t="s">
        <v>17</v>
      </c>
      <c r="D1236" t="s">
        <v>18</v>
      </c>
      <c r="E1236">
        <v>0</v>
      </c>
    </row>
    <row r="1237" spans="3:5">
      <c r="C1237" t="s">
        <v>15</v>
      </c>
      <c r="D1237" t="s">
        <v>16</v>
      </c>
      <c r="E1237">
        <v>0</v>
      </c>
    </row>
    <row r="1238" spans="3:5">
      <c r="C1238" t="s">
        <v>17</v>
      </c>
      <c r="D1238" t="s">
        <v>18</v>
      </c>
      <c r="E1238">
        <v>0</v>
      </c>
    </row>
    <row r="1239" spans="3:5">
      <c r="C1239" t="s">
        <v>15</v>
      </c>
      <c r="D1239" t="s">
        <v>16</v>
      </c>
      <c r="E1239">
        <v>0</v>
      </c>
    </row>
    <row r="1240" spans="3:5">
      <c r="C1240" t="s">
        <v>15</v>
      </c>
      <c r="D1240" t="s">
        <v>16</v>
      </c>
      <c r="E1240">
        <v>1</v>
      </c>
    </row>
    <row r="1241" spans="3:5">
      <c r="C1241" t="s">
        <v>15</v>
      </c>
      <c r="D1241" t="s">
        <v>16</v>
      </c>
      <c r="E1241">
        <v>0</v>
      </c>
    </row>
    <row r="1242" spans="3:5">
      <c r="C1242" t="s">
        <v>15</v>
      </c>
      <c r="D1242" t="s">
        <v>16</v>
      </c>
      <c r="E1242">
        <v>0</v>
      </c>
    </row>
    <row r="1243" spans="3:5">
      <c r="C1243" t="s">
        <v>17</v>
      </c>
      <c r="D1243" t="s">
        <v>18</v>
      </c>
      <c r="E1243">
        <v>0</v>
      </c>
    </row>
    <row r="1244" spans="3:5">
      <c r="C1244" t="s">
        <v>17</v>
      </c>
      <c r="D1244" t="s">
        <v>18</v>
      </c>
      <c r="E1244">
        <v>0</v>
      </c>
    </row>
    <row r="1245" spans="3:5">
      <c r="C1245" t="s">
        <v>17</v>
      </c>
      <c r="D1245" t="s">
        <v>18</v>
      </c>
      <c r="E1245">
        <v>0</v>
      </c>
    </row>
    <row r="1246" spans="3:5">
      <c r="C1246" t="s">
        <v>15</v>
      </c>
      <c r="D1246" t="s">
        <v>16</v>
      </c>
      <c r="E1246">
        <v>0</v>
      </c>
    </row>
    <row r="1247" spans="3:5">
      <c r="C1247" t="s">
        <v>17</v>
      </c>
      <c r="D1247" t="s">
        <v>18</v>
      </c>
      <c r="E1247">
        <v>0</v>
      </c>
    </row>
    <row r="1248" spans="3:5">
      <c r="C1248" t="s">
        <v>15</v>
      </c>
      <c r="D1248" t="s">
        <v>16</v>
      </c>
      <c r="E1248">
        <v>0</v>
      </c>
    </row>
    <row r="1249" spans="3:5">
      <c r="C1249" t="s">
        <v>17</v>
      </c>
      <c r="D1249" t="s">
        <v>18</v>
      </c>
      <c r="E1249">
        <v>0</v>
      </c>
    </row>
    <row r="1250" spans="3:5">
      <c r="C1250" t="s">
        <v>17</v>
      </c>
      <c r="D1250" t="s">
        <v>18</v>
      </c>
      <c r="E1250">
        <v>0</v>
      </c>
    </row>
    <row r="1251" spans="3:5">
      <c r="C1251" t="s">
        <v>17</v>
      </c>
      <c r="D1251" t="s">
        <v>18</v>
      </c>
      <c r="E1251">
        <v>0</v>
      </c>
    </row>
    <row r="1252" spans="3:5">
      <c r="C1252" t="s">
        <v>17</v>
      </c>
      <c r="D1252" t="s">
        <v>18</v>
      </c>
      <c r="E1252">
        <v>0</v>
      </c>
    </row>
    <row r="1253" spans="3:5">
      <c r="C1253" t="s">
        <v>15</v>
      </c>
      <c r="D1253" t="s">
        <v>16</v>
      </c>
      <c r="E1253">
        <v>0</v>
      </c>
    </row>
    <row r="1254" spans="3:5">
      <c r="C1254" t="s">
        <v>17</v>
      </c>
      <c r="D1254" t="s">
        <v>18</v>
      </c>
      <c r="E1254">
        <v>1</v>
      </c>
    </row>
    <row r="1255" spans="3:5">
      <c r="C1255" t="s">
        <v>17</v>
      </c>
      <c r="D1255" t="s">
        <v>18</v>
      </c>
      <c r="E1255">
        <v>0</v>
      </c>
    </row>
    <row r="1256" spans="3:5">
      <c r="C1256" t="s">
        <v>17</v>
      </c>
      <c r="D1256" t="s">
        <v>18</v>
      </c>
      <c r="E1256">
        <v>0</v>
      </c>
    </row>
    <row r="1257" spans="3:5">
      <c r="C1257" t="s">
        <v>15</v>
      </c>
      <c r="D1257" t="s">
        <v>16</v>
      </c>
      <c r="E1257">
        <v>0</v>
      </c>
    </row>
    <row r="1258" spans="3:5">
      <c r="C1258" t="s">
        <v>17</v>
      </c>
      <c r="D1258" t="s">
        <v>18</v>
      </c>
      <c r="E1258">
        <v>0</v>
      </c>
    </row>
    <row r="1259" spans="3:5">
      <c r="C1259" t="s">
        <v>17</v>
      </c>
      <c r="D1259" t="s">
        <v>18</v>
      </c>
      <c r="E1259">
        <v>0</v>
      </c>
    </row>
    <row r="1260" spans="3:5">
      <c r="C1260" t="s">
        <v>15</v>
      </c>
      <c r="D1260" t="s">
        <v>16</v>
      </c>
      <c r="E1260">
        <v>0</v>
      </c>
    </row>
    <row r="1261" spans="3:5">
      <c r="C1261" t="s">
        <v>17</v>
      </c>
      <c r="D1261" t="s">
        <v>18</v>
      </c>
      <c r="E1261">
        <v>0</v>
      </c>
    </row>
    <row r="1262" spans="3:5">
      <c r="C1262" t="s">
        <v>17</v>
      </c>
      <c r="D1262" t="s">
        <v>18</v>
      </c>
      <c r="E1262">
        <v>1</v>
      </c>
    </row>
    <row r="1263" spans="3:5">
      <c r="C1263" t="s">
        <v>15</v>
      </c>
      <c r="D1263" t="s">
        <v>16</v>
      </c>
      <c r="E1263">
        <v>0</v>
      </c>
    </row>
    <row r="1264" spans="3:5">
      <c r="C1264" t="s">
        <v>15</v>
      </c>
      <c r="D1264" t="s">
        <v>16</v>
      </c>
      <c r="E1264">
        <v>0</v>
      </c>
    </row>
    <row r="1265" spans="3:5">
      <c r="C1265" t="s">
        <v>17</v>
      </c>
      <c r="D1265" t="s">
        <v>18</v>
      </c>
      <c r="E1265">
        <v>0</v>
      </c>
    </row>
    <row r="1266" spans="3:5">
      <c r="C1266" t="s">
        <v>17</v>
      </c>
      <c r="D1266" t="s">
        <v>18</v>
      </c>
      <c r="E1266">
        <v>0</v>
      </c>
    </row>
    <row r="1267" spans="3:5">
      <c r="C1267" t="s">
        <v>17</v>
      </c>
      <c r="D1267" t="s">
        <v>18</v>
      </c>
      <c r="E1267">
        <v>0</v>
      </c>
    </row>
    <row r="1268" spans="3:5">
      <c r="C1268" t="s">
        <v>17</v>
      </c>
      <c r="D1268" t="s">
        <v>18</v>
      </c>
      <c r="E1268">
        <v>0</v>
      </c>
    </row>
    <row r="1269" spans="3:5">
      <c r="C1269" t="s">
        <v>17</v>
      </c>
      <c r="D1269" t="s">
        <v>18</v>
      </c>
      <c r="E1269">
        <v>0</v>
      </c>
    </row>
    <row r="1270" spans="3:5">
      <c r="C1270" t="s">
        <v>17</v>
      </c>
      <c r="D1270" t="s">
        <v>18</v>
      </c>
      <c r="E1270">
        <v>0</v>
      </c>
    </row>
    <row r="1271" spans="3:5">
      <c r="C1271" t="s">
        <v>17</v>
      </c>
      <c r="D1271" t="s">
        <v>18</v>
      </c>
      <c r="E1271">
        <v>0</v>
      </c>
    </row>
    <row r="1272" spans="3:5">
      <c r="C1272" t="s">
        <v>17</v>
      </c>
      <c r="D1272" t="s">
        <v>18</v>
      </c>
      <c r="E1272">
        <v>0</v>
      </c>
    </row>
    <row r="1273" spans="3:5">
      <c r="C1273" t="s">
        <v>17</v>
      </c>
      <c r="D1273" t="s">
        <v>18</v>
      </c>
      <c r="E1273">
        <v>0</v>
      </c>
    </row>
    <row r="1274" spans="3:5">
      <c r="C1274" t="s">
        <v>17</v>
      </c>
      <c r="D1274" t="s">
        <v>18</v>
      </c>
      <c r="E1274">
        <v>0</v>
      </c>
    </row>
    <row r="1275" spans="3:5">
      <c r="C1275" t="s">
        <v>17</v>
      </c>
      <c r="D1275" t="s">
        <v>18</v>
      </c>
      <c r="E1275">
        <v>0</v>
      </c>
    </row>
    <row r="1276" spans="3:5">
      <c r="C1276" t="s">
        <v>17</v>
      </c>
      <c r="D1276" t="s">
        <v>18</v>
      </c>
      <c r="E1276">
        <v>0</v>
      </c>
    </row>
    <row r="1277" spans="3:5">
      <c r="C1277" t="s">
        <v>15</v>
      </c>
      <c r="D1277" t="s">
        <v>16</v>
      </c>
      <c r="E1277">
        <v>0</v>
      </c>
    </row>
    <row r="1278" spans="3:5">
      <c r="C1278" t="s">
        <v>15</v>
      </c>
      <c r="D1278" t="s">
        <v>16</v>
      </c>
      <c r="E1278">
        <v>0</v>
      </c>
    </row>
    <row r="1279" spans="3:5">
      <c r="C1279" t="s">
        <v>17</v>
      </c>
      <c r="D1279" t="s">
        <v>18</v>
      </c>
      <c r="E1279">
        <v>0</v>
      </c>
    </row>
    <row r="1280" spans="3:5">
      <c r="C1280" t="s">
        <v>15</v>
      </c>
      <c r="D1280" t="s">
        <v>16</v>
      </c>
      <c r="E1280">
        <v>0</v>
      </c>
    </row>
    <row r="1281" spans="3:5">
      <c r="C1281" t="s">
        <v>17</v>
      </c>
      <c r="D1281" t="s">
        <v>18</v>
      </c>
      <c r="E1281">
        <v>0</v>
      </c>
    </row>
    <row r="1282" spans="3:5">
      <c r="C1282" t="s">
        <v>15</v>
      </c>
      <c r="D1282" t="s">
        <v>16</v>
      </c>
      <c r="E1282">
        <v>0</v>
      </c>
    </row>
    <row r="1283" spans="3:5">
      <c r="C1283" t="s">
        <v>15</v>
      </c>
      <c r="D1283" t="s">
        <v>16</v>
      </c>
      <c r="E1283">
        <v>0</v>
      </c>
    </row>
    <row r="1284" spans="3:5">
      <c r="C1284" t="s">
        <v>15</v>
      </c>
      <c r="D1284" t="s">
        <v>16</v>
      </c>
      <c r="E1284">
        <v>0</v>
      </c>
    </row>
    <row r="1285" spans="3:5">
      <c r="C1285" t="s">
        <v>15</v>
      </c>
      <c r="D1285" t="s">
        <v>16</v>
      </c>
      <c r="E1285">
        <v>0</v>
      </c>
    </row>
    <row r="1286" spans="3:5">
      <c r="C1286" t="s">
        <v>17</v>
      </c>
      <c r="D1286" t="s">
        <v>18</v>
      </c>
      <c r="E1286">
        <v>0</v>
      </c>
    </row>
    <row r="1287" spans="3:5">
      <c r="C1287" t="s">
        <v>15</v>
      </c>
      <c r="D1287" t="s">
        <v>16</v>
      </c>
      <c r="E1287">
        <v>0</v>
      </c>
    </row>
    <row r="1288" spans="3:5">
      <c r="C1288" t="s">
        <v>15</v>
      </c>
      <c r="D1288" t="s">
        <v>16</v>
      </c>
      <c r="E1288">
        <v>0</v>
      </c>
    </row>
    <row r="1289" spans="3:5">
      <c r="C1289" t="s">
        <v>15</v>
      </c>
      <c r="D1289" t="s">
        <v>16</v>
      </c>
      <c r="E1289">
        <v>0</v>
      </c>
    </row>
    <row r="1290" spans="3:5">
      <c r="C1290" t="s">
        <v>15</v>
      </c>
      <c r="D1290" t="s">
        <v>16</v>
      </c>
      <c r="E1290">
        <v>0</v>
      </c>
    </row>
    <row r="1291" spans="3:5">
      <c r="C1291" t="s">
        <v>17</v>
      </c>
      <c r="D1291" t="s">
        <v>18</v>
      </c>
      <c r="E1291">
        <v>0</v>
      </c>
    </row>
    <row r="1292" spans="3:5">
      <c r="C1292" t="s">
        <v>17</v>
      </c>
      <c r="D1292" t="s">
        <v>18</v>
      </c>
      <c r="E1292">
        <v>0</v>
      </c>
    </row>
    <row r="1293" spans="3:5">
      <c r="C1293" t="s">
        <v>15</v>
      </c>
      <c r="D1293" t="s">
        <v>16</v>
      </c>
      <c r="E1293">
        <v>0</v>
      </c>
    </row>
    <row r="1294" spans="3:5">
      <c r="C1294" t="s">
        <v>15</v>
      </c>
      <c r="D1294" t="s">
        <v>16</v>
      </c>
      <c r="E1294">
        <v>0</v>
      </c>
    </row>
    <row r="1295" spans="3:5">
      <c r="C1295" t="s">
        <v>15</v>
      </c>
      <c r="D1295" t="s">
        <v>16</v>
      </c>
      <c r="E1295">
        <v>0</v>
      </c>
    </row>
    <row r="1296" spans="3:5">
      <c r="C1296" t="s">
        <v>17</v>
      </c>
      <c r="D1296" t="s">
        <v>18</v>
      </c>
      <c r="E1296">
        <v>0</v>
      </c>
    </row>
    <row r="1297" spans="3:5">
      <c r="C1297" t="s">
        <v>15</v>
      </c>
      <c r="D1297" t="s">
        <v>16</v>
      </c>
      <c r="E1297">
        <v>0</v>
      </c>
    </row>
    <row r="1298" spans="3:5">
      <c r="C1298" t="s">
        <v>15</v>
      </c>
      <c r="D1298" t="s">
        <v>16</v>
      </c>
      <c r="E1298">
        <v>0</v>
      </c>
    </row>
    <row r="1299" spans="3:5">
      <c r="C1299" t="s">
        <v>17</v>
      </c>
      <c r="D1299" t="s">
        <v>18</v>
      </c>
      <c r="E1299">
        <v>0</v>
      </c>
    </row>
    <row r="1300" spans="3:5">
      <c r="C1300" t="s">
        <v>17</v>
      </c>
      <c r="D1300" t="s">
        <v>18</v>
      </c>
      <c r="E1300">
        <v>0</v>
      </c>
    </row>
    <row r="1301" spans="3:5">
      <c r="C1301" t="s">
        <v>17</v>
      </c>
      <c r="D1301" t="s">
        <v>18</v>
      </c>
      <c r="E1301">
        <v>0</v>
      </c>
    </row>
    <row r="1302" spans="3:5">
      <c r="C1302" t="s">
        <v>15</v>
      </c>
      <c r="D1302" t="s">
        <v>16</v>
      </c>
      <c r="E1302">
        <v>1</v>
      </c>
    </row>
    <row r="1303" spans="3:5">
      <c r="C1303" t="s">
        <v>17</v>
      </c>
      <c r="D1303" t="s">
        <v>18</v>
      </c>
      <c r="E1303">
        <v>0</v>
      </c>
    </row>
    <row r="1304" spans="3:5">
      <c r="C1304" t="s">
        <v>15</v>
      </c>
      <c r="D1304" t="s">
        <v>16</v>
      </c>
      <c r="E1304">
        <v>0</v>
      </c>
    </row>
    <row r="1305" spans="3:5">
      <c r="C1305" t="s">
        <v>17</v>
      </c>
      <c r="D1305" t="s">
        <v>18</v>
      </c>
      <c r="E1305">
        <v>1</v>
      </c>
    </row>
    <row r="1306" spans="3:5">
      <c r="C1306" t="s">
        <v>17</v>
      </c>
      <c r="D1306" t="s">
        <v>18</v>
      </c>
      <c r="E1306">
        <v>0</v>
      </c>
    </row>
    <row r="1307" spans="3:5">
      <c r="C1307" t="s">
        <v>17</v>
      </c>
      <c r="D1307" t="s">
        <v>18</v>
      </c>
      <c r="E1307">
        <v>0</v>
      </c>
    </row>
    <row r="1308" spans="3:5">
      <c r="C1308" t="s">
        <v>17</v>
      </c>
      <c r="D1308" t="s">
        <v>18</v>
      </c>
      <c r="E1308">
        <v>0</v>
      </c>
    </row>
    <row r="1309" spans="3:5">
      <c r="C1309" t="s">
        <v>17</v>
      </c>
      <c r="D1309" t="s">
        <v>18</v>
      </c>
      <c r="E1309">
        <v>0</v>
      </c>
    </row>
    <row r="1310" spans="3:5">
      <c r="C1310" t="s">
        <v>15</v>
      </c>
      <c r="D1310" t="s">
        <v>16</v>
      </c>
      <c r="E1310">
        <v>0</v>
      </c>
    </row>
    <row r="1311" spans="3:5">
      <c r="C1311" t="s">
        <v>15</v>
      </c>
      <c r="D1311" t="s">
        <v>16</v>
      </c>
      <c r="E1311">
        <v>0</v>
      </c>
    </row>
    <row r="1312" spans="3:5">
      <c r="C1312" t="s">
        <v>15</v>
      </c>
      <c r="D1312" t="s">
        <v>16</v>
      </c>
      <c r="E1312">
        <v>0</v>
      </c>
    </row>
    <row r="1313" spans="3:5">
      <c r="C1313" t="s">
        <v>17</v>
      </c>
      <c r="D1313" t="s">
        <v>18</v>
      </c>
      <c r="E1313">
        <v>0</v>
      </c>
    </row>
    <row r="1314" spans="3:5">
      <c r="C1314" t="s">
        <v>15</v>
      </c>
      <c r="D1314" t="s">
        <v>16</v>
      </c>
      <c r="E1314">
        <v>0</v>
      </c>
    </row>
    <row r="1315" spans="3:5">
      <c r="C1315" t="s">
        <v>17</v>
      </c>
      <c r="D1315" t="s">
        <v>18</v>
      </c>
      <c r="E1315">
        <v>0</v>
      </c>
    </row>
    <row r="1316" spans="3:5">
      <c r="C1316" t="s">
        <v>15</v>
      </c>
      <c r="D1316" t="s">
        <v>16</v>
      </c>
      <c r="E1316">
        <v>0</v>
      </c>
    </row>
    <row r="1317" spans="3:5">
      <c r="C1317" t="s">
        <v>15</v>
      </c>
      <c r="D1317" t="s">
        <v>16</v>
      </c>
      <c r="E1317">
        <v>0</v>
      </c>
    </row>
    <row r="1318" spans="3:5">
      <c r="C1318" t="s">
        <v>17</v>
      </c>
      <c r="D1318" t="s">
        <v>18</v>
      </c>
      <c r="E1318">
        <v>0</v>
      </c>
    </row>
    <row r="1319" spans="3:5">
      <c r="C1319" t="s">
        <v>17</v>
      </c>
      <c r="D1319" t="s">
        <v>18</v>
      </c>
      <c r="E1319">
        <v>0</v>
      </c>
    </row>
    <row r="1320" spans="3:5">
      <c r="C1320" t="s">
        <v>15</v>
      </c>
      <c r="D1320" t="s">
        <v>16</v>
      </c>
      <c r="E1320">
        <v>0</v>
      </c>
    </row>
    <row r="1321" spans="3:5">
      <c r="C1321" t="s">
        <v>17</v>
      </c>
      <c r="D1321" t="s">
        <v>18</v>
      </c>
      <c r="E1321">
        <v>0</v>
      </c>
    </row>
    <row r="1322" spans="3:5">
      <c r="C1322" t="s">
        <v>15</v>
      </c>
      <c r="D1322" t="s">
        <v>16</v>
      </c>
      <c r="E1322">
        <v>1</v>
      </c>
    </row>
    <row r="1323" spans="3:5">
      <c r="C1323" t="s">
        <v>17</v>
      </c>
      <c r="D1323" t="s">
        <v>18</v>
      </c>
      <c r="E1323">
        <v>0</v>
      </c>
    </row>
    <row r="1324" spans="3:5">
      <c r="C1324" t="s">
        <v>17</v>
      </c>
      <c r="D1324" t="s">
        <v>18</v>
      </c>
      <c r="E1324">
        <v>0</v>
      </c>
    </row>
    <row r="1325" spans="3:5">
      <c r="C1325" t="s">
        <v>17</v>
      </c>
      <c r="D1325" t="s">
        <v>18</v>
      </c>
      <c r="E1325">
        <v>0</v>
      </c>
    </row>
    <row r="1326" spans="3:5">
      <c r="C1326" t="s">
        <v>17</v>
      </c>
      <c r="D1326" t="s">
        <v>18</v>
      </c>
      <c r="E1326">
        <v>0</v>
      </c>
    </row>
    <row r="1327" spans="3:5">
      <c r="C1327" t="s">
        <v>17</v>
      </c>
      <c r="D1327" t="s">
        <v>18</v>
      </c>
      <c r="E1327">
        <v>0</v>
      </c>
    </row>
    <row r="1328" spans="3:5">
      <c r="C1328" t="s">
        <v>15</v>
      </c>
      <c r="D1328" t="s">
        <v>16</v>
      </c>
      <c r="E1328">
        <v>0</v>
      </c>
    </row>
    <row r="1329" spans="3:5">
      <c r="C1329" t="s">
        <v>15</v>
      </c>
      <c r="D1329" t="s">
        <v>16</v>
      </c>
      <c r="E1329">
        <v>0</v>
      </c>
    </row>
    <row r="1330" spans="3:5">
      <c r="C1330" t="s">
        <v>15</v>
      </c>
      <c r="D1330" t="s">
        <v>16</v>
      </c>
      <c r="E1330">
        <v>0</v>
      </c>
    </row>
    <row r="1331" spans="3:5">
      <c r="C1331" t="s">
        <v>15</v>
      </c>
      <c r="D1331" t="s">
        <v>16</v>
      </c>
      <c r="E1331">
        <v>0</v>
      </c>
    </row>
    <row r="1332" spans="3:5">
      <c r="C1332" t="s">
        <v>17</v>
      </c>
      <c r="D1332" t="s">
        <v>18</v>
      </c>
      <c r="E1332">
        <v>0</v>
      </c>
    </row>
    <row r="1333" spans="3:5">
      <c r="C1333" t="s">
        <v>15</v>
      </c>
      <c r="D1333" t="s">
        <v>16</v>
      </c>
      <c r="E1333">
        <v>0</v>
      </c>
    </row>
    <row r="1334" spans="3:5">
      <c r="C1334" t="s">
        <v>15</v>
      </c>
      <c r="D1334" t="s">
        <v>16</v>
      </c>
      <c r="E1334">
        <v>0</v>
      </c>
    </row>
    <row r="1335" spans="3:5">
      <c r="C1335" t="s">
        <v>17</v>
      </c>
      <c r="D1335" t="s">
        <v>18</v>
      </c>
      <c r="E1335">
        <v>0</v>
      </c>
    </row>
    <row r="1336" spans="3:5">
      <c r="C1336" t="s">
        <v>17</v>
      </c>
      <c r="D1336" t="s">
        <v>18</v>
      </c>
      <c r="E1336">
        <v>0</v>
      </c>
    </row>
    <row r="1337" spans="3:5">
      <c r="C1337" t="s">
        <v>17</v>
      </c>
      <c r="D1337" t="s">
        <v>18</v>
      </c>
      <c r="E1337">
        <v>0</v>
      </c>
    </row>
    <row r="1338" spans="3:5">
      <c r="C1338" t="s">
        <v>17</v>
      </c>
      <c r="D1338" t="s">
        <v>18</v>
      </c>
      <c r="E1338">
        <v>0</v>
      </c>
    </row>
    <row r="1339" spans="3:5">
      <c r="C1339" t="s">
        <v>15</v>
      </c>
      <c r="D1339" t="s">
        <v>16</v>
      </c>
      <c r="E1339">
        <v>0</v>
      </c>
    </row>
    <row r="1340" spans="3:5">
      <c r="C1340" t="s">
        <v>17</v>
      </c>
      <c r="D1340" t="s">
        <v>18</v>
      </c>
      <c r="E1340">
        <v>0</v>
      </c>
    </row>
    <row r="1341" spans="3:5">
      <c r="C1341" t="s">
        <v>15</v>
      </c>
      <c r="D1341" t="s">
        <v>16</v>
      </c>
      <c r="E1341">
        <v>0</v>
      </c>
    </row>
    <row r="1342" spans="3:5">
      <c r="C1342" t="s">
        <v>15</v>
      </c>
      <c r="D1342" t="s">
        <v>16</v>
      </c>
      <c r="E1342">
        <v>0</v>
      </c>
    </row>
    <row r="1343" spans="3:5">
      <c r="C1343" t="s">
        <v>17</v>
      </c>
      <c r="D1343" t="s">
        <v>18</v>
      </c>
      <c r="E1343">
        <v>0</v>
      </c>
    </row>
    <row r="1344" spans="3:5">
      <c r="C1344" t="s">
        <v>15</v>
      </c>
      <c r="D1344" t="s">
        <v>16</v>
      </c>
      <c r="E1344">
        <v>0</v>
      </c>
    </row>
    <row r="1345" spans="3:5">
      <c r="C1345" t="s">
        <v>17</v>
      </c>
      <c r="D1345" t="s">
        <v>18</v>
      </c>
      <c r="E1345">
        <v>0</v>
      </c>
    </row>
    <row r="1346" spans="3:5">
      <c r="C1346" t="s">
        <v>15</v>
      </c>
      <c r="D1346" t="s">
        <v>16</v>
      </c>
      <c r="E1346">
        <v>0</v>
      </c>
    </row>
    <row r="1347" spans="3:5">
      <c r="C1347" t="s">
        <v>17</v>
      </c>
      <c r="D1347" t="s">
        <v>18</v>
      </c>
      <c r="E1347">
        <v>0</v>
      </c>
    </row>
    <row r="1348" spans="3:5">
      <c r="C1348" t="s">
        <v>15</v>
      </c>
      <c r="D1348" t="s">
        <v>16</v>
      </c>
      <c r="E1348">
        <v>0</v>
      </c>
    </row>
    <row r="1349" spans="3:5">
      <c r="C1349" t="s">
        <v>17</v>
      </c>
      <c r="D1349" t="s">
        <v>18</v>
      </c>
      <c r="E1349">
        <v>0</v>
      </c>
    </row>
    <row r="1350" spans="3:5">
      <c r="C1350" t="s">
        <v>17</v>
      </c>
      <c r="D1350" t="s">
        <v>18</v>
      </c>
      <c r="E1350">
        <v>0</v>
      </c>
    </row>
    <row r="1351" spans="3:5">
      <c r="C1351" t="s">
        <v>17</v>
      </c>
      <c r="D1351" t="s">
        <v>18</v>
      </c>
      <c r="E1351">
        <v>0</v>
      </c>
    </row>
    <row r="1352" spans="3:5">
      <c r="C1352" t="s">
        <v>17</v>
      </c>
      <c r="D1352" t="s">
        <v>18</v>
      </c>
      <c r="E1352">
        <v>0</v>
      </c>
    </row>
    <row r="1353" spans="3:5">
      <c r="C1353" t="s">
        <v>15</v>
      </c>
      <c r="D1353" t="s">
        <v>16</v>
      </c>
      <c r="E1353">
        <v>0</v>
      </c>
    </row>
    <row r="1354" spans="3:5">
      <c r="C1354" t="s">
        <v>15</v>
      </c>
      <c r="D1354" t="s">
        <v>16</v>
      </c>
      <c r="E1354">
        <v>0</v>
      </c>
    </row>
    <row r="1355" spans="3:5">
      <c r="C1355" t="s">
        <v>17</v>
      </c>
      <c r="D1355" t="s">
        <v>18</v>
      </c>
      <c r="E1355">
        <v>0</v>
      </c>
    </row>
    <row r="1356" spans="3:5">
      <c r="C1356" t="s">
        <v>17</v>
      </c>
      <c r="D1356" t="s">
        <v>18</v>
      </c>
      <c r="E1356">
        <v>0</v>
      </c>
    </row>
    <row r="1357" spans="3:5">
      <c r="C1357" t="s">
        <v>17</v>
      </c>
      <c r="D1357" t="s">
        <v>18</v>
      </c>
      <c r="E1357">
        <v>0</v>
      </c>
    </row>
    <row r="1358" spans="3:5">
      <c r="C1358" t="s">
        <v>15</v>
      </c>
      <c r="D1358" t="s">
        <v>16</v>
      </c>
      <c r="E1358">
        <v>0</v>
      </c>
    </row>
    <row r="1359" spans="3:5">
      <c r="C1359" t="s">
        <v>15</v>
      </c>
      <c r="D1359" t="s">
        <v>16</v>
      </c>
      <c r="E1359">
        <v>0</v>
      </c>
    </row>
    <row r="1360" spans="3:5">
      <c r="C1360" t="s">
        <v>17</v>
      </c>
      <c r="D1360" t="s">
        <v>18</v>
      </c>
      <c r="E1360">
        <v>0</v>
      </c>
    </row>
    <row r="1361" spans="3:5">
      <c r="C1361" t="s">
        <v>15</v>
      </c>
      <c r="D1361" t="s">
        <v>16</v>
      </c>
      <c r="E1361">
        <v>0</v>
      </c>
    </row>
    <row r="1362" spans="3:5">
      <c r="C1362" t="s">
        <v>17</v>
      </c>
      <c r="D1362" t="s">
        <v>18</v>
      </c>
      <c r="E1362">
        <v>0</v>
      </c>
    </row>
    <row r="1363" spans="3:5">
      <c r="C1363" t="s">
        <v>17</v>
      </c>
      <c r="D1363" t="s">
        <v>18</v>
      </c>
      <c r="E1363">
        <v>0</v>
      </c>
    </row>
    <row r="1364" spans="3:5">
      <c r="C1364" t="s">
        <v>15</v>
      </c>
      <c r="D1364" t="s">
        <v>16</v>
      </c>
      <c r="E1364">
        <v>0</v>
      </c>
    </row>
    <row r="1365" spans="3:5">
      <c r="C1365" t="s">
        <v>17</v>
      </c>
      <c r="D1365" t="s">
        <v>18</v>
      </c>
      <c r="E1365">
        <v>0</v>
      </c>
    </row>
    <row r="1366" spans="3:5">
      <c r="C1366" t="s">
        <v>15</v>
      </c>
      <c r="D1366" t="s">
        <v>16</v>
      </c>
      <c r="E1366">
        <v>0</v>
      </c>
    </row>
    <row r="1367" spans="3:5">
      <c r="C1367" t="s">
        <v>15</v>
      </c>
      <c r="D1367" t="s">
        <v>16</v>
      </c>
      <c r="E1367">
        <v>0</v>
      </c>
    </row>
    <row r="1368" spans="3:5">
      <c r="C1368" t="s">
        <v>17</v>
      </c>
      <c r="D1368" t="s">
        <v>18</v>
      </c>
      <c r="E1368">
        <v>1</v>
      </c>
    </row>
    <row r="1369" spans="3:5">
      <c r="C1369" t="s">
        <v>15</v>
      </c>
      <c r="D1369" t="s">
        <v>16</v>
      </c>
      <c r="E1369">
        <v>0</v>
      </c>
    </row>
    <row r="1370" spans="3:5">
      <c r="C1370" t="s">
        <v>15</v>
      </c>
      <c r="D1370" t="s">
        <v>16</v>
      </c>
      <c r="E1370">
        <v>0</v>
      </c>
    </row>
    <row r="1371" spans="3:5">
      <c r="C1371" t="s">
        <v>17</v>
      </c>
      <c r="D1371" t="s">
        <v>18</v>
      </c>
      <c r="E1371">
        <v>0</v>
      </c>
    </row>
    <row r="1372" spans="3:5">
      <c r="C1372" t="s">
        <v>17</v>
      </c>
      <c r="D1372" t="s">
        <v>18</v>
      </c>
      <c r="E1372">
        <v>0</v>
      </c>
    </row>
    <row r="1373" spans="3:5">
      <c r="C1373" t="s">
        <v>15</v>
      </c>
      <c r="D1373" t="s">
        <v>16</v>
      </c>
      <c r="E1373">
        <v>0</v>
      </c>
    </row>
    <row r="1374" spans="3:5">
      <c r="C1374" t="s">
        <v>17</v>
      </c>
      <c r="D1374" t="s">
        <v>18</v>
      </c>
      <c r="E1374">
        <v>1</v>
      </c>
    </row>
    <row r="1375" spans="3:5">
      <c r="C1375" t="s">
        <v>15</v>
      </c>
      <c r="D1375" t="s">
        <v>16</v>
      </c>
      <c r="E1375">
        <v>0</v>
      </c>
    </row>
    <row r="1376" spans="3:5">
      <c r="C1376" t="s">
        <v>15</v>
      </c>
      <c r="D1376" t="s">
        <v>16</v>
      </c>
      <c r="E1376">
        <v>0</v>
      </c>
    </row>
    <row r="1377" spans="3:5">
      <c r="C1377" t="s">
        <v>17</v>
      </c>
      <c r="D1377" t="s">
        <v>18</v>
      </c>
      <c r="E1377">
        <v>0</v>
      </c>
    </row>
    <row r="1378" spans="3:5">
      <c r="C1378" t="s">
        <v>17</v>
      </c>
      <c r="D1378" t="s">
        <v>18</v>
      </c>
      <c r="E1378">
        <v>0</v>
      </c>
    </row>
    <row r="1379" spans="3:5">
      <c r="C1379" t="s">
        <v>17</v>
      </c>
      <c r="D1379" t="s">
        <v>18</v>
      </c>
      <c r="E1379">
        <v>0</v>
      </c>
    </row>
    <row r="1380" spans="3:5">
      <c r="C1380" t="s">
        <v>15</v>
      </c>
      <c r="D1380" t="s">
        <v>16</v>
      </c>
      <c r="E1380">
        <v>0</v>
      </c>
    </row>
    <row r="1381" spans="3:5">
      <c r="C1381" t="s">
        <v>17</v>
      </c>
      <c r="D1381" t="s">
        <v>18</v>
      </c>
      <c r="E1381">
        <v>0</v>
      </c>
    </row>
    <row r="1382" spans="3:5">
      <c r="C1382" t="s">
        <v>17</v>
      </c>
      <c r="D1382" t="s">
        <v>18</v>
      </c>
      <c r="E1382">
        <v>0</v>
      </c>
    </row>
    <row r="1383" spans="3:5">
      <c r="C1383" t="s">
        <v>15</v>
      </c>
      <c r="D1383" t="s">
        <v>16</v>
      </c>
      <c r="E1383">
        <v>0</v>
      </c>
    </row>
    <row r="1384" spans="3:5">
      <c r="C1384" t="s">
        <v>17</v>
      </c>
      <c r="D1384" t="s">
        <v>18</v>
      </c>
      <c r="E1384">
        <v>0</v>
      </c>
    </row>
    <row r="1385" spans="3:5">
      <c r="C1385" t="s">
        <v>15</v>
      </c>
      <c r="D1385" t="s">
        <v>16</v>
      </c>
      <c r="E1385">
        <v>0</v>
      </c>
    </row>
    <row r="1386" spans="3:5">
      <c r="C1386" t="s">
        <v>17</v>
      </c>
      <c r="D1386" t="s">
        <v>18</v>
      </c>
      <c r="E1386">
        <v>0</v>
      </c>
    </row>
    <row r="1387" spans="3:5">
      <c r="C1387" t="s">
        <v>17</v>
      </c>
      <c r="D1387" t="s">
        <v>18</v>
      </c>
      <c r="E1387">
        <v>0</v>
      </c>
    </row>
    <row r="1388" spans="3:5">
      <c r="C1388" t="s">
        <v>17</v>
      </c>
      <c r="D1388" t="s">
        <v>18</v>
      </c>
      <c r="E1388">
        <v>0</v>
      </c>
    </row>
    <row r="1389" spans="3:5">
      <c r="C1389" t="s">
        <v>15</v>
      </c>
      <c r="D1389" t="s">
        <v>16</v>
      </c>
      <c r="E1389">
        <v>0</v>
      </c>
    </row>
    <row r="1390" spans="3:5">
      <c r="C1390" t="s">
        <v>17</v>
      </c>
      <c r="D1390" t="s">
        <v>18</v>
      </c>
      <c r="E1390">
        <v>0</v>
      </c>
    </row>
    <row r="1391" spans="3:5">
      <c r="C1391" t="s">
        <v>15</v>
      </c>
      <c r="D1391" t="s">
        <v>16</v>
      </c>
      <c r="E1391">
        <v>0</v>
      </c>
    </row>
    <row r="1392" spans="3:5">
      <c r="C1392" t="s">
        <v>15</v>
      </c>
      <c r="D1392" t="s">
        <v>16</v>
      </c>
      <c r="E1392">
        <v>0</v>
      </c>
    </row>
    <row r="1393" spans="3:5">
      <c r="C1393" t="s">
        <v>17</v>
      </c>
      <c r="D1393" t="s">
        <v>18</v>
      </c>
      <c r="E1393">
        <v>0</v>
      </c>
    </row>
    <row r="1394" spans="3:5">
      <c r="C1394" t="s">
        <v>15</v>
      </c>
      <c r="D1394" t="s">
        <v>16</v>
      </c>
      <c r="E1394">
        <v>0</v>
      </c>
    </row>
    <row r="1395" spans="3:5">
      <c r="C1395" t="s">
        <v>17</v>
      </c>
      <c r="D1395" t="s">
        <v>18</v>
      </c>
      <c r="E1395">
        <v>0</v>
      </c>
    </row>
    <row r="1396" spans="3:5">
      <c r="C1396" t="s">
        <v>15</v>
      </c>
      <c r="D1396" t="s">
        <v>16</v>
      </c>
      <c r="E1396">
        <v>0</v>
      </c>
    </row>
    <row r="1397" spans="3:5">
      <c r="C1397" t="s">
        <v>15</v>
      </c>
      <c r="D1397" t="s">
        <v>16</v>
      </c>
      <c r="E1397">
        <v>0</v>
      </c>
    </row>
    <row r="1398" spans="3:5">
      <c r="C1398" t="s">
        <v>17</v>
      </c>
      <c r="D1398" t="s">
        <v>18</v>
      </c>
      <c r="E1398">
        <v>0</v>
      </c>
    </row>
    <row r="1399" spans="3:5">
      <c r="C1399" t="s">
        <v>17</v>
      </c>
      <c r="D1399" t="s">
        <v>18</v>
      </c>
      <c r="E1399">
        <v>0</v>
      </c>
    </row>
    <row r="1400" spans="3:5">
      <c r="C1400" t="s">
        <v>17</v>
      </c>
      <c r="D1400" t="s">
        <v>18</v>
      </c>
      <c r="E1400">
        <v>0</v>
      </c>
    </row>
    <row r="1401" spans="3:5">
      <c r="C1401" t="s">
        <v>15</v>
      </c>
      <c r="D1401" t="s">
        <v>16</v>
      </c>
      <c r="E1401">
        <v>0</v>
      </c>
    </row>
    <row r="1402" spans="3:5">
      <c r="C1402" t="s">
        <v>17</v>
      </c>
      <c r="D1402" t="s">
        <v>18</v>
      </c>
      <c r="E1402">
        <v>0</v>
      </c>
    </row>
    <row r="1403" spans="3:5">
      <c r="C1403" t="s">
        <v>17</v>
      </c>
      <c r="D1403" t="s">
        <v>18</v>
      </c>
      <c r="E1403">
        <v>0</v>
      </c>
    </row>
    <row r="1404" spans="3:5">
      <c r="C1404" t="s">
        <v>17</v>
      </c>
      <c r="D1404" t="s">
        <v>18</v>
      </c>
      <c r="E1404">
        <v>1</v>
      </c>
    </row>
    <row r="1405" spans="3:5">
      <c r="C1405" t="s">
        <v>17</v>
      </c>
      <c r="D1405" t="s">
        <v>18</v>
      </c>
      <c r="E1405">
        <v>0</v>
      </c>
    </row>
    <row r="1406" spans="3:5">
      <c r="C1406" t="s">
        <v>15</v>
      </c>
      <c r="D1406" t="s">
        <v>16</v>
      </c>
      <c r="E1406">
        <v>0</v>
      </c>
    </row>
    <row r="1407" spans="3:5">
      <c r="C1407" t="s">
        <v>17</v>
      </c>
      <c r="D1407" t="s">
        <v>18</v>
      </c>
      <c r="E1407">
        <v>0</v>
      </c>
    </row>
    <row r="1408" spans="3:5">
      <c r="C1408" t="s">
        <v>15</v>
      </c>
      <c r="D1408" t="s">
        <v>16</v>
      </c>
      <c r="E1408">
        <v>0</v>
      </c>
    </row>
    <row r="1409" spans="3:5">
      <c r="C1409" t="s">
        <v>15</v>
      </c>
      <c r="D1409" t="s">
        <v>16</v>
      </c>
      <c r="E1409">
        <v>0</v>
      </c>
    </row>
    <row r="1410" spans="3:5">
      <c r="C1410" t="s">
        <v>17</v>
      </c>
      <c r="D1410" t="s">
        <v>18</v>
      </c>
      <c r="E1410">
        <v>0</v>
      </c>
    </row>
    <row r="1411" spans="3:5">
      <c r="C1411" t="s">
        <v>15</v>
      </c>
      <c r="D1411" t="s">
        <v>16</v>
      </c>
      <c r="E1411">
        <v>0</v>
      </c>
    </row>
    <row r="1412" spans="3:5">
      <c r="C1412" t="s">
        <v>17</v>
      </c>
      <c r="D1412" t="s">
        <v>18</v>
      </c>
      <c r="E1412">
        <v>0</v>
      </c>
    </row>
    <row r="1413" spans="3:5">
      <c r="C1413" t="s">
        <v>17</v>
      </c>
      <c r="D1413" t="s">
        <v>18</v>
      </c>
      <c r="E1413">
        <v>0</v>
      </c>
    </row>
    <row r="1414" spans="3:5">
      <c r="C1414" t="s">
        <v>15</v>
      </c>
      <c r="D1414" t="s">
        <v>16</v>
      </c>
      <c r="E1414">
        <v>0</v>
      </c>
    </row>
    <row r="1415" spans="3:5">
      <c r="C1415" t="s">
        <v>17</v>
      </c>
      <c r="D1415" t="s">
        <v>18</v>
      </c>
      <c r="E1415">
        <v>0</v>
      </c>
    </row>
    <row r="1416" spans="3:5">
      <c r="C1416" t="s">
        <v>15</v>
      </c>
      <c r="D1416" t="s">
        <v>16</v>
      </c>
      <c r="E1416">
        <v>0</v>
      </c>
    </row>
    <row r="1417" spans="3:5">
      <c r="C1417" t="s">
        <v>15</v>
      </c>
      <c r="D1417" t="s">
        <v>16</v>
      </c>
      <c r="E1417">
        <v>0</v>
      </c>
    </row>
    <row r="1418" spans="3:5">
      <c r="C1418" t="s">
        <v>15</v>
      </c>
      <c r="D1418" t="s">
        <v>16</v>
      </c>
      <c r="E1418">
        <v>0</v>
      </c>
    </row>
    <row r="1419" spans="3:5">
      <c r="C1419" t="s">
        <v>17</v>
      </c>
      <c r="D1419" t="s">
        <v>18</v>
      </c>
      <c r="E1419">
        <v>0</v>
      </c>
    </row>
    <row r="1420" spans="3:5">
      <c r="C1420" t="s">
        <v>15</v>
      </c>
      <c r="D1420" t="s">
        <v>16</v>
      </c>
      <c r="E1420">
        <v>0</v>
      </c>
    </row>
    <row r="1421" spans="3:5">
      <c r="C1421" t="s">
        <v>15</v>
      </c>
      <c r="D1421" t="s">
        <v>16</v>
      </c>
      <c r="E1421">
        <v>1</v>
      </c>
    </row>
    <row r="1422" spans="3:5">
      <c r="C1422" t="s">
        <v>17</v>
      </c>
      <c r="D1422" t="s">
        <v>18</v>
      </c>
      <c r="E1422">
        <v>0</v>
      </c>
    </row>
    <row r="1423" spans="3:5">
      <c r="C1423" t="s">
        <v>15</v>
      </c>
      <c r="D1423" t="s">
        <v>16</v>
      </c>
      <c r="E1423">
        <v>0</v>
      </c>
    </row>
    <row r="1424" spans="3:5">
      <c r="C1424" t="s">
        <v>15</v>
      </c>
      <c r="D1424" t="s">
        <v>16</v>
      </c>
      <c r="E1424">
        <v>0</v>
      </c>
    </row>
    <row r="1425" spans="3:5">
      <c r="C1425" t="s">
        <v>15</v>
      </c>
      <c r="D1425" t="s">
        <v>16</v>
      </c>
      <c r="E1425">
        <v>0</v>
      </c>
    </row>
    <row r="1426" spans="3:5">
      <c r="C1426" t="s">
        <v>17</v>
      </c>
      <c r="D1426" t="s">
        <v>18</v>
      </c>
      <c r="E1426">
        <v>0</v>
      </c>
    </row>
    <row r="1427" spans="3:5">
      <c r="C1427" t="s">
        <v>17</v>
      </c>
      <c r="D1427" t="s">
        <v>18</v>
      </c>
      <c r="E1427">
        <v>0</v>
      </c>
    </row>
    <row r="1428" spans="3:5">
      <c r="C1428" t="s">
        <v>15</v>
      </c>
      <c r="D1428" t="s">
        <v>16</v>
      </c>
      <c r="E1428">
        <v>0</v>
      </c>
    </row>
    <row r="1429" spans="3:5">
      <c r="C1429" t="s">
        <v>17</v>
      </c>
      <c r="D1429" t="s">
        <v>18</v>
      </c>
      <c r="E1429">
        <v>0</v>
      </c>
    </row>
    <row r="1430" spans="3:5">
      <c r="C1430" t="s">
        <v>17</v>
      </c>
      <c r="D1430" t="s">
        <v>18</v>
      </c>
      <c r="E1430">
        <v>0</v>
      </c>
    </row>
    <row r="1431" spans="3:5">
      <c r="C1431" t="s">
        <v>17</v>
      </c>
      <c r="D1431" t="s">
        <v>18</v>
      </c>
      <c r="E1431">
        <v>0</v>
      </c>
    </row>
    <row r="1432" spans="3:5">
      <c r="C1432" t="s">
        <v>17</v>
      </c>
      <c r="D1432" t="s">
        <v>18</v>
      </c>
      <c r="E1432">
        <v>0</v>
      </c>
    </row>
    <row r="1433" spans="3:5">
      <c r="C1433" t="s">
        <v>17</v>
      </c>
      <c r="D1433" t="s">
        <v>18</v>
      </c>
      <c r="E1433">
        <v>0</v>
      </c>
    </row>
    <row r="1434" spans="3:5">
      <c r="C1434" t="s">
        <v>15</v>
      </c>
      <c r="D1434" t="s">
        <v>16</v>
      </c>
      <c r="E1434">
        <v>0</v>
      </c>
    </row>
    <row r="1435" spans="3:5">
      <c r="C1435" t="s">
        <v>17</v>
      </c>
      <c r="D1435" t="s">
        <v>18</v>
      </c>
      <c r="E1435">
        <v>0</v>
      </c>
    </row>
    <row r="1436" spans="3:5">
      <c r="C1436" t="s">
        <v>17</v>
      </c>
      <c r="D1436" t="s">
        <v>18</v>
      </c>
      <c r="E1436">
        <v>0</v>
      </c>
    </row>
    <row r="1437" spans="3:5">
      <c r="C1437" t="s">
        <v>15</v>
      </c>
      <c r="D1437" t="s">
        <v>16</v>
      </c>
      <c r="E1437">
        <v>0</v>
      </c>
    </row>
    <row r="1438" spans="3:5">
      <c r="C1438" t="s">
        <v>17</v>
      </c>
      <c r="D1438" t="s">
        <v>18</v>
      </c>
      <c r="E1438">
        <v>0</v>
      </c>
    </row>
    <row r="1439" spans="3:5">
      <c r="C1439" t="s">
        <v>17</v>
      </c>
      <c r="D1439" t="s">
        <v>18</v>
      </c>
      <c r="E1439">
        <v>0</v>
      </c>
    </row>
    <row r="1440" spans="3:5">
      <c r="C1440" t="s">
        <v>17</v>
      </c>
      <c r="D1440" t="s">
        <v>18</v>
      </c>
      <c r="E1440">
        <v>0</v>
      </c>
    </row>
    <row r="1441" spans="3:5">
      <c r="C1441" t="s">
        <v>17</v>
      </c>
      <c r="D1441" t="s">
        <v>18</v>
      </c>
      <c r="E1441">
        <v>0</v>
      </c>
    </row>
    <row r="1442" spans="3:5">
      <c r="C1442" t="s">
        <v>15</v>
      </c>
      <c r="D1442" t="s">
        <v>16</v>
      </c>
      <c r="E1442">
        <v>0</v>
      </c>
    </row>
    <row r="1443" spans="3:5">
      <c r="C1443" t="s">
        <v>17</v>
      </c>
      <c r="D1443" t="s">
        <v>18</v>
      </c>
      <c r="E1443">
        <v>0</v>
      </c>
    </row>
    <row r="1444" spans="3:5">
      <c r="C1444" t="s">
        <v>17</v>
      </c>
      <c r="D1444" t="s">
        <v>18</v>
      </c>
      <c r="E1444">
        <v>0</v>
      </c>
    </row>
    <row r="1445" spans="3:5">
      <c r="C1445" t="s">
        <v>15</v>
      </c>
      <c r="D1445" t="s">
        <v>16</v>
      </c>
      <c r="E1445">
        <v>0</v>
      </c>
    </row>
    <row r="1446" spans="3:5">
      <c r="C1446" t="s">
        <v>15</v>
      </c>
      <c r="D1446" t="s">
        <v>16</v>
      </c>
      <c r="E1446">
        <v>0</v>
      </c>
    </row>
    <row r="1447" spans="3:5">
      <c r="C1447" t="s">
        <v>17</v>
      </c>
      <c r="D1447" t="s">
        <v>18</v>
      </c>
      <c r="E1447">
        <v>0</v>
      </c>
    </row>
    <row r="1448" spans="3:5">
      <c r="C1448" t="s">
        <v>17</v>
      </c>
      <c r="D1448" t="s">
        <v>18</v>
      </c>
      <c r="E1448">
        <v>0</v>
      </c>
    </row>
    <row r="1449" spans="3:5">
      <c r="C1449" t="s">
        <v>17</v>
      </c>
      <c r="D1449" t="s">
        <v>18</v>
      </c>
      <c r="E1449">
        <v>0</v>
      </c>
    </row>
    <row r="1450" spans="3:5">
      <c r="C1450" t="s">
        <v>15</v>
      </c>
      <c r="D1450" t="s">
        <v>16</v>
      </c>
      <c r="E1450">
        <v>0</v>
      </c>
    </row>
    <row r="1451" spans="3:5">
      <c r="C1451" t="s">
        <v>15</v>
      </c>
      <c r="D1451" t="s">
        <v>16</v>
      </c>
      <c r="E1451">
        <v>0</v>
      </c>
    </row>
    <row r="1452" spans="3:5">
      <c r="C1452" t="s">
        <v>15</v>
      </c>
      <c r="D1452" t="s">
        <v>16</v>
      </c>
      <c r="E1452">
        <v>0</v>
      </c>
    </row>
    <row r="1453" spans="3:5">
      <c r="C1453" t="s">
        <v>17</v>
      </c>
      <c r="D1453" t="s">
        <v>18</v>
      </c>
      <c r="E1453">
        <v>0</v>
      </c>
    </row>
    <row r="1454" spans="3:5">
      <c r="C1454" t="s">
        <v>17</v>
      </c>
      <c r="D1454" t="s">
        <v>18</v>
      </c>
      <c r="E1454">
        <v>0</v>
      </c>
    </row>
    <row r="1455" spans="3:5">
      <c r="C1455" t="s">
        <v>17</v>
      </c>
      <c r="D1455" t="s">
        <v>18</v>
      </c>
      <c r="E1455">
        <v>0</v>
      </c>
    </row>
    <row r="1456" spans="3:5">
      <c r="C1456" t="s">
        <v>15</v>
      </c>
      <c r="D1456" t="s">
        <v>16</v>
      </c>
      <c r="E1456">
        <v>0</v>
      </c>
    </row>
    <row r="1457" spans="3:5">
      <c r="C1457" t="s">
        <v>15</v>
      </c>
      <c r="D1457" t="s">
        <v>16</v>
      </c>
      <c r="E1457">
        <v>0</v>
      </c>
    </row>
    <row r="1458" spans="3:5">
      <c r="C1458" t="s">
        <v>15</v>
      </c>
      <c r="D1458" t="s">
        <v>16</v>
      </c>
      <c r="E1458">
        <v>0</v>
      </c>
    </row>
    <row r="1459" spans="3:5">
      <c r="C1459" t="s">
        <v>17</v>
      </c>
      <c r="D1459" t="s">
        <v>18</v>
      </c>
      <c r="E1459">
        <v>0</v>
      </c>
    </row>
    <row r="1460" spans="3:5">
      <c r="C1460" t="s">
        <v>17</v>
      </c>
      <c r="D1460" t="s">
        <v>18</v>
      </c>
      <c r="E1460">
        <v>0</v>
      </c>
    </row>
    <row r="1461" spans="3:5">
      <c r="C1461" t="s">
        <v>15</v>
      </c>
      <c r="D1461" t="s">
        <v>16</v>
      </c>
      <c r="E1461">
        <v>0</v>
      </c>
    </row>
    <row r="1462" spans="3:5">
      <c r="C1462" t="s">
        <v>15</v>
      </c>
      <c r="D1462" t="s">
        <v>16</v>
      </c>
      <c r="E1462">
        <v>0</v>
      </c>
    </row>
    <row r="1463" spans="3:5">
      <c r="C1463" t="s">
        <v>17</v>
      </c>
      <c r="D1463" t="s">
        <v>18</v>
      </c>
      <c r="E1463">
        <v>0</v>
      </c>
    </row>
    <row r="1464" spans="3:5">
      <c r="C1464" t="s">
        <v>15</v>
      </c>
      <c r="D1464" t="s">
        <v>16</v>
      </c>
      <c r="E1464">
        <v>0</v>
      </c>
    </row>
    <row r="1465" spans="3:5">
      <c r="C1465" t="s">
        <v>15</v>
      </c>
      <c r="D1465" t="s">
        <v>16</v>
      </c>
      <c r="E1465">
        <v>0</v>
      </c>
    </row>
    <row r="1466" spans="3:5">
      <c r="C1466" t="s">
        <v>15</v>
      </c>
      <c r="D1466" t="s">
        <v>16</v>
      </c>
      <c r="E1466">
        <v>0</v>
      </c>
    </row>
    <row r="1467" spans="3:5">
      <c r="C1467" t="s">
        <v>15</v>
      </c>
      <c r="D1467" t="s">
        <v>16</v>
      </c>
      <c r="E1467">
        <v>0</v>
      </c>
    </row>
    <row r="1468" spans="3:5">
      <c r="C1468" t="s">
        <v>17</v>
      </c>
      <c r="D1468" t="s">
        <v>18</v>
      </c>
      <c r="E1468">
        <v>0</v>
      </c>
    </row>
    <row r="1469" spans="3:5">
      <c r="C1469" t="s">
        <v>15</v>
      </c>
      <c r="D1469" t="s">
        <v>16</v>
      </c>
      <c r="E1469">
        <v>1</v>
      </c>
    </row>
    <row r="1470" spans="3:5">
      <c r="C1470" t="s">
        <v>15</v>
      </c>
      <c r="D1470" t="s">
        <v>16</v>
      </c>
      <c r="E1470">
        <v>0</v>
      </c>
    </row>
    <row r="1471" spans="3:5">
      <c r="C1471" t="s">
        <v>17</v>
      </c>
      <c r="D1471" t="s">
        <v>18</v>
      </c>
      <c r="E1471">
        <v>0</v>
      </c>
    </row>
    <row r="1472" spans="3:5">
      <c r="C1472" t="s">
        <v>15</v>
      </c>
      <c r="D1472" t="s">
        <v>16</v>
      </c>
      <c r="E1472">
        <v>0</v>
      </c>
    </row>
    <row r="1473" spans="3:5">
      <c r="C1473" t="s">
        <v>15</v>
      </c>
      <c r="D1473" t="s">
        <v>16</v>
      </c>
      <c r="E1473">
        <v>0</v>
      </c>
    </row>
    <row r="1474" spans="3:5">
      <c r="C1474" t="s">
        <v>17</v>
      </c>
      <c r="D1474" t="s">
        <v>18</v>
      </c>
      <c r="E1474">
        <v>0</v>
      </c>
    </row>
    <row r="1475" spans="3:5">
      <c r="C1475" t="s">
        <v>15</v>
      </c>
      <c r="D1475" t="s">
        <v>16</v>
      </c>
      <c r="E1475">
        <v>0</v>
      </c>
    </row>
    <row r="1476" spans="3:5">
      <c r="C1476" t="s">
        <v>17</v>
      </c>
      <c r="D1476" t="s">
        <v>18</v>
      </c>
      <c r="E1476">
        <v>0</v>
      </c>
    </row>
    <row r="1477" spans="3:5">
      <c r="C1477" t="s">
        <v>15</v>
      </c>
      <c r="D1477" t="s">
        <v>16</v>
      </c>
      <c r="E1477">
        <v>0</v>
      </c>
    </row>
    <row r="1478" spans="3:5">
      <c r="C1478" t="s">
        <v>15</v>
      </c>
      <c r="D1478" t="s">
        <v>16</v>
      </c>
      <c r="E1478">
        <v>0</v>
      </c>
    </row>
    <row r="1479" spans="3:5">
      <c r="C1479" t="s">
        <v>17</v>
      </c>
      <c r="D1479" t="s">
        <v>18</v>
      </c>
      <c r="E1479">
        <v>0</v>
      </c>
    </row>
    <row r="1480" spans="3:5">
      <c r="C1480" t="s">
        <v>15</v>
      </c>
      <c r="D1480" t="s">
        <v>16</v>
      </c>
      <c r="E1480">
        <v>0</v>
      </c>
    </row>
    <row r="1481" spans="3:5">
      <c r="C1481" t="s">
        <v>17</v>
      </c>
      <c r="D1481" t="s">
        <v>18</v>
      </c>
      <c r="E1481">
        <v>0</v>
      </c>
    </row>
    <row r="1482" spans="3:5">
      <c r="C1482" t="s">
        <v>17</v>
      </c>
      <c r="D1482" t="s">
        <v>18</v>
      </c>
      <c r="E1482">
        <v>0</v>
      </c>
    </row>
    <row r="1483" spans="3:5">
      <c r="C1483" t="s">
        <v>15</v>
      </c>
      <c r="D1483" t="s">
        <v>16</v>
      </c>
      <c r="E1483">
        <v>0</v>
      </c>
    </row>
    <row r="1484" spans="3:5">
      <c r="C1484" t="s">
        <v>15</v>
      </c>
      <c r="D1484" t="s">
        <v>16</v>
      </c>
      <c r="E1484">
        <v>0</v>
      </c>
    </row>
    <row r="1485" spans="3:5">
      <c r="C1485" t="s">
        <v>17</v>
      </c>
      <c r="D1485" t="s">
        <v>18</v>
      </c>
      <c r="E1485">
        <v>0</v>
      </c>
    </row>
    <row r="1486" spans="3:5">
      <c r="C1486" t="s">
        <v>17</v>
      </c>
      <c r="D1486" t="s">
        <v>18</v>
      </c>
      <c r="E1486">
        <v>1</v>
      </c>
    </row>
    <row r="1487" spans="3:5">
      <c r="C1487" t="s">
        <v>17</v>
      </c>
      <c r="D1487" t="s">
        <v>18</v>
      </c>
      <c r="E1487">
        <v>0</v>
      </c>
    </row>
    <row r="1488" spans="3:5">
      <c r="C1488" t="s">
        <v>15</v>
      </c>
      <c r="D1488" t="s">
        <v>16</v>
      </c>
      <c r="E1488">
        <v>0</v>
      </c>
    </row>
    <row r="1489" spans="3:5">
      <c r="C1489" t="s">
        <v>17</v>
      </c>
      <c r="D1489" t="s">
        <v>18</v>
      </c>
      <c r="E1489">
        <v>0</v>
      </c>
    </row>
    <row r="1490" spans="3:5">
      <c r="C1490" t="s">
        <v>15</v>
      </c>
      <c r="D1490" t="s">
        <v>16</v>
      </c>
      <c r="E1490">
        <v>0</v>
      </c>
    </row>
    <row r="1491" spans="3:5">
      <c r="C1491" t="s">
        <v>15</v>
      </c>
      <c r="D1491" t="s">
        <v>16</v>
      </c>
      <c r="E1491">
        <v>0</v>
      </c>
    </row>
    <row r="1492" spans="3:5">
      <c r="C1492" t="s">
        <v>17</v>
      </c>
      <c r="D1492" t="s">
        <v>18</v>
      </c>
      <c r="E1492">
        <v>0</v>
      </c>
    </row>
    <row r="1493" spans="3:5">
      <c r="C1493" t="s">
        <v>17</v>
      </c>
      <c r="D1493" t="s">
        <v>18</v>
      </c>
      <c r="E1493">
        <v>0</v>
      </c>
    </row>
    <row r="1494" spans="3:5">
      <c r="C1494" t="s">
        <v>15</v>
      </c>
      <c r="D1494" t="s">
        <v>16</v>
      </c>
      <c r="E1494">
        <v>0</v>
      </c>
    </row>
    <row r="1495" spans="3:5">
      <c r="C1495" t="s">
        <v>15</v>
      </c>
      <c r="D1495" t="s">
        <v>16</v>
      </c>
      <c r="E1495">
        <v>0</v>
      </c>
    </row>
    <row r="1496" spans="3:5">
      <c r="C1496" t="s">
        <v>17</v>
      </c>
      <c r="D1496" t="s">
        <v>18</v>
      </c>
      <c r="E1496">
        <v>0</v>
      </c>
    </row>
    <row r="1497" spans="3:5">
      <c r="C1497" t="s">
        <v>17</v>
      </c>
      <c r="D1497" t="s">
        <v>18</v>
      </c>
      <c r="E1497">
        <v>0</v>
      </c>
    </row>
    <row r="1498" spans="3:5">
      <c r="C1498" t="s">
        <v>17</v>
      </c>
      <c r="D1498" t="s">
        <v>18</v>
      </c>
      <c r="E1498">
        <v>0</v>
      </c>
    </row>
    <row r="1499" spans="3:5">
      <c r="C1499" t="s">
        <v>17</v>
      </c>
      <c r="D1499" t="s">
        <v>18</v>
      </c>
      <c r="E1499">
        <v>0</v>
      </c>
    </row>
    <row r="1500" spans="3:5">
      <c r="C1500" t="s">
        <v>15</v>
      </c>
      <c r="D1500" t="s">
        <v>16</v>
      </c>
      <c r="E1500">
        <v>0</v>
      </c>
    </row>
    <row r="1501" spans="3:5">
      <c r="C1501" t="s">
        <v>17</v>
      </c>
      <c r="D1501" t="s">
        <v>18</v>
      </c>
      <c r="E1501">
        <v>0</v>
      </c>
    </row>
    <row r="1502" spans="3:5">
      <c r="C1502" t="s">
        <v>15</v>
      </c>
      <c r="D1502" t="s">
        <v>16</v>
      </c>
      <c r="E1502">
        <v>0</v>
      </c>
    </row>
    <row r="1503" spans="3:5">
      <c r="C1503" t="s">
        <v>17</v>
      </c>
      <c r="D1503" t="s">
        <v>18</v>
      </c>
      <c r="E1503">
        <v>0</v>
      </c>
    </row>
    <row r="1504" spans="3:5">
      <c r="C1504" t="s">
        <v>17</v>
      </c>
      <c r="D1504" t="s">
        <v>18</v>
      </c>
      <c r="E1504">
        <v>0</v>
      </c>
    </row>
    <row r="1505" spans="3:5">
      <c r="C1505" t="s">
        <v>15</v>
      </c>
      <c r="D1505" t="s">
        <v>16</v>
      </c>
      <c r="E1505">
        <v>0</v>
      </c>
    </row>
    <row r="1506" spans="3:5">
      <c r="C1506" t="s">
        <v>15</v>
      </c>
      <c r="D1506" t="s">
        <v>16</v>
      </c>
      <c r="E1506">
        <v>0</v>
      </c>
    </row>
    <row r="1507" spans="3:5">
      <c r="C1507" t="s">
        <v>15</v>
      </c>
      <c r="D1507" t="s">
        <v>16</v>
      </c>
      <c r="E1507">
        <v>0</v>
      </c>
    </row>
    <row r="1508" spans="3:5">
      <c r="C1508" t="s">
        <v>17</v>
      </c>
      <c r="D1508" t="s">
        <v>18</v>
      </c>
      <c r="E1508">
        <v>0</v>
      </c>
    </row>
    <row r="1509" spans="3:5">
      <c r="C1509" t="s">
        <v>17</v>
      </c>
      <c r="D1509" t="s">
        <v>18</v>
      </c>
      <c r="E1509">
        <v>0</v>
      </c>
    </row>
    <row r="1510" spans="3:5">
      <c r="C1510" t="s">
        <v>15</v>
      </c>
      <c r="D1510" t="s">
        <v>16</v>
      </c>
      <c r="E1510">
        <v>0</v>
      </c>
    </row>
    <row r="1511" spans="3:5">
      <c r="C1511" t="s">
        <v>15</v>
      </c>
      <c r="D1511" t="s">
        <v>16</v>
      </c>
      <c r="E1511">
        <v>0</v>
      </c>
    </row>
    <row r="1512" spans="3:5">
      <c r="C1512" t="s">
        <v>17</v>
      </c>
      <c r="D1512" t="s">
        <v>18</v>
      </c>
      <c r="E1512">
        <v>0</v>
      </c>
    </row>
    <row r="1513" spans="3:5">
      <c r="C1513" t="s">
        <v>15</v>
      </c>
      <c r="D1513" t="s">
        <v>16</v>
      </c>
      <c r="E1513">
        <v>0</v>
      </c>
    </row>
    <row r="1514" spans="3:5">
      <c r="C1514" t="s">
        <v>17</v>
      </c>
      <c r="D1514" t="s">
        <v>18</v>
      </c>
      <c r="E1514">
        <v>0</v>
      </c>
    </row>
    <row r="1515" spans="3:5">
      <c r="C1515" t="s">
        <v>17</v>
      </c>
      <c r="D1515" t="s">
        <v>18</v>
      </c>
      <c r="E1515">
        <v>0</v>
      </c>
    </row>
    <row r="1516" spans="3:5">
      <c r="C1516" t="s">
        <v>17</v>
      </c>
      <c r="D1516" t="s">
        <v>18</v>
      </c>
      <c r="E1516">
        <v>0</v>
      </c>
    </row>
    <row r="1517" spans="3:5">
      <c r="C1517" t="s">
        <v>17</v>
      </c>
      <c r="D1517" t="s">
        <v>18</v>
      </c>
      <c r="E1517">
        <v>0</v>
      </c>
    </row>
    <row r="1518" spans="3:5">
      <c r="C1518" t="s">
        <v>17</v>
      </c>
      <c r="D1518" t="s">
        <v>18</v>
      </c>
      <c r="E1518">
        <v>0</v>
      </c>
    </row>
    <row r="1519" spans="3:5">
      <c r="C1519" t="s">
        <v>17</v>
      </c>
      <c r="D1519" t="s">
        <v>18</v>
      </c>
      <c r="E1519">
        <v>0</v>
      </c>
    </row>
    <row r="1520" spans="3:5">
      <c r="C1520" t="s">
        <v>15</v>
      </c>
      <c r="D1520" t="s">
        <v>16</v>
      </c>
      <c r="E1520">
        <v>0</v>
      </c>
    </row>
    <row r="1521" spans="3:5">
      <c r="C1521" t="s">
        <v>15</v>
      </c>
      <c r="D1521" t="s">
        <v>16</v>
      </c>
      <c r="E1521">
        <v>0</v>
      </c>
    </row>
    <row r="1522" spans="3:5">
      <c r="C1522" t="s">
        <v>15</v>
      </c>
      <c r="D1522" t="s">
        <v>16</v>
      </c>
      <c r="E1522">
        <v>0</v>
      </c>
    </row>
    <row r="1523" spans="3:5">
      <c r="C1523" t="s">
        <v>17</v>
      </c>
      <c r="D1523" t="s">
        <v>18</v>
      </c>
      <c r="E1523">
        <v>0</v>
      </c>
    </row>
    <row r="1524" spans="3:5">
      <c r="C1524" t="s">
        <v>15</v>
      </c>
      <c r="D1524" t="s">
        <v>16</v>
      </c>
      <c r="E1524">
        <v>0</v>
      </c>
    </row>
    <row r="1525" spans="3:5">
      <c r="C1525" t="s">
        <v>17</v>
      </c>
      <c r="D1525" t="s">
        <v>18</v>
      </c>
      <c r="E1525">
        <v>0</v>
      </c>
    </row>
    <row r="1526" spans="3:5">
      <c r="C1526" t="s">
        <v>17</v>
      </c>
      <c r="D1526" t="s">
        <v>18</v>
      </c>
      <c r="E1526">
        <v>0</v>
      </c>
    </row>
    <row r="1527" spans="3:5">
      <c r="C1527" t="s">
        <v>17</v>
      </c>
      <c r="D1527" t="s">
        <v>18</v>
      </c>
      <c r="E1527">
        <v>1</v>
      </c>
    </row>
    <row r="1528" spans="3:5">
      <c r="C1528" t="s">
        <v>17</v>
      </c>
      <c r="D1528" t="s">
        <v>18</v>
      </c>
      <c r="E1528">
        <v>0</v>
      </c>
    </row>
    <row r="1529" spans="3:5">
      <c r="C1529" t="s">
        <v>15</v>
      </c>
      <c r="D1529" t="s">
        <v>16</v>
      </c>
      <c r="E1529">
        <v>0</v>
      </c>
    </row>
    <row r="1530" spans="3:5">
      <c r="C1530" t="s">
        <v>17</v>
      </c>
      <c r="D1530" t="s">
        <v>18</v>
      </c>
      <c r="E1530">
        <v>0</v>
      </c>
    </row>
    <row r="1531" spans="3:5">
      <c r="C1531" t="s">
        <v>17</v>
      </c>
      <c r="D1531" t="s">
        <v>18</v>
      </c>
      <c r="E1531">
        <v>0</v>
      </c>
    </row>
    <row r="1532" spans="3:5">
      <c r="C1532" t="s">
        <v>17</v>
      </c>
      <c r="D1532" t="s">
        <v>18</v>
      </c>
      <c r="E1532">
        <v>0</v>
      </c>
    </row>
    <row r="1533" spans="3:5">
      <c r="C1533" t="s">
        <v>15</v>
      </c>
      <c r="D1533" t="s">
        <v>16</v>
      </c>
      <c r="E1533">
        <v>0</v>
      </c>
    </row>
    <row r="1534" spans="3:5">
      <c r="C1534" t="s">
        <v>17</v>
      </c>
      <c r="D1534" t="s">
        <v>18</v>
      </c>
      <c r="E1534">
        <v>0</v>
      </c>
    </row>
    <row r="1535" spans="3:5">
      <c r="C1535" t="s">
        <v>15</v>
      </c>
      <c r="D1535" t="s">
        <v>16</v>
      </c>
      <c r="E1535">
        <v>0</v>
      </c>
    </row>
    <row r="1536" spans="3:5">
      <c r="C1536" t="s">
        <v>17</v>
      </c>
      <c r="D1536" t="s">
        <v>18</v>
      </c>
      <c r="E1536">
        <v>0</v>
      </c>
    </row>
    <row r="1537" spans="3:5">
      <c r="C1537" t="s">
        <v>15</v>
      </c>
      <c r="D1537" t="s">
        <v>16</v>
      </c>
      <c r="E1537">
        <v>0</v>
      </c>
    </row>
    <row r="1538" spans="3:5">
      <c r="C1538" t="s">
        <v>15</v>
      </c>
      <c r="D1538" t="s">
        <v>16</v>
      </c>
      <c r="E1538">
        <v>0</v>
      </c>
    </row>
    <row r="1539" spans="3:5">
      <c r="C1539" t="s">
        <v>15</v>
      </c>
      <c r="D1539" t="s">
        <v>16</v>
      </c>
      <c r="E1539">
        <v>0</v>
      </c>
    </row>
    <row r="1540" spans="3:5">
      <c r="C1540" t="s">
        <v>17</v>
      </c>
      <c r="D1540" t="s">
        <v>18</v>
      </c>
      <c r="E1540">
        <v>0</v>
      </c>
    </row>
    <row r="1541" spans="3:5">
      <c r="C1541" t="s">
        <v>17</v>
      </c>
      <c r="D1541" t="s">
        <v>18</v>
      </c>
      <c r="E1541">
        <v>0</v>
      </c>
    </row>
    <row r="1542" spans="3:5">
      <c r="C1542" t="s">
        <v>15</v>
      </c>
      <c r="D1542" t="s">
        <v>16</v>
      </c>
      <c r="E1542">
        <v>0</v>
      </c>
    </row>
    <row r="1543" spans="3:5">
      <c r="C1543" t="s">
        <v>15</v>
      </c>
      <c r="D1543" t="s">
        <v>16</v>
      </c>
      <c r="E1543">
        <v>0</v>
      </c>
    </row>
    <row r="1544" spans="3:5">
      <c r="C1544" t="s">
        <v>17</v>
      </c>
      <c r="D1544" t="s">
        <v>18</v>
      </c>
      <c r="E1544">
        <v>0</v>
      </c>
    </row>
    <row r="1545" spans="3:5">
      <c r="C1545" t="s">
        <v>17</v>
      </c>
      <c r="D1545" t="s">
        <v>18</v>
      </c>
      <c r="E1545">
        <v>1</v>
      </c>
    </row>
    <row r="1546" spans="3:5">
      <c r="C1546" t="s">
        <v>15</v>
      </c>
      <c r="D1546" t="s">
        <v>16</v>
      </c>
      <c r="E1546">
        <v>0</v>
      </c>
    </row>
    <row r="1547" spans="3:5">
      <c r="C1547" t="s">
        <v>17</v>
      </c>
      <c r="D1547" t="s">
        <v>18</v>
      </c>
      <c r="E1547">
        <v>0</v>
      </c>
    </row>
    <row r="1548" spans="3:5">
      <c r="C1548" t="s">
        <v>17</v>
      </c>
      <c r="D1548" t="s">
        <v>18</v>
      </c>
      <c r="E1548">
        <v>0</v>
      </c>
    </row>
    <row r="1549" spans="3:5">
      <c r="C1549" t="s">
        <v>15</v>
      </c>
      <c r="D1549" t="s">
        <v>16</v>
      </c>
      <c r="E1549">
        <v>0</v>
      </c>
    </row>
    <row r="1550" spans="3:5">
      <c r="C1550" t="s">
        <v>17</v>
      </c>
      <c r="D1550" t="s">
        <v>18</v>
      </c>
      <c r="E1550">
        <v>0</v>
      </c>
    </row>
    <row r="1551" spans="3:5">
      <c r="C1551" t="s">
        <v>15</v>
      </c>
      <c r="D1551" t="s">
        <v>16</v>
      </c>
      <c r="E1551">
        <v>0</v>
      </c>
    </row>
    <row r="1552" spans="3:5">
      <c r="C1552" t="s">
        <v>15</v>
      </c>
      <c r="D1552" t="s">
        <v>16</v>
      </c>
      <c r="E1552">
        <v>0</v>
      </c>
    </row>
    <row r="1553" spans="3:5">
      <c r="C1553" t="s">
        <v>17</v>
      </c>
      <c r="D1553" t="s">
        <v>18</v>
      </c>
      <c r="E1553">
        <v>0</v>
      </c>
    </row>
    <row r="1554" spans="3:5">
      <c r="C1554" t="s">
        <v>15</v>
      </c>
      <c r="D1554" t="s">
        <v>16</v>
      </c>
      <c r="E1554">
        <v>0</v>
      </c>
    </row>
    <row r="1555" spans="3:5">
      <c r="C1555" t="s">
        <v>17</v>
      </c>
      <c r="D1555" t="s">
        <v>18</v>
      </c>
      <c r="E1555">
        <v>0</v>
      </c>
    </row>
    <row r="1556" spans="3:5">
      <c r="C1556" t="s">
        <v>17</v>
      </c>
      <c r="D1556" t="s">
        <v>18</v>
      </c>
      <c r="E1556">
        <v>0</v>
      </c>
    </row>
    <row r="1557" spans="3:5">
      <c r="C1557" t="s">
        <v>15</v>
      </c>
      <c r="D1557" t="s">
        <v>16</v>
      </c>
      <c r="E1557">
        <v>0</v>
      </c>
    </row>
    <row r="1558" spans="3:5">
      <c r="C1558" t="s">
        <v>15</v>
      </c>
      <c r="D1558" t="s">
        <v>16</v>
      </c>
      <c r="E1558">
        <v>0</v>
      </c>
    </row>
    <row r="1559" spans="3:5">
      <c r="C1559" t="s">
        <v>17</v>
      </c>
      <c r="D1559" t="s">
        <v>18</v>
      </c>
      <c r="E1559">
        <v>0</v>
      </c>
    </row>
    <row r="1560" spans="3:5">
      <c r="C1560" t="s">
        <v>15</v>
      </c>
      <c r="D1560" t="s">
        <v>16</v>
      </c>
      <c r="E1560">
        <v>0</v>
      </c>
    </row>
    <row r="1561" spans="3:5">
      <c r="C1561" t="s">
        <v>15</v>
      </c>
      <c r="D1561" t="s">
        <v>16</v>
      </c>
      <c r="E1561">
        <v>0</v>
      </c>
    </row>
    <row r="1562" spans="3:5">
      <c r="C1562" t="s">
        <v>15</v>
      </c>
      <c r="D1562" t="s">
        <v>16</v>
      </c>
      <c r="E1562">
        <v>0</v>
      </c>
    </row>
    <row r="1563" spans="3:5">
      <c r="C1563" t="s">
        <v>17</v>
      </c>
      <c r="D1563" t="s">
        <v>18</v>
      </c>
      <c r="E1563">
        <v>0</v>
      </c>
    </row>
    <row r="1564" spans="3:5">
      <c r="C1564" t="s">
        <v>15</v>
      </c>
      <c r="D1564" t="s">
        <v>16</v>
      </c>
      <c r="E1564">
        <v>0</v>
      </c>
    </row>
    <row r="1565" spans="3:5">
      <c r="C1565" t="s">
        <v>15</v>
      </c>
      <c r="D1565" t="s">
        <v>16</v>
      </c>
      <c r="E1565">
        <v>0</v>
      </c>
    </row>
    <row r="1566" spans="3:5">
      <c r="C1566" t="s">
        <v>17</v>
      </c>
      <c r="D1566" t="s">
        <v>18</v>
      </c>
      <c r="E1566">
        <v>0</v>
      </c>
    </row>
    <row r="1567" spans="3:5">
      <c r="C1567" t="s">
        <v>15</v>
      </c>
      <c r="D1567" t="s">
        <v>16</v>
      </c>
      <c r="E1567">
        <v>0</v>
      </c>
    </row>
    <row r="1568" spans="3:5">
      <c r="C1568" t="s">
        <v>17</v>
      </c>
      <c r="D1568" t="s">
        <v>18</v>
      </c>
      <c r="E1568">
        <v>0</v>
      </c>
    </row>
    <row r="1569" spans="3:5">
      <c r="C1569" t="s">
        <v>15</v>
      </c>
      <c r="D1569" t="s">
        <v>16</v>
      </c>
      <c r="E1569">
        <v>0</v>
      </c>
    </row>
    <row r="1570" spans="3:5">
      <c r="C1570" t="s">
        <v>15</v>
      </c>
      <c r="D1570" t="s">
        <v>16</v>
      </c>
      <c r="E1570">
        <v>0</v>
      </c>
    </row>
    <row r="1571" spans="3:5">
      <c r="C1571" t="s">
        <v>17</v>
      </c>
      <c r="D1571" t="s">
        <v>18</v>
      </c>
      <c r="E1571">
        <v>0</v>
      </c>
    </row>
    <row r="1572" spans="3:5">
      <c r="C1572" t="s">
        <v>17</v>
      </c>
      <c r="D1572" t="s">
        <v>18</v>
      </c>
      <c r="E1572">
        <v>0</v>
      </c>
    </row>
    <row r="1573" spans="3:5">
      <c r="C1573" t="s">
        <v>17</v>
      </c>
      <c r="D1573" t="s">
        <v>18</v>
      </c>
      <c r="E1573">
        <v>0</v>
      </c>
    </row>
    <row r="1574" spans="3:5">
      <c r="C1574" t="s">
        <v>15</v>
      </c>
      <c r="D1574" t="s">
        <v>16</v>
      </c>
      <c r="E1574">
        <v>0</v>
      </c>
    </row>
    <row r="1575" spans="3:5">
      <c r="C1575" t="s">
        <v>15</v>
      </c>
      <c r="D1575" t="s">
        <v>16</v>
      </c>
      <c r="E1575">
        <v>0</v>
      </c>
    </row>
    <row r="1576" spans="3:5">
      <c r="C1576" t="s">
        <v>15</v>
      </c>
      <c r="D1576" t="s">
        <v>16</v>
      </c>
      <c r="E1576">
        <v>0</v>
      </c>
    </row>
    <row r="1577" spans="3:5">
      <c r="C1577" t="s">
        <v>17</v>
      </c>
      <c r="D1577" t="s">
        <v>18</v>
      </c>
      <c r="E1577">
        <v>0</v>
      </c>
    </row>
    <row r="1578" spans="3:5">
      <c r="C1578" t="s">
        <v>17</v>
      </c>
      <c r="D1578" t="s">
        <v>18</v>
      </c>
      <c r="E1578">
        <v>0</v>
      </c>
    </row>
    <row r="1579" spans="3:5">
      <c r="C1579" t="s">
        <v>15</v>
      </c>
      <c r="D1579" t="s">
        <v>16</v>
      </c>
      <c r="E1579">
        <v>0</v>
      </c>
    </row>
    <row r="1580" spans="3:5">
      <c r="C1580" t="s">
        <v>17</v>
      </c>
      <c r="D1580" t="s">
        <v>18</v>
      </c>
      <c r="E1580">
        <v>0</v>
      </c>
    </row>
    <row r="1581" spans="3:5">
      <c r="C1581" t="s">
        <v>17</v>
      </c>
      <c r="D1581" t="s">
        <v>18</v>
      </c>
      <c r="E1581">
        <v>0</v>
      </c>
    </row>
    <row r="1582" spans="3:5">
      <c r="C1582" t="s">
        <v>15</v>
      </c>
      <c r="D1582" t="s">
        <v>16</v>
      </c>
      <c r="E1582">
        <v>0</v>
      </c>
    </row>
    <row r="1583" spans="3:5">
      <c r="C1583" t="s">
        <v>17</v>
      </c>
      <c r="D1583" t="s">
        <v>18</v>
      </c>
      <c r="E1583">
        <v>0</v>
      </c>
    </row>
    <row r="1584" spans="3:5">
      <c r="C1584" t="s">
        <v>15</v>
      </c>
      <c r="D1584" t="s">
        <v>16</v>
      </c>
      <c r="E1584">
        <v>0</v>
      </c>
    </row>
    <row r="1585" spans="3:5">
      <c r="C1585" t="s">
        <v>15</v>
      </c>
      <c r="D1585" t="s">
        <v>16</v>
      </c>
      <c r="E1585">
        <v>0</v>
      </c>
    </row>
    <row r="1586" spans="3:5">
      <c r="C1586" t="s">
        <v>17</v>
      </c>
      <c r="D1586" t="s">
        <v>18</v>
      </c>
      <c r="E1586">
        <v>0</v>
      </c>
    </row>
    <row r="1587" spans="3:5">
      <c r="C1587" t="s">
        <v>17</v>
      </c>
      <c r="D1587" t="s">
        <v>18</v>
      </c>
      <c r="E1587">
        <v>0</v>
      </c>
    </row>
    <row r="1588" spans="3:5">
      <c r="C1588" t="s">
        <v>17</v>
      </c>
      <c r="D1588" t="s">
        <v>18</v>
      </c>
      <c r="E1588">
        <v>0</v>
      </c>
    </row>
    <row r="1589" spans="3:5">
      <c r="C1589" t="s">
        <v>15</v>
      </c>
      <c r="D1589" t="s">
        <v>16</v>
      </c>
      <c r="E1589">
        <v>0</v>
      </c>
    </row>
    <row r="1590" spans="3:5">
      <c r="C1590" t="s">
        <v>17</v>
      </c>
      <c r="D1590" t="s">
        <v>18</v>
      </c>
      <c r="E1590">
        <v>0</v>
      </c>
    </row>
    <row r="1591" spans="3:5">
      <c r="C1591" t="s">
        <v>15</v>
      </c>
      <c r="D1591" t="s">
        <v>16</v>
      </c>
      <c r="E1591">
        <v>0</v>
      </c>
    </row>
    <row r="1592" spans="3:5">
      <c r="C1592" t="s">
        <v>17</v>
      </c>
      <c r="D1592" t="s">
        <v>18</v>
      </c>
      <c r="E1592">
        <v>0</v>
      </c>
    </row>
    <row r="1593" spans="3:5">
      <c r="C1593" t="s">
        <v>15</v>
      </c>
      <c r="D1593" t="s">
        <v>16</v>
      </c>
      <c r="E1593">
        <v>0</v>
      </c>
    </row>
    <row r="1594" spans="3:5">
      <c r="C1594" t="s">
        <v>15</v>
      </c>
      <c r="D1594" t="s">
        <v>16</v>
      </c>
      <c r="E1594">
        <v>0</v>
      </c>
    </row>
    <row r="1595" spans="3:5">
      <c r="C1595" t="s">
        <v>17</v>
      </c>
      <c r="D1595" t="s">
        <v>18</v>
      </c>
      <c r="E1595">
        <v>0</v>
      </c>
    </row>
    <row r="1596" spans="3:5">
      <c r="C1596" t="s">
        <v>17</v>
      </c>
      <c r="D1596" t="s">
        <v>18</v>
      </c>
      <c r="E1596">
        <v>0</v>
      </c>
    </row>
    <row r="1597" spans="3:5">
      <c r="C1597" t="s">
        <v>15</v>
      </c>
      <c r="D1597" t="s">
        <v>16</v>
      </c>
      <c r="E1597">
        <v>0</v>
      </c>
    </row>
    <row r="1598" spans="3:5">
      <c r="C1598" t="s">
        <v>15</v>
      </c>
      <c r="D1598" t="s">
        <v>16</v>
      </c>
      <c r="E1598">
        <v>0</v>
      </c>
    </row>
    <row r="1599" spans="3:5">
      <c r="C1599" t="s">
        <v>15</v>
      </c>
      <c r="D1599" t="s">
        <v>16</v>
      </c>
      <c r="E1599">
        <v>0</v>
      </c>
    </row>
    <row r="1600" spans="3:5">
      <c r="C1600" t="s">
        <v>15</v>
      </c>
      <c r="D1600" t="s">
        <v>16</v>
      </c>
      <c r="E1600">
        <v>0</v>
      </c>
    </row>
    <row r="1601" spans="3:5">
      <c r="C1601" t="s">
        <v>17</v>
      </c>
      <c r="D1601" t="s">
        <v>18</v>
      </c>
      <c r="E1601">
        <v>0</v>
      </c>
    </row>
    <row r="1602" spans="3:5">
      <c r="C1602" t="s">
        <v>15</v>
      </c>
      <c r="D1602" t="s">
        <v>16</v>
      </c>
      <c r="E1602">
        <v>0</v>
      </c>
    </row>
    <row r="1603" spans="3:5">
      <c r="C1603" t="s">
        <v>15</v>
      </c>
      <c r="D1603" t="s">
        <v>16</v>
      </c>
      <c r="E1603">
        <v>1</v>
      </c>
    </row>
    <row r="1604" spans="3:5">
      <c r="C1604" t="s">
        <v>17</v>
      </c>
      <c r="D1604" t="s">
        <v>18</v>
      </c>
      <c r="E1604">
        <v>0</v>
      </c>
    </row>
    <row r="1605" spans="3:5">
      <c r="C1605" t="s">
        <v>17</v>
      </c>
      <c r="D1605" t="s">
        <v>18</v>
      </c>
      <c r="E1605">
        <v>0</v>
      </c>
    </row>
    <row r="1606" spans="3:5">
      <c r="C1606" t="s">
        <v>17</v>
      </c>
      <c r="D1606" t="s">
        <v>18</v>
      </c>
      <c r="E1606">
        <v>0</v>
      </c>
    </row>
    <row r="1607" spans="3:5">
      <c r="C1607" t="s">
        <v>17</v>
      </c>
      <c r="D1607" t="s">
        <v>18</v>
      </c>
      <c r="E1607">
        <v>0</v>
      </c>
    </row>
    <row r="1608" spans="3:5">
      <c r="C1608" t="s">
        <v>17</v>
      </c>
      <c r="D1608" t="s">
        <v>18</v>
      </c>
      <c r="E1608">
        <v>0</v>
      </c>
    </row>
    <row r="1609" spans="3:5">
      <c r="C1609" t="s">
        <v>17</v>
      </c>
      <c r="D1609" t="s">
        <v>18</v>
      </c>
      <c r="E1609">
        <v>0</v>
      </c>
    </row>
    <row r="1610" spans="3:5">
      <c r="C1610" t="s">
        <v>15</v>
      </c>
      <c r="D1610" t="s">
        <v>16</v>
      </c>
      <c r="E1610">
        <v>0</v>
      </c>
    </row>
    <row r="1611" spans="3:5">
      <c r="C1611" t="s">
        <v>15</v>
      </c>
      <c r="D1611" t="s">
        <v>16</v>
      </c>
      <c r="E1611">
        <v>0</v>
      </c>
    </row>
    <row r="1612" spans="3:5">
      <c r="C1612" t="s">
        <v>15</v>
      </c>
      <c r="D1612" t="s">
        <v>16</v>
      </c>
      <c r="E1612">
        <v>0</v>
      </c>
    </row>
    <row r="1613" spans="3:5">
      <c r="C1613" t="s">
        <v>15</v>
      </c>
      <c r="D1613" t="s">
        <v>16</v>
      </c>
      <c r="E1613">
        <v>0</v>
      </c>
    </row>
    <row r="1614" spans="3:5">
      <c r="C1614" t="s">
        <v>17</v>
      </c>
      <c r="D1614" t="s">
        <v>18</v>
      </c>
      <c r="E1614">
        <v>0</v>
      </c>
    </row>
    <row r="1615" spans="3:5">
      <c r="C1615" t="s">
        <v>15</v>
      </c>
      <c r="D1615" t="s">
        <v>16</v>
      </c>
      <c r="E1615">
        <v>0</v>
      </c>
    </row>
    <row r="1616" spans="3:5">
      <c r="C1616" t="s">
        <v>15</v>
      </c>
      <c r="D1616" t="s">
        <v>16</v>
      </c>
      <c r="E1616">
        <v>0</v>
      </c>
    </row>
    <row r="1617" spans="3:5">
      <c r="C1617" t="s">
        <v>15</v>
      </c>
      <c r="D1617" t="s">
        <v>16</v>
      </c>
      <c r="E1617">
        <v>0</v>
      </c>
    </row>
    <row r="1618" spans="3:5">
      <c r="C1618" t="s">
        <v>15</v>
      </c>
      <c r="D1618" t="s">
        <v>16</v>
      </c>
      <c r="E1618">
        <v>0</v>
      </c>
    </row>
    <row r="1619" spans="3:5">
      <c r="C1619" t="s">
        <v>17</v>
      </c>
      <c r="D1619" t="s">
        <v>18</v>
      </c>
      <c r="E1619">
        <v>0</v>
      </c>
    </row>
    <row r="1620" spans="3:5">
      <c r="C1620" t="s">
        <v>15</v>
      </c>
      <c r="D1620" t="s">
        <v>16</v>
      </c>
      <c r="E1620">
        <v>0</v>
      </c>
    </row>
    <row r="1621" spans="3:5">
      <c r="C1621" t="s">
        <v>17</v>
      </c>
      <c r="D1621" t="s">
        <v>18</v>
      </c>
      <c r="E1621">
        <v>0</v>
      </c>
    </row>
    <row r="1622" spans="3:5">
      <c r="C1622" t="s">
        <v>17</v>
      </c>
      <c r="D1622" t="s">
        <v>18</v>
      </c>
      <c r="E1622">
        <v>1</v>
      </c>
    </row>
    <row r="1623" spans="3:5">
      <c r="C1623" t="s">
        <v>15</v>
      </c>
      <c r="D1623" t="s">
        <v>16</v>
      </c>
      <c r="E1623">
        <v>0</v>
      </c>
    </row>
    <row r="1624" spans="3:5">
      <c r="C1624" t="s">
        <v>15</v>
      </c>
      <c r="D1624" t="s">
        <v>16</v>
      </c>
      <c r="E1624">
        <v>1</v>
      </c>
    </row>
    <row r="1625" spans="3:5">
      <c r="C1625" t="s">
        <v>17</v>
      </c>
      <c r="D1625" t="s">
        <v>18</v>
      </c>
      <c r="E1625">
        <v>0</v>
      </c>
    </row>
    <row r="1626" spans="3:5">
      <c r="C1626" t="s">
        <v>15</v>
      </c>
      <c r="D1626" t="s">
        <v>16</v>
      </c>
      <c r="E1626">
        <v>0</v>
      </c>
    </row>
    <row r="1627" spans="3:5">
      <c r="C1627" t="s">
        <v>15</v>
      </c>
      <c r="D1627" t="s">
        <v>16</v>
      </c>
      <c r="E1627">
        <v>0</v>
      </c>
    </row>
    <row r="1628" spans="3:5">
      <c r="C1628" t="s">
        <v>15</v>
      </c>
      <c r="D1628" t="s">
        <v>16</v>
      </c>
      <c r="E1628">
        <v>0</v>
      </c>
    </row>
    <row r="1629" spans="3:5">
      <c r="C1629" t="s">
        <v>15</v>
      </c>
      <c r="D1629" t="s">
        <v>16</v>
      </c>
      <c r="E1629">
        <v>1</v>
      </c>
    </row>
    <row r="1630" spans="3:5">
      <c r="C1630" t="s">
        <v>17</v>
      </c>
      <c r="D1630" t="s">
        <v>18</v>
      </c>
      <c r="E1630">
        <v>0</v>
      </c>
    </row>
    <row r="1631" spans="3:5">
      <c r="C1631" t="s">
        <v>17</v>
      </c>
      <c r="D1631" t="s">
        <v>18</v>
      </c>
      <c r="E1631">
        <v>0</v>
      </c>
    </row>
    <row r="1632" spans="3:5">
      <c r="C1632" t="s">
        <v>15</v>
      </c>
      <c r="D1632" t="s">
        <v>16</v>
      </c>
      <c r="E1632">
        <v>0</v>
      </c>
    </row>
    <row r="1633" spans="3:5">
      <c r="C1633" t="s">
        <v>17</v>
      </c>
      <c r="D1633" t="s">
        <v>18</v>
      </c>
      <c r="E1633">
        <v>0</v>
      </c>
    </row>
    <row r="1634" spans="3:5">
      <c r="C1634" t="s">
        <v>15</v>
      </c>
      <c r="D1634" t="s">
        <v>16</v>
      </c>
      <c r="E1634">
        <v>0</v>
      </c>
    </row>
    <row r="1635" spans="3:5">
      <c r="C1635" t="s">
        <v>15</v>
      </c>
      <c r="D1635" t="s">
        <v>16</v>
      </c>
      <c r="E1635">
        <v>0</v>
      </c>
    </row>
    <row r="1636" spans="3:5">
      <c r="C1636" t="s">
        <v>15</v>
      </c>
      <c r="D1636" t="s">
        <v>16</v>
      </c>
      <c r="E1636">
        <v>0</v>
      </c>
    </row>
    <row r="1637" spans="3:5">
      <c r="C1637" t="s">
        <v>15</v>
      </c>
      <c r="D1637" t="s">
        <v>16</v>
      </c>
      <c r="E1637">
        <v>0</v>
      </c>
    </row>
    <row r="1638" spans="3:5">
      <c r="C1638" t="s">
        <v>15</v>
      </c>
      <c r="D1638" t="s">
        <v>16</v>
      </c>
      <c r="E1638">
        <v>0</v>
      </c>
    </row>
    <row r="1639" spans="3:5">
      <c r="C1639" t="s">
        <v>15</v>
      </c>
      <c r="D1639" t="s">
        <v>16</v>
      </c>
      <c r="E1639">
        <v>0</v>
      </c>
    </row>
    <row r="1640" spans="3:5">
      <c r="C1640" t="s">
        <v>17</v>
      </c>
      <c r="D1640" t="s">
        <v>18</v>
      </c>
      <c r="E1640">
        <v>1</v>
      </c>
    </row>
    <row r="1641" spans="3:5">
      <c r="C1641" t="s">
        <v>15</v>
      </c>
      <c r="D1641" t="s">
        <v>16</v>
      </c>
      <c r="E1641">
        <v>0</v>
      </c>
    </row>
    <row r="1642" spans="3:5">
      <c r="C1642" t="s">
        <v>15</v>
      </c>
      <c r="D1642" t="s">
        <v>16</v>
      </c>
      <c r="E1642">
        <v>0</v>
      </c>
    </row>
    <row r="1643" spans="3:5">
      <c r="C1643" t="s">
        <v>15</v>
      </c>
      <c r="D1643" t="s">
        <v>16</v>
      </c>
      <c r="E1643">
        <v>0</v>
      </c>
    </row>
    <row r="1644" spans="3:5">
      <c r="C1644" t="s">
        <v>15</v>
      </c>
      <c r="D1644" t="s">
        <v>16</v>
      </c>
      <c r="E1644">
        <v>0</v>
      </c>
    </row>
    <row r="1645" spans="3:5">
      <c r="C1645" t="s">
        <v>17</v>
      </c>
      <c r="D1645" t="s">
        <v>18</v>
      </c>
      <c r="E1645">
        <v>0</v>
      </c>
    </row>
    <row r="1646" spans="3:5">
      <c r="C1646" t="s">
        <v>17</v>
      </c>
      <c r="D1646" t="s">
        <v>18</v>
      </c>
      <c r="E1646">
        <v>0</v>
      </c>
    </row>
    <row r="1647" spans="3:5">
      <c r="C1647" t="s">
        <v>17</v>
      </c>
      <c r="D1647" t="s">
        <v>18</v>
      </c>
      <c r="E1647">
        <v>0</v>
      </c>
    </row>
    <row r="1648" spans="3:5">
      <c r="C1648" t="s">
        <v>17</v>
      </c>
      <c r="D1648" t="s">
        <v>18</v>
      </c>
      <c r="E1648">
        <v>0</v>
      </c>
    </row>
    <row r="1649" spans="3:5">
      <c r="C1649" t="s">
        <v>17</v>
      </c>
      <c r="D1649" t="s">
        <v>18</v>
      </c>
      <c r="E1649">
        <v>0</v>
      </c>
    </row>
    <row r="1650" spans="3:5">
      <c r="C1650" t="s">
        <v>17</v>
      </c>
      <c r="D1650" t="s">
        <v>18</v>
      </c>
      <c r="E1650">
        <v>0</v>
      </c>
    </row>
    <row r="1651" spans="3:5">
      <c r="C1651" t="s">
        <v>17</v>
      </c>
      <c r="D1651" t="s">
        <v>18</v>
      </c>
      <c r="E1651">
        <v>0</v>
      </c>
    </row>
    <row r="1652" spans="3:5">
      <c r="C1652" t="s">
        <v>17</v>
      </c>
      <c r="D1652" t="s">
        <v>18</v>
      </c>
      <c r="E1652">
        <v>0</v>
      </c>
    </row>
    <row r="1653" spans="3:5">
      <c r="C1653" t="s">
        <v>17</v>
      </c>
      <c r="D1653" t="s">
        <v>18</v>
      </c>
      <c r="E1653">
        <v>0</v>
      </c>
    </row>
    <row r="1654" spans="3:5">
      <c r="C1654" t="s">
        <v>15</v>
      </c>
      <c r="D1654" t="s">
        <v>16</v>
      </c>
      <c r="E1654">
        <v>0</v>
      </c>
    </row>
    <row r="1655" spans="3:5">
      <c r="C1655" t="s">
        <v>17</v>
      </c>
      <c r="D1655" t="s">
        <v>18</v>
      </c>
      <c r="E1655">
        <v>0</v>
      </c>
    </row>
    <row r="1656" spans="3:5">
      <c r="C1656" t="s">
        <v>15</v>
      </c>
      <c r="D1656" t="s">
        <v>16</v>
      </c>
      <c r="E1656">
        <v>0</v>
      </c>
    </row>
    <row r="1657" spans="3:5">
      <c r="C1657" t="s">
        <v>17</v>
      </c>
      <c r="D1657" t="s">
        <v>18</v>
      </c>
      <c r="E1657">
        <v>0</v>
      </c>
    </row>
    <row r="1658" spans="3:5">
      <c r="C1658" t="s">
        <v>15</v>
      </c>
      <c r="D1658" t="s">
        <v>16</v>
      </c>
      <c r="E1658">
        <v>0</v>
      </c>
    </row>
    <row r="1659" spans="3:5">
      <c r="C1659" t="s">
        <v>15</v>
      </c>
      <c r="D1659" t="s">
        <v>16</v>
      </c>
      <c r="E1659">
        <v>0</v>
      </c>
    </row>
    <row r="1660" spans="3:5">
      <c r="C1660" t="s">
        <v>17</v>
      </c>
      <c r="D1660" t="s">
        <v>18</v>
      </c>
      <c r="E1660">
        <v>0</v>
      </c>
    </row>
    <row r="1661" spans="3:5">
      <c r="C1661" t="s">
        <v>17</v>
      </c>
      <c r="D1661" t="s">
        <v>18</v>
      </c>
      <c r="E1661">
        <v>0</v>
      </c>
    </row>
    <row r="1662" spans="3:5">
      <c r="C1662" t="s">
        <v>15</v>
      </c>
      <c r="D1662" t="s">
        <v>16</v>
      </c>
      <c r="E1662">
        <v>0</v>
      </c>
    </row>
    <row r="1663" spans="3:5">
      <c r="C1663" t="s">
        <v>15</v>
      </c>
      <c r="D1663" t="s">
        <v>16</v>
      </c>
      <c r="E1663">
        <v>0</v>
      </c>
    </row>
    <row r="1664" spans="3:5">
      <c r="C1664" t="s">
        <v>15</v>
      </c>
      <c r="D1664" t="s">
        <v>16</v>
      </c>
      <c r="E1664">
        <v>0</v>
      </c>
    </row>
    <row r="1665" spans="3:5">
      <c r="C1665" t="s">
        <v>17</v>
      </c>
      <c r="D1665" t="s">
        <v>18</v>
      </c>
      <c r="E1665">
        <v>0</v>
      </c>
    </row>
    <row r="1666" spans="3:5">
      <c r="C1666" t="s">
        <v>17</v>
      </c>
      <c r="D1666" t="s">
        <v>18</v>
      </c>
      <c r="E1666">
        <v>0</v>
      </c>
    </row>
    <row r="1667" spans="3:5">
      <c r="C1667" t="s">
        <v>17</v>
      </c>
      <c r="D1667" t="s">
        <v>18</v>
      </c>
      <c r="E1667">
        <v>0</v>
      </c>
    </row>
    <row r="1668" spans="3:5">
      <c r="C1668" t="s">
        <v>15</v>
      </c>
      <c r="D1668" t="s">
        <v>16</v>
      </c>
      <c r="E1668">
        <v>0</v>
      </c>
    </row>
    <row r="1669" spans="3:5">
      <c r="C1669" t="s">
        <v>15</v>
      </c>
      <c r="D1669" t="s">
        <v>16</v>
      </c>
      <c r="E1669">
        <v>0</v>
      </c>
    </row>
    <row r="1670" spans="3:5">
      <c r="C1670" t="s">
        <v>17</v>
      </c>
      <c r="D1670" t="s">
        <v>18</v>
      </c>
      <c r="E1670">
        <v>0</v>
      </c>
    </row>
    <row r="1671" spans="3:5">
      <c r="C1671" t="s">
        <v>17</v>
      </c>
      <c r="D1671" t="s">
        <v>18</v>
      </c>
      <c r="E1671">
        <v>0</v>
      </c>
    </row>
    <row r="1672" spans="3:5">
      <c r="C1672" t="s">
        <v>15</v>
      </c>
      <c r="D1672" t="s">
        <v>16</v>
      </c>
      <c r="E1672">
        <v>0</v>
      </c>
    </row>
    <row r="1673" spans="3:5">
      <c r="C1673" t="s">
        <v>17</v>
      </c>
      <c r="D1673" t="s">
        <v>18</v>
      </c>
      <c r="E1673">
        <v>0</v>
      </c>
    </row>
    <row r="1674" spans="3:5">
      <c r="C1674" t="s">
        <v>15</v>
      </c>
      <c r="D1674" t="s">
        <v>16</v>
      </c>
      <c r="E1674">
        <v>0</v>
      </c>
    </row>
    <row r="1675" spans="3:5">
      <c r="C1675" t="s">
        <v>15</v>
      </c>
      <c r="D1675" t="s">
        <v>16</v>
      </c>
      <c r="E1675">
        <v>0</v>
      </c>
    </row>
    <row r="1676" spans="3:5">
      <c r="C1676" t="s">
        <v>15</v>
      </c>
      <c r="D1676" t="s">
        <v>16</v>
      </c>
      <c r="E1676">
        <v>0</v>
      </c>
    </row>
    <row r="1677" spans="3:5">
      <c r="C1677" t="s">
        <v>17</v>
      </c>
      <c r="D1677" t="s">
        <v>18</v>
      </c>
      <c r="E1677">
        <v>0</v>
      </c>
    </row>
    <row r="1678" spans="3:5">
      <c r="C1678" t="s">
        <v>15</v>
      </c>
      <c r="D1678" t="s">
        <v>16</v>
      </c>
      <c r="E1678">
        <v>0</v>
      </c>
    </row>
    <row r="1679" spans="3:5">
      <c r="C1679" t="s">
        <v>15</v>
      </c>
      <c r="D1679" t="s">
        <v>16</v>
      </c>
      <c r="E1679">
        <v>0</v>
      </c>
    </row>
    <row r="1680" spans="3:5">
      <c r="C1680" t="s">
        <v>15</v>
      </c>
      <c r="D1680" t="s">
        <v>16</v>
      </c>
      <c r="E1680">
        <v>0</v>
      </c>
    </row>
    <row r="1681" spans="3:5">
      <c r="C1681" t="s">
        <v>15</v>
      </c>
      <c r="D1681" t="s">
        <v>16</v>
      </c>
      <c r="E1681">
        <v>0</v>
      </c>
    </row>
    <row r="1682" spans="3:5">
      <c r="C1682" t="s">
        <v>15</v>
      </c>
      <c r="D1682" t="s">
        <v>16</v>
      </c>
      <c r="E1682">
        <v>0</v>
      </c>
    </row>
    <row r="1683" spans="3:5">
      <c r="C1683" t="s">
        <v>15</v>
      </c>
      <c r="D1683" t="s">
        <v>16</v>
      </c>
      <c r="E1683">
        <v>0</v>
      </c>
    </row>
    <row r="1684" spans="3:5">
      <c r="C1684" t="s">
        <v>17</v>
      </c>
      <c r="D1684" t="s">
        <v>18</v>
      </c>
      <c r="E1684">
        <v>0</v>
      </c>
    </row>
    <row r="1685" spans="3:5">
      <c r="C1685" t="s">
        <v>15</v>
      </c>
      <c r="D1685" t="s">
        <v>16</v>
      </c>
      <c r="E1685">
        <v>0</v>
      </c>
    </row>
    <row r="1686" spans="3:5">
      <c r="C1686" t="s">
        <v>15</v>
      </c>
      <c r="D1686" t="s">
        <v>16</v>
      </c>
      <c r="E1686">
        <v>0</v>
      </c>
    </row>
    <row r="1687" spans="3:5">
      <c r="C1687" t="s">
        <v>15</v>
      </c>
      <c r="D1687" t="s">
        <v>16</v>
      </c>
      <c r="E1687">
        <v>0</v>
      </c>
    </row>
    <row r="1688" spans="3:5">
      <c r="C1688" t="s">
        <v>17</v>
      </c>
      <c r="D1688" t="s">
        <v>18</v>
      </c>
      <c r="E1688">
        <v>0</v>
      </c>
    </row>
    <row r="1689" spans="3:5">
      <c r="C1689" t="s">
        <v>15</v>
      </c>
      <c r="D1689" t="s">
        <v>16</v>
      </c>
      <c r="E1689">
        <v>0</v>
      </c>
    </row>
    <row r="1690" spans="3:5">
      <c r="C1690" t="s">
        <v>17</v>
      </c>
      <c r="D1690" t="s">
        <v>18</v>
      </c>
      <c r="E1690">
        <v>0</v>
      </c>
    </row>
    <row r="1691" spans="3:5">
      <c r="C1691" t="s">
        <v>17</v>
      </c>
      <c r="D1691" t="s">
        <v>18</v>
      </c>
      <c r="E1691">
        <v>0</v>
      </c>
    </row>
    <row r="1692" spans="3:5">
      <c r="C1692" t="s">
        <v>15</v>
      </c>
      <c r="D1692" t="s">
        <v>16</v>
      </c>
      <c r="E1692">
        <v>0</v>
      </c>
    </row>
    <row r="1693" spans="3:5">
      <c r="C1693" t="s">
        <v>15</v>
      </c>
      <c r="D1693" t="s">
        <v>16</v>
      </c>
      <c r="E1693">
        <v>0</v>
      </c>
    </row>
    <row r="1694" spans="3:5">
      <c r="C1694" t="s">
        <v>17</v>
      </c>
      <c r="D1694" t="s">
        <v>18</v>
      </c>
      <c r="E1694">
        <v>0</v>
      </c>
    </row>
    <row r="1695" spans="3:5">
      <c r="C1695" t="s">
        <v>15</v>
      </c>
      <c r="D1695" t="s">
        <v>16</v>
      </c>
      <c r="E1695">
        <v>0</v>
      </c>
    </row>
    <row r="1696" spans="3:5">
      <c r="C1696" t="s">
        <v>17</v>
      </c>
      <c r="D1696" t="s">
        <v>18</v>
      </c>
      <c r="E1696">
        <v>0</v>
      </c>
    </row>
    <row r="1697" spans="3:5">
      <c r="C1697" t="s">
        <v>17</v>
      </c>
      <c r="D1697" t="s">
        <v>18</v>
      </c>
      <c r="E1697">
        <v>0</v>
      </c>
    </row>
    <row r="1698" spans="3:5">
      <c r="C1698" t="s">
        <v>17</v>
      </c>
      <c r="D1698" t="s">
        <v>18</v>
      </c>
      <c r="E1698">
        <v>0</v>
      </c>
    </row>
    <row r="1699" spans="3:5">
      <c r="C1699" t="s">
        <v>17</v>
      </c>
      <c r="D1699" t="s">
        <v>18</v>
      </c>
      <c r="E1699">
        <v>0</v>
      </c>
    </row>
    <row r="1700" spans="3:5">
      <c r="C1700" t="s">
        <v>15</v>
      </c>
      <c r="D1700" t="s">
        <v>16</v>
      </c>
      <c r="E1700">
        <v>0</v>
      </c>
    </row>
    <row r="1701" spans="3:5">
      <c r="C1701" t="s">
        <v>17</v>
      </c>
      <c r="D1701" t="s">
        <v>18</v>
      </c>
      <c r="E1701">
        <v>0</v>
      </c>
    </row>
    <row r="1702" spans="3:5">
      <c r="C1702" t="s">
        <v>17</v>
      </c>
      <c r="D1702" t="s">
        <v>18</v>
      </c>
      <c r="E1702">
        <v>0</v>
      </c>
    </row>
    <row r="1703" spans="3:5">
      <c r="C1703" t="s">
        <v>15</v>
      </c>
      <c r="D1703" t="s">
        <v>16</v>
      </c>
      <c r="E1703">
        <v>0</v>
      </c>
    </row>
    <row r="1704" spans="3:5">
      <c r="C1704" t="s">
        <v>17</v>
      </c>
      <c r="D1704" t="s">
        <v>18</v>
      </c>
      <c r="E1704">
        <v>0</v>
      </c>
    </row>
    <row r="1705" spans="3:5">
      <c r="C1705" t="s">
        <v>17</v>
      </c>
      <c r="D1705" t="s">
        <v>18</v>
      </c>
      <c r="E1705">
        <v>0</v>
      </c>
    </row>
    <row r="1706" spans="3:5">
      <c r="C1706" t="s">
        <v>15</v>
      </c>
      <c r="D1706" t="s">
        <v>16</v>
      </c>
      <c r="E1706">
        <v>0</v>
      </c>
    </row>
    <row r="1707" spans="3:5">
      <c r="C1707" t="s">
        <v>17</v>
      </c>
      <c r="D1707" t="s">
        <v>18</v>
      </c>
      <c r="E1707">
        <v>0</v>
      </c>
    </row>
    <row r="1708" spans="3:5">
      <c r="C1708" t="s">
        <v>15</v>
      </c>
      <c r="D1708" t="s">
        <v>16</v>
      </c>
      <c r="E1708">
        <v>0</v>
      </c>
    </row>
    <row r="1709" spans="3:5">
      <c r="C1709" t="s">
        <v>17</v>
      </c>
      <c r="D1709" t="s">
        <v>18</v>
      </c>
      <c r="E1709">
        <v>0</v>
      </c>
    </row>
    <row r="1710" spans="3:5">
      <c r="C1710" t="s">
        <v>15</v>
      </c>
      <c r="D1710" t="s">
        <v>16</v>
      </c>
      <c r="E1710">
        <v>0</v>
      </c>
    </row>
    <row r="1711" spans="3:5">
      <c r="C1711" t="s">
        <v>15</v>
      </c>
      <c r="D1711" t="s">
        <v>16</v>
      </c>
      <c r="E1711">
        <v>0</v>
      </c>
    </row>
    <row r="1712" spans="3:5">
      <c r="C1712" t="s">
        <v>17</v>
      </c>
      <c r="D1712" t="s">
        <v>18</v>
      </c>
      <c r="E1712">
        <v>0</v>
      </c>
    </row>
    <row r="1713" spans="3:5">
      <c r="C1713" t="s">
        <v>17</v>
      </c>
      <c r="D1713" t="s">
        <v>18</v>
      </c>
      <c r="E1713">
        <v>0</v>
      </c>
    </row>
    <row r="1714" spans="3:5">
      <c r="C1714" t="s">
        <v>15</v>
      </c>
      <c r="D1714" t="s">
        <v>16</v>
      </c>
      <c r="E1714">
        <v>0</v>
      </c>
    </row>
    <row r="1715" spans="3:5">
      <c r="C1715" t="s">
        <v>17</v>
      </c>
      <c r="D1715" t="s">
        <v>18</v>
      </c>
      <c r="E1715">
        <v>0</v>
      </c>
    </row>
    <row r="1716" spans="3:5">
      <c r="C1716" t="s">
        <v>15</v>
      </c>
      <c r="D1716" t="s">
        <v>16</v>
      </c>
      <c r="E1716">
        <v>1</v>
      </c>
    </row>
    <row r="1717" spans="3:5">
      <c r="C1717" t="s">
        <v>17</v>
      </c>
      <c r="D1717" t="s">
        <v>18</v>
      </c>
      <c r="E1717">
        <v>0</v>
      </c>
    </row>
    <row r="1718" spans="3:5">
      <c r="C1718" t="s">
        <v>17</v>
      </c>
      <c r="D1718" t="s">
        <v>18</v>
      </c>
      <c r="E1718">
        <v>0</v>
      </c>
    </row>
    <row r="1719" spans="3:5">
      <c r="C1719" t="s">
        <v>17</v>
      </c>
      <c r="D1719" t="s">
        <v>18</v>
      </c>
      <c r="E1719">
        <v>0</v>
      </c>
    </row>
    <row r="1720" spans="3:5">
      <c r="C1720" t="s">
        <v>15</v>
      </c>
      <c r="D1720" t="s">
        <v>16</v>
      </c>
      <c r="E1720">
        <v>0</v>
      </c>
    </row>
    <row r="1721" spans="3:5">
      <c r="C1721" t="s">
        <v>17</v>
      </c>
      <c r="D1721" t="s">
        <v>18</v>
      </c>
      <c r="E1721">
        <v>0</v>
      </c>
    </row>
    <row r="1722" spans="3:5">
      <c r="C1722" t="s">
        <v>15</v>
      </c>
      <c r="D1722" t="s">
        <v>16</v>
      </c>
      <c r="E1722">
        <v>0</v>
      </c>
    </row>
    <row r="1723" spans="3:5">
      <c r="C1723" t="s">
        <v>17</v>
      </c>
      <c r="D1723" t="s">
        <v>18</v>
      </c>
      <c r="E1723">
        <v>0</v>
      </c>
    </row>
    <row r="1724" spans="3:5">
      <c r="C1724" t="s">
        <v>15</v>
      </c>
      <c r="D1724" t="s">
        <v>16</v>
      </c>
      <c r="E1724">
        <v>0</v>
      </c>
    </row>
    <row r="1725" spans="3:5">
      <c r="C1725" t="s">
        <v>17</v>
      </c>
      <c r="D1725" t="s">
        <v>18</v>
      </c>
      <c r="E1725">
        <v>0</v>
      </c>
    </row>
    <row r="1726" spans="3:5">
      <c r="C1726" t="s">
        <v>15</v>
      </c>
      <c r="D1726" t="s">
        <v>16</v>
      </c>
      <c r="E1726">
        <v>0</v>
      </c>
    </row>
    <row r="1727" spans="3:5">
      <c r="C1727" t="s">
        <v>15</v>
      </c>
      <c r="D1727" t="s">
        <v>16</v>
      </c>
      <c r="E1727">
        <v>0</v>
      </c>
    </row>
    <row r="1728" spans="3:5">
      <c r="C1728" t="s">
        <v>17</v>
      </c>
      <c r="D1728" t="s">
        <v>18</v>
      </c>
      <c r="E1728">
        <v>0</v>
      </c>
    </row>
    <row r="1729" spans="3:5">
      <c r="C1729" t="s">
        <v>15</v>
      </c>
      <c r="D1729" t="s">
        <v>16</v>
      </c>
      <c r="E1729">
        <v>0</v>
      </c>
    </row>
    <row r="1730" spans="3:5">
      <c r="C1730" t="s">
        <v>17</v>
      </c>
      <c r="D1730" t="s">
        <v>18</v>
      </c>
      <c r="E1730">
        <v>0</v>
      </c>
    </row>
    <row r="1731" spans="3:5">
      <c r="C1731" t="s">
        <v>17</v>
      </c>
      <c r="D1731" t="s">
        <v>18</v>
      </c>
      <c r="E1731">
        <v>0</v>
      </c>
    </row>
    <row r="1732" spans="3:5">
      <c r="C1732" t="s">
        <v>15</v>
      </c>
      <c r="D1732" t="s">
        <v>16</v>
      </c>
      <c r="E1732">
        <v>0</v>
      </c>
    </row>
    <row r="1733" spans="3:5">
      <c r="C1733" t="s">
        <v>15</v>
      </c>
      <c r="D1733" t="s">
        <v>16</v>
      </c>
      <c r="E1733">
        <v>0</v>
      </c>
    </row>
    <row r="1734" spans="3:5">
      <c r="C1734" t="s">
        <v>17</v>
      </c>
      <c r="D1734" t="s">
        <v>18</v>
      </c>
      <c r="E1734">
        <v>0</v>
      </c>
    </row>
    <row r="1735" spans="3:5">
      <c r="C1735" t="s">
        <v>17</v>
      </c>
      <c r="D1735" t="s">
        <v>18</v>
      </c>
      <c r="E1735">
        <v>0</v>
      </c>
    </row>
    <row r="1736" spans="3:5">
      <c r="C1736" t="s">
        <v>15</v>
      </c>
      <c r="D1736" t="s">
        <v>16</v>
      </c>
      <c r="E1736">
        <v>0</v>
      </c>
    </row>
    <row r="1737" spans="3:5">
      <c r="C1737" t="s">
        <v>15</v>
      </c>
      <c r="D1737" t="s">
        <v>16</v>
      </c>
      <c r="E1737">
        <v>0</v>
      </c>
    </row>
    <row r="1738" spans="3:5">
      <c r="C1738" t="s">
        <v>17</v>
      </c>
      <c r="D1738" t="s">
        <v>18</v>
      </c>
      <c r="E1738">
        <v>0</v>
      </c>
    </row>
    <row r="1739" spans="3:5">
      <c r="C1739" t="s">
        <v>15</v>
      </c>
      <c r="D1739" t="s">
        <v>16</v>
      </c>
      <c r="E1739">
        <v>0</v>
      </c>
    </row>
    <row r="1740" spans="3:5">
      <c r="C1740" t="s">
        <v>17</v>
      </c>
      <c r="D1740" t="s">
        <v>18</v>
      </c>
      <c r="E1740">
        <v>0</v>
      </c>
    </row>
    <row r="1741" spans="3:5">
      <c r="C1741" t="s">
        <v>17</v>
      </c>
      <c r="D1741" t="s">
        <v>18</v>
      </c>
      <c r="E1741">
        <v>0</v>
      </c>
    </row>
    <row r="1742" spans="3:5">
      <c r="C1742" t="s">
        <v>17</v>
      </c>
      <c r="D1742" t="s">
        <v>18</v>
      </c>
      <c r="E1742">
        <v>0</v>
      </c>
    </row>
    <row r="1743" spans="3:5">
      <c r="C1743" t="s">
        <v>15</v>
      </c>
      <c r="D1743" t="s">
        <v>16</v>
      </c>
      <c r="E1743">
        <v>0</v>
      </c>
    </row>
    <row r="1744" spans="3:5">
      <c r="C1744" t="s">
        <v>17</v>
      </c>
      <c r="D1744" t="s">
        <v>18</v>
      </c>
      <c r="E1744">
        <v>0</v>
      </c>
    </row>
    <row r="1745" spans="3:5">
      <c r="C1745" t="s">
        <v>17</v>
      </c>
      <c r="D1745" t="s">
        <v>18</v>
      </c>
      <c r="E1745">
        <v>1</v>
      </c>
    </row>
    <row r="1746" spans="3:5">
      <c r="C1746" t="s">
        <v>17</v>
      </c>
      <c r="D1746" t="s">
        <v>18</v>
      </c>
      <c r="E1746">
        <v>0</v>
      </c>
    </row>
    <row r="1747" spans="3:5">
      <c r="C1747" t="s">
        <v>15</v>
      </c>
      <c r="D1747" t="s">
        <v>16</v>
      </c>
      <c r="E1747">
        <v>0</v>
      </c>
    </row>
    <row r="1748" spans="3:5">
      <c r="C1748" t="s">
        <v>17</v>
      </c>
      <c r="D1748" t="s">
        <v>18</v>
      </c>
      <c r="E1748">
        <v>0</v>
      </c>
    </row>
    <row r="1749" spans="3:5">
      <c r="C1749" t="s">
        <v>15</v>
      </c>
      <c r="D1749" t="s">
        <v>16</v>
      </c>
      <c r="E1749">
        <v>0</v>
      </c>
    </row>
    <row r="1750" spans="3:5">
      <c r="C1750" t="s">
        <v>17</v>
      </c>
      <c r="D1750" t="s">
        <v>18</v>
      </c>
      <c r="E1750">
        <v>0</v>
      </c>
    </row>
    <row r="1751" spans="3:5">
      <c r="C1751" t="s">
        <v>15</v>
      </c>
      <c r="D1751" t="s">
        <v>16</v>
      </c>
      <c r="E1751">
        <v>0</v>
      </c>
    </row>
    <row r="1752" spans="3:5">
      <c r="C1752" t="s">
        <v>17</v>
      </c>
      <c r="D1752" t="s">
        <v>18</v>
      </c>
      <c r="E1752">
        <v>0</v>
      </c>
    </row>
    <row r="1753" spans="3:5">
      <c r="C1753" t="s">
        <v>15</v>
      </c>
      <c r="D1753" t="s">
        <v>16</v>
      </c>
      <c r="E1753">
        <v>0</v>
      </c>
    </row>
    <row r="1754" spans="3:5">
      <c r="C1754" t="s">
        <v>15</v>
      </c>
      <c r="D1754" t="s">
        <v>16</v>
      </c>
      <c r="E1754">
        <v>0</v>
      </c>
    </row>
    <row r="1755" spans="3:5">
      <c r="C1755" t="s">
        <v>15</v>
      </c>
      <c r="D1755" t="s">
        <v>16</v>
      </c>
      <c r="E1755">
        <v>0</v>
      </c>
    </row>
    <row r="1756" spans="3:5">
      <c r="C1756" t="s">
        <v>17</v>
      </c>
      <c r="D1756" t="s">
        <v>18</v>
      </c>
      <c r="E1756">
        <v>0</v>
      </c>
    </row>
    <row r="1757" spans="3:5">
      <c r="C1757" t="s">
        <v>15</v>
      </c>
      <c r="D1757" t="s">
        <v>16</v>
      </c>
      <c r="E1757">
        <v>0</v>
      </c>
    </row>
    <row r="1758" spans="3:5">
      <c r="C1758" t="s">
        <v>15</v>
      </c>
      <c r="D1758" t="s">
        <v>16</v>
      </c>
      <c r="E1758">
        <v>0</v>
      </c>
    </row>
    <row r="1759" spans="3:5">
      <c r="C1759" t="s">
        <v>15</v>
      </c>
      <c r="D1759" t="s">
        <v>16</v>
      </c>
      <c r="E1759">
        <v>0</v>
      </c>
    </row>
    <row r="1760" spans="3:5">
      <c r="C1760" t="s">
        <v>17</v>
      </c>
      <c r="D1760" t="s">
        <v>18</v>
      </c>
      <c r="E1760">
        <v>0</v>
      </c>
    </row>
    <row r="1761" spans="3:5">
      <c r="C1761" t="s">
        <v>15</v>
      </c>
      <c r="D1761" t="s">
        <v>16</v>
      </c>
      <c r="E1761">
        <v>0</v>
      </c>
    </row>
    <row r="1762" spans="3:5">
      <c r="C1762" t="s">
        <v>15</v>
      </c>
      <c r="D1762" t="s">
        <v>16</v>
      </c>
      <c r="E1762">
        <v>0</v>
      </c>
    </row>
    <row r="1763" spans="3:5">
      <c r="C1763" t="s">
        <v>15</v>
      </c>
      <c r="D1763" t="s">
        <v>16</v>
      </c>
      <c r="E1763">
        <v>0</v>
      </c>
    </row>
    <row r="1764" spans="3:5">
      <c r="C1764" t="s">
        <v>17</v>
      </c>
      <c r="D1764" t="s">
        <v>18</v>
      </c>
      <c r="E1764">
        <v>0</v>
      </c>
    </row>
    <row r="1765" spans="3:5">
      <c r="C1765" t="s">
        <v>15</v>
      </c>
      <c r="D1765" t="s">
        <v>16</v>
      </c>
      <c r="E1765">
        <v>0</v>
      </c>
    </row>
    <row r="1766" spans="3:5">
      <c r="C1766" t="s">
        <v>17</v>
      </c>
      <c r="D1766" t="s">
        <v>18</v>
      </c>
      <c r="E1766">
        <v>0</v>
      </c>
    </row>
    <row r="1767" spans="3:5">
      <c r="C1767" t="s">
        <v>15</v>
      </c>
      <c r="D1767" t="s">
        <v>16</v>
      </c>
      <c r="E1767">
        <v>0</v>
      </c>
    </row>
    <row r="1768" spans="3:5">
      <c r="C1768" t="s">
        <v>15</v>
      </c>
      <c r="D1768" t="s">
        <v>16</v>
      </c>
      <c r="E1768">
        <v>0</v>
      </c>
    </row>
    <row r="1769" spans="3:5">
      <c r="C1769" t="s">
        <v>15</v>
      </c>
      <c r="D1769" t="s">
        <v>16</v>
      </c>
      <c r="E1769">
        <v>0</v>
      </c>
    </row>
    <row r="1770" spans="3:5">
      <c r="C1770" t="s">
        <v>17</v>
      </c>
      <c r="D1770" t="s">
        <v>18</v>
      </c>
      <c r="E1770">
        <v>0</v>
      </c>
    </row>
    <row r="1771" spans="3:5">
      <c r="C1771" t="s">
        <v>15</v>
      </c>
      <c r="D1771" t="s">
        <v>16</v>
      </c>
      <c r="E1771">
        <v>0</v>
      </c>
    </row>
    <row r="1772" spans="3:5">
      <c r="C1772" t="s">
        <v>15</v>
      </c>
      <c r="D1772" t="s">
        <v>16</v>
      </c>
      <c r="E1772">
        <v>0</v>
      </c>
    </row>
    <row r="1773" spans="3:5">
      <c r="C1773" t="s">
        <v>15</v>
      </c>
      <c r="D1773" t="s">
        <v>16</v>
      </c>
      <c r="E1773">
        <v>1</v>
      </c>
    </row>
    <row r="1774" spans="3:5">
      <c r="C1774" t="s">
        <v>17</v>
      </c>
      <c r="D1774" t="s">
        <v>18</v>
      </c>
      <c r="E1774">
        <v>0</v>
      </c>
    </row>
    <row r="1775" spans="3:5">
      <c r="C1775" t="s">
        <v>17</v>
      </c>
      <c r="D1775" t="s">
        <v>18</v>
      </c>
      <c r="E1775">
        <v>0</v>
      </c>
    </row>
    <row r="1776" spans="3:5">
      <c r="C1776" t="s">
        <v>15</v>
      </c>
      <c r="D1776" t="s">
        <v>16</v>
      </c>
      <c r="E1776">
        <v>0</v>
      </c>
    </row>
    <row r="1777" spans="3:5">
      <c r="C1777" t="s">
        <v>17</v>
      </c>
      <c r="D1777" t="s">
        <v>18</v>
      </c>
      <c r="E1777">
        <v>0</v>
      </c>
    </row>
    <row r="1778" spans="3:5">
      <c r="C1778" t="s">
        <v>15</v>
      </c>
      <c r="D1778" t="s">
        <v>16</v>
      </c>
      <c r="E1778">
        <v>0</v>
      </c>
    </row>
    <row r="1779" spans="3:5">
      <c r="C1779" t="s">
        <v>17</v>
      </c>
      <c r="D1779" t="s">
        <v>18</v>
      </c>
      <c r="E1779">
        <v>0</v>
      </c>
    </row>
    <row r="1780" spans="3:5">
      <c r="C1780" t="s">
        <v>15</v>
      </c>
      <c r="D1780" t="s">
        <v>16</v>
      </c>
      <c r="E1780">
        <v>0</v>
      </c>
    </row>
    <row r="1781" spans="3:5">
      <c r="C1781" t="s">
        <v>17</v>
      </c>
      <c r="D1781" t="s">
        <v>18</v>
      </c>
      <c r="E1781">
        <v>0</v>
      </c>
    </row>
    <row r="1782" spans="3:5">
      <c r="C1782" t="s">
        <v>17</v>
      </c>
      <c r="D1782" t="s">
        <v>18</v>
      </c>
      <c r="E1782">
        <v>0</v>
      </c>
    </row>
    <row r="1783" spans="3:5">
      <c r="C1783" t="s">
        <v>17</v>
      </c>
      <c r="D1783" t="s">
        <v>18</v>
      </c>
      <c r="E1783">
        <v>0</v>
      </c>
    </row>
    <row r="1784" spans="3:5">
      <c r="C1784" t="s">
        <v>15</v>
      </c>
      <c r="D1784" t="s">
        <v>16</v>
      </c>
      <c r="E1784">
        <v>0</v>
      </c>
    </row>
    <row r="1785" spans="3:5">
      <c r="C1785" t="s">
        <v>17</v>
      </c>
      <c r="D1785" t="s">
        <v>18</v>
      </c>
      <c r="E1785">
        <v>0</v>
      </c>
    </row>
    <row r="1786" spans="3:5">
      <c r="C1786" t="s">
        <v>17</v>
      </c>
      <c r="D1786" t="s">
        <v>18</v>
      </c>
      <c r="E1786">
        <v>0</v>
      </c>
    </row>
    <row r="1787" spans="3:5">
      <c r="C1787" t="s">
        <v>15</v>
      </c>
      <c r="D1787" t="s">
        <v>16</v>
      </c>
      <c r="E1787">
        <v>0</v>
      </c>
    </row>
    <row r="1788" spans="3:5">
      <c r="C1788" t="s">
        <v>15</v>
      </c>
      <c r="D1788" t="s">
        <v>16</v>
      </c>
      <c r="E1788">
        <v>0</v>
      </c>
    </row>
    <row r="1789" spans="3:5">
      <c r="C1789" t="s">
        <v>17</v>
      </c>
      <c r="D1789" t="s">
        <v>18</v>
      </c>
      <c r="E1789">
        <v>0</v>
      </c>
    </row>
    <row r="1790" spans="3:5">
      <c r="C1790" t="s">
        <v>15</v>
      </c>
      <c r="D1790" t="s">
        <v>16</v>
      </c>
      <c r="E1790">
        <v>0</v>
      </c>
    </row>
    <row r="1791" spans="3:5">
      <c r="C1791" t="s">
        <v>17</v>
      </c>
      <c r="D1791" t="s">
        <v>18</v>
      </c>
      <c r="E1791">
        <v>0</v>
      </c>
    </row>
    <row r="1792" spans="3:5">
      <c r="C1792" t="s">
        <v>17</v>
      </c>
      <c r="D1792" t="s">
        <v>18</v>
      </c>
      <c r="E1792">
        <v>0</v>
      </c>
    </row>
    <row r="1793" spans="3:5">
      <c r="C1793" t="s">
        <v>17</v>
      </c>
      <c r="D1793" t="s">
        <v>18</v>
      </c>
      <c r="E1793">
        <v>0</v>
      </c>
    </row>
    <row r="1794" spans="3:5">
      <c r="C1794" t="s">
        <v>17</v>
      </c>
      <c r="D1794" t="s">
        <v>18</v>
      </c>
      <c r="E1794">
        <v>0</v>
      </c>
    </row>
    <row r="1795" spans="3:5">
      <c r="C1795" t="s">
        <v>17</v>
      </c>
      <c r="D1795" t="s">
        <v>18</v>
      </c>
      <c r="E1795">
        <v>0</v>
      </c>
    </row>
    <row r="1796" spans="3:5">
      <c r="C1796" t="s">
        <v>17</v>
      </c>
      <c r="D1796" t="s">
        <v>18</v>
      </c>
      <c r="E1796">
        <v>0</v>
      </c>
    </row>
    <row r="1797" spans="3:5">
      <c r="C1797" t="s">
        <v>17</v>
      </c>
      <c r="D1797" t="s">
        <v>18</v>
      </c>
      <c r="E1797">
        <v>0</v>
      </c>
    </row>
    <row r="1798" spans="3:5">
      <c r="C1798" t="s">
        <v>15</v>
      </c>
      <c r="D1798" t="s">
        <v>16</v>
      </c>
      <c r="E1798">
        <v>0</v>
      </c>
    </row>
    <row r="1799" spans="3:5">
      <c r="C1799" t="s">
        <v>17</v>
      </c>
      <c r="D1799" t="s">
        <v>18</v>
      </c>
      <c r="E1799">
        <v>0</v>
      </c>
    </row>
    <row r="1800" spans="3:5">
      <c r="C1800" t="s">
        <v>17</v>
      </c>
      <c r="D1800" t="s">
        <v>18</v>
      </c>
      <c r="E1800">
        <v>0</v>
      </c>
    </row>
    <row r="1801" spans="3:5">
      <c r="C1801" t="s">
        <v>17</v>
      </c>
      <c r="D1801" t="s">
        <v>18</v>
      </c>
      <c r="E1801">
        <v>0</v>
      </c>
    </row>
    <row r="1802" spans="3:5">
      <c r="C1802" t="s">
        <v>15</v>
      </c>
      <c r="D1802" t="s">
        <v>16</v>
      </c>
      <c r="E1802">
        <v>0</v>
      </c>
    </row>
    <row r="1803" spans="3:5">
      <c r="C1803" t="s">
        <v>15</v>
      </c>
      <c r="D1803" t="s">
        <v>16</v>
      </c>
      <c r="E1803">
        <v>0</v>
      </c>
    </row>
    <row r="1804" spans="3:5">
      <c r="C1804" t="s">
        <v>17</v>
      </c>
      <c r="D1804" t="s">
        <v>18</v>
      </c>
      <c r="E1804">
        <v>0</v>
      </c>
    </row>
    <row r="1805" spans="3:5">
      <c r="C1805" t="s">
        <v>15</v>
      </c>
      <c r="D1805" t="s">
        <v>16</v>
      </c>
      <c r="E1805">
        <v>0</v>
      </c>
    </row>
    <row r="1806" spans="3:5">
      <c r="C1806" t="s">
        <v>15</v>
      </c>
      <c r="D1806" t="s">
        <v>16</v>
      </c>
      <c r="E1806">
        <v>0</v>
      </c>
    </row>
    <row r="1807" spans="3:5">
      <c r="C1807" t="s">
        <v>15</v>
      </c>
      <c r="D1807" t="s">
        <v>16</v>
      </c>
      <c r="E1807">
        <v>0</v>
      </c>
    </row>
    <row r="1808" spans="3:5">
      <c r="C1808" t="s">
        <v>15</v>
      </c>
      <c r="D1808" t="s">
        <v>16</v>
      </c>
      <c r="E1808">
        <v>0</v>
      </c>
    </row>
    <row r="1809" spans="3:5">
      <c r="C1809" t="s">
        <v>15</v>
      </c>
      <c r="D1809" t="s">
        <v>16</v>
      </c>
      <c r="E1809">
        <v>0</v>
      </c>
    </row>
    <row r="1810" spans="3:5">
      <c r="C1810" t="s">
        <v>17</v>
      </c>
      <c r="D1810" t="s">
        <v>18</v>
      </c>
      <c r="E1810">
        <v>0</v>
      </c>
    </row>
    <row r="1811" spans="3:5">
      <c r="C1811" t="s">
        <v>15</v>
      </c>
      <c r="D1811" t="s">
        <v>16</v>
      </c>
      <c r="E1811">
        <v>0</v>
      </c>
    </row>
    <row r="1812" spans="3:5">
      <c r="C1812" t="s">
        <v>17</v>
      </c>
      <c r="D1812" t="s">
        <v>18</v>
      </c>
      <c r="E1812">
        <v>0</v>
      </c>
    </row>
    <row r="1813" spans="3:5">
      <c r="C1813" t="s">
        <v>17</v>
      </c>
      <c r="D1813" t="s">
        <v>18</v>
      </c>
      <c r="E1813">
        <v>0</v>
      </c>
    </row>
    <row r="1814" spans="3:5">
      <c r="C1814" t="s">
        <v>17</v>
      </c>
      <c r="D1814" t="s">
        <v>18</v>
      </c>
      <c r="E1814">
        <v>0</v>
      </c>
    </row>
    <row r="1815" spans="3:5">
      <c r="C1815" t="s">
        <v>15</v>
      </c>
      <c r="D1815" t="s">
        <v>16</v>
      </c>
      <c r="E1815">
        <v>0</v>
      </c>
    </row>
    <row r="1816" spans="3:5">
      <c r="C1816" t="s">
        <v>15</v>
      </c>
      <c r="D1816" t="s">
        <v>16</v>
      </c>
      <c r="E1816">
        <v>0</v>
      </c>
    </row>
    <row r="1817" spans="3:5">
      <c r="C1817" t="s">
        <v>17</v>
      </c>
      <c r="D1817" t="s">
        <v>18</v>
      </c>
      <c r="E1817">
        <v>0</v>
      </c>
    </row>
    <row r="1818" spans="3:5">
      <c r="C1818" t="s">
        <v>17</v>
      </c>
      <c r="D1818" t="s">
        <v>18</v>
      </c>
      <c r="E1818">
        <v>0</v>
      </c>
    </row>
    <row r="1819" spans="3:5">
      <c r="C1819" t="s">
        <v>15</v>
      </c>
      <c r="D1819" t="s">
        <v>16</v>
      </c>
      <c r="E1819">
        <v>0</v>
      </c>
    </row>
    <row r="1820" spans="3:5">
      <c r="C1820" t="s">
        <v>17</v>
      </c>
      <c r="D1820" t="s">
        <v>18</v>
      </c>
      <c r="E1820">
        <v>0</v>
      </c>
    </row>
    <row r="1821" spans="3:5">
      <c r="C1821" t="s">
        <v>15</v>
      </c>
      <c r="D1821" t="s">
        <v>16</v>
      </c>
      <c r="E1821">
        <v>0</v>
      </c>
    </row>
    <row r="1822" spans="3:5">
      <c r="C1822" t="s">
        <v>17</v>
      </c>
      <c r="D1822" t="s">
        <v>18</v>
      </c>
      <c r="E1822">
        <v>0</v>
      </c>
    </row>
    <row r="1823" spans="3:5">
      <c r="C1823" t="s">
        <v>15</v>
      </c>
      <c r="D1823" t="s">
        <v>16</v>
      </c>
      <c r="E1823">
        <v>0</v>
      </c>
    </row>
    <row r="1824" spans="3:5">
      <c r="C1824" t="s">
        <v>17</v>
      </c>
      <c r="D1824" t="s">
        <v>18</v>
      </c>
      <c r="E1824">
        <v>0</v>
      </c>
    </row>
    <row r="1825" spans="3:5">
      <c r="C1825" t="s">
        <v>17</v>
      </c>
      <c r="D1825" t="s">
        <v>18</v>
      </c>
      <c r="E1825">
        <v>0</v>
      </c>
    </row>
    <row r="1826" spans="3:5">
      <c r="C1826" t="s">
        <v>17</v>
      </c>
      <c r="D1826" t="s">
        <v>18</v>
      </c>
      <c r="E1826">
        <v>0</v>
      </c>
    </row>
    <row r="1827" spans="3:5">
      <c r="C1827" t="s">
        <v>17</v>
      </c>
      <c r="D1827" t="s">
        <v>18</v>
      </c>
      <c r="E1827">
        <v>0</v>
      </c>
    </row>
    <row r="1828" spans="3:5">
      <c r="C1828" t="s">
        <v>17</v>
      </c>
      <c r="D1828" t="s">
        <v>18</v>
      </c>
      <c r="E1828">
        <v>0</v>
      </c>
    </row>
    <row r="1829" spans="3:5">
      <c r="C1829" t="s">
        <v>17</v>
      </c>
      <c r="D1829" t="s">
        <v>18</v>
      </c>
      <c r="E1829">
        <v>0</v>
      </c>
    </row>
    <row r="1830" spans="3:5">
      <c r="C1830" t="s">
        <v>17</v>
      </c>
      <c r="D1830" t="s">
        <v>18</v>
      </c>
      <c r="E1830">
        <v>0</v>
      </c>
    </row>
    <row r="1831" spans="3:5">
      <c r="C1831" t="s">
        <v>17</v>
      </c>
      <c r="D1831" t="s">
        <v>18</v>
      </c>
      <c r="E1831">
        <v>0</v>
      </c>
    </row>
    <row r="1832" spans="3:5">
      <c r="C1832" t="s">
        <v>17</v>
      </c>
      <c r="D1832" t="s">
        <v>18</v>
      </c>
      <c r="E1832">
        <v>0</v>
      </c>
    </row>
    <row r="1833" spans="3:5">
      <c r="C1833" t="s">
        <v>15</v>
      </c>
      <c r="D1833" t="s">
        <v>16</v>
      </c>
      <c r="E1833">
        <v>0</v>
      </c>
    </row>
    <row r="1834" spans="3:5">
      <c r="C1834" t="s">
        <v>15</v>
      </c>
      <c r="D1834" t="s">
        <v>16</v>
      </c>
      <c r="E1834">
        <v>0</v>
      </c>
    </row>
    <row r="1835" spans="3:5">
      <c r="C1835" t="s">
        <v>15</v>
      </c>
      <c r="D1835" t="s">
        <v>16</v>
      </c>
      <c r="E1835">
        <v>0</v>
      </c>
    </row>
    <row r="1836" spans="3:5">
      <c r="C1836" t="s">
        <v>17</v>
      </c>
      <c r="D1836" t="s">
        <v>18</v>
      </c>
      <c r="E1836">
        <v>0</v>
      </c>
    </row>
    <row r="1837" spans="3:5">
      <c r="C1837" t="s">
        <v>15</v>
      </c>
      <c r="D1837" t="s">
        <v>16</v>
      </c>
      <c r="E1837">
        <v>0</v>
      </c>
    </row>
    <row r="1838" spans="3:5">
      <c r="C1838" t="s">
        <v>17</v>
      </c>
      <c r="D1838" t="s">
        <v>18</v>
      </c>
      <c r="E1838">
        <v>0</v>
      </c>
    </row>
    <row r="1839" spans="3:5">
      <c r="C1839" t="s">
        <v>17</v>
      </c>
      <c r="D1839" t="s">
        <v>18</v>
      </c>
      <c r="E1839">
        <v>0</v>
      </c>
    </row>
    <row r="1840" spans="3:5">
      <c r="C1840" t="s">
        <v>15</v>
      </c>
      <c r="D1840" t="s">
        <v>16</v>
      </c>
      <c r="E1840">
        <v>0</v>
      </c>
    </row>
    <row r="1841" spans="3:5">
      <c r="C1841" t="s">
        <v>15</v>
      </c>
      <c r="D1841" t="s">
        <v>16</v>
      </c>
      <c r="E1841">
        <v>0</v>
      </c>
    </row>
    <row r="1842" spans="3:5">
      <c r="C1842" t="s">
        <v>15</v>
      </c>
      <c r="D1842" t="s">
        <v>16</v>
      </c>
      <c r="E1842">
        <v>0</v>
      </c>
    </row>
    <row r="1843" spans="3:5">
      <c r="C1843" t="s">
        <v>15</v>
      </c>
      <c r="D1843" t="s">
        <v>16</v>
      </c>
      <c r="E1843">
        <v>0</v>
      </c>
    </row>
    <row r="1844" spans="3:5">
      <c r="C1844" t="s">
        <v>15</v>
      </c>
      <c r="D1844" t="s">
        <v>16</v>
      </c>
      <c r="E1844">
        <v>0</v>
      </c>
    </row>
    <row r="1845" spans="3:5">
      <c r="C1845" t="s">
        <v>15</v>
      </c>
      <c r="D1845" t="s">
        <v>16</v>
      </c>
      <c r="E1845">
        <v>0</v>
      </c>
    </row>
    <row r="1846" spans="3:5">
      <c r="C1846" t="s">
        <v>17</v>
      </c>
      <c r="D1846" t="s">
        <v>18</v>
      </c>
      <c r="E1846">
        <v>0</v>
      </c>
    </row>
    <row r="1847" spans="3:5">
      <c r="C1847" t="s">
        <v>17</v>
      </c>
      <c r="D1847" t="s">
        <v>18</v>
      </c>
      <c r="E1847">
        <v>0</v>
      </c>
    </row>
    <row r="1848" spans="3:5">
      <c r="C1848" t="s">
        <v>15</v>
      </c>
      <c r="D1848" t="s">
        <v>16</v>
      </c>
      <c r="E1848">
        <v>0</v>
      </c>
    </row>
    <row r="1849" spans="3:5">
      <c r="C1849" t="s">
        <v>15</v>
      </c>
      <c r="D1849" t="s">
        <v>16</v>
      </c>
      <c r="E1849">
        <v>0</v>
      </c>
    </row>
    <row r="1850" spans="3:5">
      <c r="C1850" t="s">
        <v>15</v>
      </c>
      <c r="D1850" t="s">
        <v>16</v>
      </c>
      <c r="E1850">
        <v>0</v>
      </c>
    </row>
    <row r="1851" spans="3:5">
      <c r="C1851" t="s">
        <v>15</v>
      </c>
      <c r="D1851" t="s">
        <v>16</v>
      </c>
      <c r="E1851">
        <v>0</v>
      </c>
    </row>
    <row r="1852" spans="3:5">
      <c r="C1852" t="s">
        <v>15</v>
      </c>
      <c r="D1852" t="s">
        <v>16</v>
      </c>
      <c r="E1852">
        <v>0</v>
      </c>
    </row>
    <row r="1853" spans="3:5">
      <c r="C1853" t="s">
        <v>15</v>
      </c>
      <c r="D1853" t="s">
        <v>16</v>
      </c>
      <c r="E1853">
        <v>0</v>
      </c>
    </row>
    <row r="1854" spans="3:5">
      <c r="C1854" t="s">
        <v>17</v>
      </c>
      <c r="D1854" t="s">
        <v>18</v>
      </c>
      <c r="E1854">
        <v>0</v>
      </c>
    </row>
    <row r="1855" spans="3:5">
      <c r="C1855" t="s">
        <v>15</v>
      </c>
      <c r="D1855" t="s">
        <v>16</v>
      </c>
      <c r="E1855">
        <v>0</v>
      </c>
    </row>
    <row r="1856" spans="3:5">
      <c r="C1856" t="s">
        <v>15</v>
      </c>
      <c r="D1856" t="s">
        <v>16</v>
      </c>
      <c r="E1856">
        <v>0</v>
      </c>
    </row>
    <row r="1857" spans="3:5">
      <c r="C1857" t="s">
        <v>17</v>
      </c>
      <c r="D1857" t="s">
        <v>18</v>
      </c>
      <c r="E1857">
        <v>0</v>
      </c>
    </row>
    <row r="1858" spans="3:5">
      <c r="C1858" t="s">
        <v>15</v>
      </c>
      <c r="D1858" t="s">
        <v>16</v>
      </c>
      <c r="E1858">
        <v>0</v>
      </c>
    </row>
    <row r="1859" spans="3:5">
      <c r="C1859" t="s">
        <v>15</v>
      </c>
      <c r="D1859" t="s">
        <v>16</v>
      </c>
      <c r="E1859">
        <v>0</v>
      </c>
    </row>
    <row r="1860" spans="3:5">
      <c r="C1860" t="s">
        <v>15</v>
      </c>
      <c r="D1860" t="s">
        <v>16</v>
      </c>
      <c r="E1860">
        <v>0</v>
      </c>
    </row>
    <row r="1861" spans="3:5">
      <c r="C1861" t="s">
        <v>15</v>
      </c>
      <c r="D1861" t="s">
        <v>16</v>
      </c>
      <c r="E1861">
        <v>0</v>
      </c>
    </row>
    <row r="1862" spans="3:5">
      <c r="C1862" t="s">
        <v>17</v>
      </c>
      <c r="D1862" t="s">
        <v>18</v>
      </c>
      <c r="E1862">
        <v>0</v>
      </c>
    </row>
    <row r="1863" spans="3:5">
      <c r="C1863" t="s">
        <v>17</v>
      </c>
      <c r="D1863" t="s">
        <v>18</v>
      </c>
      <c r="E1863">
        <v>0</v>
      </c>
    </row>
    <row r="1864" spans="3:5">
      <c r="C1864" t="s">
        <v>15</v>
      </c>
      <c r="D1864" t="s">
        <v>16</v>
      </c>
      <c r="E1864">
        <v>1</v>
      </c>
    </row>
    <row r="1865" spans="3:5">
      <c r="C1865" t="s">
        <v>15</v>
      </c>
      <c r="D1865" t="s">
        <v>16</v>
      </c>
      <c r="E1865">
        <v>0</v>
      </c>
    </row>
    <row r="1866" spans="3:5">
      <c r="C1866" t="s">
        <v>15</v>
      </c>
      <c r="D1866" t="s">
        <v>16</v>
      </c>
      <c r="E1866">
        <v>0</v>
      </c>
    </row>
    <row r="1867" spans="3:5">
      <c r="C1867" t="s">
        <v>15</v>
      </c>
      <c r="D1867" t="s">
        <v>16</v>
      </c>
      <c r="E1867">
        <v>0</v>
      </c>
    </row>
    <row r="1868" spans="3:5">
      <c r="C1868" t="s">
        <v>15</v>
      </c>
      <c r="D1868" t="s">
        <v>16</v>
      </c>
      <c r="E1868">
        <v>0</v>
      </c>
    </row>
    <row r="1869" spans="3:5">
      <c r="C1869" t="s">
        <v>15</v>
      </c>
      <c r="D1869" t="s">
        <v>16</v>
      </c>
      <c r="E1869">
        <v>0</v>
      </c>
    </row>
    <row r="1870" spans="3:5">
      <c r="C1870" t="s">
        <v>17</v>
      </c>
      <c r="D1870" t="s">
        <v>18</v>
      </c>
      <c r="E1870">
        <v>0</v>
      </c>
    </row>
    <row r="1871" spans="3:5">
      <c r="C1871" t="s">
        <v>15</v>
      </c>
      <c r="D1871" t="s">
        <v>16</v>
      </c>
      <c r="E1871">
        <v>0</v>
      </c>
    </row>
    <row r="1872" spans="3:5">
      <c r="C1872" t="s">
        <v>15</v>
      </c>
      <c r="D1872" t="s">
        <v>16</v>
      </c>
      <c r="E1872">
        <v>1</v>
      </c>
    </row>
    <row r="1873" spans="3:5">
      <c r="C1873" t="s">
        <v>15</v>
      </c>
      <c r="D1873" t="s">
        <v>16</v>
      </c>
      <c r="E1873">
        <v>0</v>
      </c>
    </row>
    <row r="1874" spans="3:5">
      <c r="C1874" t="s">
        <v>17</v>
      </c>
      <c r="D1874" t="s">
        <v>18</v>
      </c>
      <c r="E1874">
        <v>0</v>
      </c>
    </row>
    <row r="1875" spans="3:5">
      <c r="C1875" t="s">
        <v>17</v>
      </c>
      <c r="D1875" t="s">
        <v>18</v>
      </c>
      <c r="E1875">
        <v>0</v>
      </c>
    </row>
    <row r="1876" spans="3:5">
      <c r="C1876" t="s">
        <v>15</v>
      </c>
      <c r="D1876" t="s">
        <v>16</v>
      </c>
      <c r="E1876">
        <v>0</v>
      </c>
    </row>
    <row r="1877" spans="3:5">
      <c r="C1877" t="s">
        <v>17</v>
      </c>
      <c r="D1877" t="s">
        <v>18</v>
      </c>
      <c r="E1877">
        <v>0</v>
      </c>
    </row>
    <row r="1878" spans="3:5">
      <c r="C1878" t="s">
        <v>15</v>
      </c>
      <c r="D1878" t="s">
        <v>16</v>
      </c>
      <c r="E1878">
        <v>0</v>
      </c>
    </row>
    <row r="1879" spans="3:5">
      <c r="C1879" t="s">
        <v>17</v>
      </c>
      <c r="D1879" t="s">
        <v>18</v>
      </c>
      <c r="E1879">
        <v>0</v>
      </c>
    </row>
    <row r="1880" spans="3:5">
      <c r="C1880" t="s">
        <v>15</v>
      </c>
      <c r="D1880" t="s">
        <v>16</v>
      </c>
      <c r="E1880">
        <v>0</v>
      </c>
    </row>
    <row r="1881" spans="3:5">
      <c r="C1881" t="s">
        <v>17</v>
      </c>
      <c r="D1881" t="s">
        <v>18</v>
      </c>
      <c r="E1881">
        <v>0</v>
      </c>
    </row>
    <row r="1882" spans="3:5">
      <c r="C1882" t="s">
        <v>17</v>
      </c>
      <c r="D1882" t="s">
        <v>18</v>
      </c>
      <c r="E1882">
        <v>0</v>
      </c>
    </row>
    <row r="1883" spans="3:5">
      <c r="C1883" t="s">
        <v>17</v>
      </c>
      <c r="D1883" t="s">
        <v>18</v>
      </c>
      <c r="E1883">
        <v>0</v>
      </c>
    </row>
    <row r="1884" spans="3:5">
      <c r="C1884" t="s">
        <v>17</v>
      </c>
      <c r="D1884" t="s">
        <v>18</v>
      </c>
      <c r="E1884">
        <v>0</v>
      </c>
    </row>
    <row r="1885" spans="3:5">
      <c r="C1885" t="s">
        <v>15</v>
      </c>
      <c r="D1885" t="s">
        <v>16</v>
      </c>
      <c r="E1885">
        <v>0</v>
      </c>
    </row>
    <row r="1886" spans="3:5">
      <c r="C1886" t="s">
        <v>15</v>
      </c>
      <c r="D1886" t="s">
        <v>16</v>
      </c>
      <c r="E1886">
        <v>1</v>
      </c>
    </row>
    <row r="1887" spans="3:5">
      <c r="C1887" t="s">
        <v>15</v>
      </c>
      <c r="D1887" t="s">
        <v>16</v>
      </c>
      <c r="E1887">
        <v>0</v>
      </c>
    </row>
    <row r="1888" spans="3:5">
      <c r="C1888" t="s">
        <v>15</v>
      </c>
      <c r="D1888" t="s">
        <v>16</v>
      </c>
      <c r="E1888">
        <v>0</v>
      </c>
    </row>
    <row r="1889" spans="3:5">
      <c r="C1889" t="s">
        <v>15</v>
      </c>
      <c r="D1889" t="s">
        <v>16</v>
      </c>
      <c r="E1889">
        <v>0</v>
      </c>
    </row>
    <row r="1890" spans="3:5">
      <c r="C1890" t="s">
        <v>17</v>
      </c>
      <c r="D1890" t="s">
        <v>18</v>
      </c>
      <c r="E1890">
        <v>0</v>
      </c>
    </row>
    <row r="1891" spans="3:5">
      <c r="C1891" t="s">
        <v>17</v>
      </c>
      <c r="D1891" t="s">
        <v>18</v>
      </c>
      <c r="E1891">
        <v>0</v>
      </c>
    </row>
    <row r="1892" spans="3:5">
      <c r="C1892" t="s">
        <v>17</v>
      </c>
      <c r="D1892" t="s">
        <v>18</v>
      </c>
      <c r="E1892">
        <v>0</v>
      </c>
    </row>
    <row r="1893" spans="3:5">
      <c r="C1893" t="s">
        <v>17</v>
      </c>
      <c r="D1893" t="s">
        <v>18</v>
      </c>
      <c r="E1893">
        <v>0</v>
      </c>
    </row>
    <row r="1894" spans="3:5">
      <c r="C1894" t="s">
        <v>15</v>
      </c>
      <c r="D1894" t="s">
        <v>16</v>
      </c>
      <c r="E1894">
        <v>0</v>
      </c>
    </row>
    <row r="1895" spans="3:5">
      <c r="C1895" t="s">
        <v>15</v>
      </c>
      <c r="D1895" t="s">
        <v>16</v>
      </c>
      <c r="E1895">
        <v>0</v>
      </c>
    </row>
    <row r="1896" spans="3:5">
      <c r="C1896" t="s">
        <v>17</v>
      </c>
      <c r="D1896" t="s">
        <v>18</v>
      </c>
      <c r="E1896">
        <v>0</v>
      </c>
    </row>
    <row r="1897" spans="3:5">
      <c r="C1897" t="s">
        <v>15</v>
      </c>
      <c r="D1897" t="s">
        <v>16</v>
      </c>
      <c r="E1897">
        <v>0</v>
      </c>
    </row>
    <row r="1898" spans="3:5">
      <c r="C1898" t="s">
        <v>17</v>
      </c>
      <c r="D1898" t="s">
        <v>18</v>
      </c>
      <c r="E1898">
        <v>1</v>
      </c>
    </row>
    <row r="1899" spans="3:5">
      <c r="C1899" t="s">
        <v>15</v>
      </c>
      <c r="D1899" t="s">
        <v>16</v>
      </c>
      <c r="E1899">
        <v>0</v>
      </c>
    </row>
    <row r="1900" spans="3:5">
      <c r="C1900" t="s">
        <v>17</v>
      </c>
      <c r="D1900" t="s">
        <v>18</v>
      </c>
      <c r="E1900">
        <v>0</v>
      </c>
    </row>
    <row r="1901" spans="3:5">
      <c r="C1901" t="s">
        <v>15</v>
      </c>
      <c r="D1901" t="s">
        <v>16</v>
      </c>
      <c r="E1901">
        <v>0</v>
      </c>
    </row>
    <row r="1902" spans="3:5">
      <c r="C1902" t="s">
        <v>17</v>
      </c>
      <c r="D1902" t="s">
        <v>18</v>
      </c>
      <c r="E1902">
        <v>0</v>
      </c>
    </row>
    <row r="1903" spans="3:5">
      <c r="C1903" t="s">
        <v>17</v>
      </c>
      <c r="D1903" t="s">
        <v>18</v>
      </c>
      <c r="E1903">
        <v>0</v>
      </c>
    </row>
    <row r="1904" spans="3:5">
      <c r="C1904" t="s">
        <v>17</v>
      </c>
      <c r="D1904" t="s">
        <v>18</v>
      </c>
      <c r="E1904">
        <v>1</v>
      </c>
    </row>
    <row r="1905" spans="3:5">
      <c r="C1905" t="s">
        <v>17</v>
      </c>
      <c r="D1905" t="s">
        <v>18</v>
      </c>
      <c r="E1905">
        <v>1</v>
      </c>
    </row>
    <row r="1906" spans="3:5">
      <c r="C1906" t="s">
        <v>15</v>
      </c>
      <c r="D1906" t="s">
        <v>16</v>
      </c>
      <c r="E1906">
        <v>0</v>
      </c>
    </row>
    <row r="1907" spans="3:5">
      <c r="C1907" t="s">
        <v>15</v>
      </c>
      <c r="D1907" t="s">
        <v>16</v>
      </c>
      <c r="E1907">
        <v>0</v>
      </c>
    </row>
    <row r="1908" spans="3:5">
      <c r="C1908" t="s">
        <v>15</v>
      </c>
      <c r="D1908" t="s">
        <v>16</v>
      </c>
      <c r="E1908">
        <v>0</v>
      </c>
    </row>
    <row r="1909" spans="3:5">
      <c r="C1909" t="s">
        <v>15</v>
      </c>
      <c r="D1909" t="s">
        <v>16</v>
      </c>
      <c r="E1909">
        <v>0</v>
      </c>
    </row>
    <row r="1910" spans="3:5">
      <c r="C1910" t="s">
        <v>15</v>
      </c>
      <c r="D1910" t="s">
        <v>16</v>
      </c>
      <c r="E1910">
        <v>1</v>
      </c>
    </row>
    <row r="1911" spans="3:5">
      <c r="C1911" t="s">
        <v>17</v>
      </c>
      <c r="D1911" t="s">
        <v>18</v>
      </c>
      <c r="E1911">
        <v>0</v>
      </c>
    </row>
    <row r="1912" spans="3:5">
      <c r="C1912" t="s">
        <v>15</v>
      </c>
      <c r="D1912" t="s">
        <v>16</v>
      </c>
      <c r="E1912">
        <v>0</v>
      </c>
    </row>
    <row r="1913" spans="3:5">
      <c r="C1913" t="s">
        <v>17</v>
      </c>
      <c r="D1913" t="s">
        <v>18</v>
      </c>
      <c r="E1913">
        <v>0</v>
      </c>
    </row>
    <row r="1914" spans="3:5">
      <c r="C1914" t="s">
        <v>17</v>
      </c>
      <c r="D1914" t="s">
        <v>18</v>
      </c>
      <c r="E1914">
        <v>0</v>
      </c>
    </row>
    <row r="1915" spans="3:5">
      <c r="C1915" t="s">
        <v>15</v>
      </c>
      <c r="D1915" t="s">
        <v>16</v>
      </c>
      <c r="E1915">
        <v>0</v>
      </c>
    </row>
    <row r="1916" spans="3:5">
      <c r="C1916" t="s">
        <v>17</v>
      </c>
      <c r="D1916" t="s">
        <v>18</v>
      </c>
      <c r="E1916">
        <v>0</v>
      </c>
    </row>
    <row r="1917" spans="3:5">
      <c r="C1917" t="s">
        <v>17</v>
      </c>
      <c r="D1917" t="s">
        <v>18</v>
      </c>
      <c r="E1917">
        <v>0</v>
      </c>
    </row>
    <row r="1918" spans="3:5">
      <c r="C1918" t="s">
        <v>15</v>
      </c>
      <c r="D1918" t="s">
        <v>16</v>
      </c>
      <c r="E1918">
        <v>0</v>
      </c>
    </row>
    <row r="1919" spans="3:5">
      <c r="C1919" t="s">
        <v>15</v>
      </c>
      <c r="D1919" t="s">
        <v>16</v>
      </c>
      <c r="E1919">
        <v>0</v>
      </c>
    </row>
    <row r="1920" spans="3:5">
      <c r="C1920" t="s">
        <v>17</v>
      </c>
      <c r="D1920" t="s">
        <v>18</v>
      </c>
      <c r="E1920">
        <v>0</v>
      </c>
    </row>
    <row r="1921" spans="3:5">
      <c r="C1921" t="s">
        <v>15</v>
      </c>
      <c r="D1921" t="s">
        <v>16</v>
      </c>
      <c r="E1921">
        <v>0</v>
      </c>
    </row>
    <row r="1922" spans="3:5">
      <c r="C1922" t="s">
        <v>15</v>
      </c>
      <c r="D1922" t="s">
        <v>16</v>
      </c>
      <c r="E1922">
        <v>0</v>
      </c>
    </row>
    <row r="1923" spans="3:5">
      <c r="C1923" t="s">
        <v>17</v>
      </c>
      <c r="D1923" t="s">
        <v>18</v>
      </c>
      <c r="E1923">
        <v>0</v>
      </c>
    </row>
    <row r="1924" spans="3:5">
      <c r="C1924" t="s">
        <v>17</v>
      </c>
      <c r="D1924" t="s">
        <v>18</v>
      </c>
      <c r="E1924">
        <v>0</v>
      </c>
    </row>
    <row r="1925" spans="3:5">
      <c r="C1925" t="s">
        <v>15</v>
      </c>
      <c r="D1925" t="s">
        <v>16</v>
      </c>
      <c r="E1925">
        <v>0</v>
      </c>
    </row>
    <row r="1926" spans="3:5">
      <c r="C1926" t="s">
        <v>15</v>
      </c>
      <c r="D1926" t="s">
        <v>16</v>
      </c>
      <c r="E1926">
        <v>0</v>
      </c>
    </row>
    <row r="1927" spans="3:5">
      <c r="C1927" t="s">
        <v>15</v>
      </c>
      <c r="D1927" t="s">
        <v>16</v>
      </c>
      <c r="E1927">
        <v>0</v>
      </c>
    </row>
    <row r="1928" spans="3:5">
      <c r="C1928" t="s">
        <v>17</v>
      </c>
      <c r="D1928" t="s">
        <v>18</v>
      </c>
      <c r="E1928">
        <v>1</v>
      </c>
    </row>
    <row r="1929" spans="3:5">
      <c r="C1929" t="s">
        <v>17</v>
      </c>
      <c r="D1929" t="s">
        <v>18</v>
      </c>
      <c r="E1929">
        <v>0</v>
      </c>
    </row>
    <row r="1930" spans="3:5">
      <c r="C1930" t="s">
        <v>17</v>
      </c>
      <c r="D1930" t="s">
        <v>18</v>
      </c>
      <c r="E1930">
        <v>0</v>
      </c>
    </row>
    <row r="1931" spans="3:5">
      <c r="C1931" t="s">
        <v>17</v>
      </c>
      <c r="D1931" t="s">
        <v>18</v>
      </c>
      <c r="E1931">
        <v>0</v>
      </c>
    </row>
    <row r="1932" spans="3:5">
      <c r="C1932" t="s">
        <v>17</v>
      </c>
      <c r="D1932" t="s">
        <v>18</v>
      </c>
      <c r="E1932">
        <v>0</v>
      </c>
    </row>
    <row r="1933" spans="3:5">
      <c r="C1933" t="s">
        <v>17</v>
      </c>
      <c r="D1933" t="s">
        <v>18</v>
      </c>
      <c r="E1933">
        <v>0</v>
      </c>
    </row>
    <row r="1934" spans="3:5">
      <c r="C1934" t="s">
        <v>15</v>
      </c>
      <c r="D1934" t="s">
        <v>16</v>
      </c>
      <c r="E1934">
        <v>0</v>
      </c>
    </row>
    <row r="1935" spans="3:5">
      <c r="C1935" t="s">
        <v>17</v>
      </c>
      <c r="D1935" t="s">
        <v>18</v>
      </c>
      <c r="E1935">
        <v>0</v>
      </c>
    </row>
    <row r="1936" spans="3:5">
      <c r="C1936" t="s">
        <v>17</v>
      </c>
      <c r="D1936" t="s">
        <v>18</v>
      </c>
      <c r="E1936">
        <v>0</v>
      </c>
    </row>
    <row r="1937" spans="3:5">
      <c r="C1937" t="s">
        <v>17</v>
      </c>
      <c r="D1937" t="s">
        <v>18</v>
      </c>
      <c r="E1937">
        <v>0</v>
      </c>
    </row>
    <row r="1938" spans="3:5">
      <c r="C1938" t="s">
        <v>15</v>
      </c>
      <c r="D1938" t="s">
        <v>16</v>
      </c>
      <c r="E1938">
        <v>0</v>
      </c>
    </row>
    <row r="1939" spans="3:5">
      <c r="C1939" t="s">
        <v>17</v>
      </c>
      <c r="D1939" t="s">
        <v>18</v>
      </c>
      <c r="E1939">
        <v>0</v>
      </c>
    </row>
    <row r="1940" spans="3:5">
      <c r="C1940" t="s">
        <v>17</v>
      </c>
      <c r="D1940" t="s">
        <v>18</v>
      </c>
      <c r="E1940">
        <v>0</v>
      </c>
    </row>
    <row r="1941" spans="3:5">
      <c r="C1941" t="s">
        <v>17</v>
      </c>
      <c r="D1941" t="s">
        <v>18</v>
      </c>
      <c r="E1941">
        <v>1</v>
      </c>
    </row>
    <row r="1942" spans="3:5">
      <c r="C1942" t="s">
        <v>17</v>
      </c>
      <c r="D1942" t="s">
        <v>18</v>
      </c>
      <c r="E1942">
        <v>0</v>
      </c>
    </row>
    <row r="1943" spans="3:5">
      <c r="C1943" t="s">
        <v>15</v>
      </c>
      <c r="D1943" t="s">
        <v>16</v>
      </c>
      <c r="E1943">
        <v>0</v>
      </c>
    </row>
    <row r="1944" spans="3:5">
      <c r="C1944" t="s">
        <v>15</v>
      </c>
      <c r="D1944" t="s">
        <v>16</v>
      </c>
      <c r="E1944">
        <v>0</v>
      </c>
    </row>
    <row r="1945" spans="3:5">
      <c r="C1945" t="s">
        <v>17</v>
      </c>
      <c r="D1945" t="s">
        <v>18</v>
      </c>
      <c r="E1945">
        <v>0</v>
      </c>
    </row>
    <row r="1946" spans="3:5">
      <c r="C1946" t="s">
        <v>17</v>
      </c>
      <c r="D1946" t="s">
        <v>18</v>
      </c>
      <c r="E1946">
        <v>0</v>
      </c>
    </row>
    <row r="1947" spans="3:5">
      <c r="C1947" t="s">
        <v>15</v>
      </c>
      <c r="D1947" t="s">
        <v>16</v>
      </c>
      <c r="E1947">
        <v>0</v>
      </c>
    </row>
    <row r="1948" spans="3:5">
      <c r="C1948" t="s">
        <v>15</v>
      </c>
      <c r="D1948" t="s">
        <v>16</v>
      </c>
      <c r="E1948">
        <v>0</v>
      </c>
    </row>
    <row r="1949" spans="3:5">
      <c r="C1949" t="s">
        <v>17</v>
      </c>
      <c r="D1949" t="s">
        <v>18</v>
      </c>
      <c r="E1949">
        <v>0</v>
      </c>
    </row>
    <row r="1950" spans="3:5">
      <c r="C1950" t="s">
        <v>15</v>
      </c>
      <c r="D1950" t="s">
        <v>16</v>
      </c>
      <c r="E1950">
        <v>0</v>
      </c>
    </row>
    <row r="1951" spans="3:5">
      <c r="C1951" t="s">
        <v>15</v>
      </c>
      <c r="D1951" t="s">
        <v>16</v>
      </c>
      <c r="E1951">
        <v>0</v>
      </c>
    </row>
    <row r="1952" spans="3:5">
      <c r="C1952" t="s">
        <v>15</v>
      </c>
      <c r="D1952" t="s">
        <v>16</v>
      </c>
      <c r="E1952">
        <v>0</v>
      </c>
    </row>
    <row r="1953" spans="3:5">
      <c r="C1953" t="s">
        <v>15</v>
      </c>
      <c r="D1953" t="s">
        <v>16</v>
      </c>
      <c r="E1953">
        <v>0</v>
      </c>
    </row>
    <row r="1954" spans="3:5">
      <c r="C1954" t="s">
        <v>17</v>
      </c>
      <c r="D1954" t="s">
        <v>18</v>
      </c>
      <c r="E1954">
        <v>0</v>
      </c>
    </row>
    <row r="1955" spans="3:5">
      <c r="C1955" t="s">
        <v>15</v>
      </c>
      <c r="D1955" t="s">
        <v>16</v>
      </c>
      <c r="E1955">
        <v>0</v>
      </c>
    </row>
    <row r="1956" spans="3:5">
      <c r="C1956" t="s">
        <v>15</v>
      </c>
      <c r="D1956" t="s">
        <v>16</v>
      </c>
      <c r="E1956">
        <v>0</v>
      </c>
    </row>
    <row r="1957" spans="3:5">
      <c r="C1957" t="s">
        <v>15</v>
      </c>
      <c r="D1957" t="s">
        <v>16</v>
      </c>
      <c r="E1957">
        <v>0</v>
      </c>
    </row>
    <row r="1958" spans="3:5">
      <c r="C1958" t="s">
        <v>17</v>
      </c>
      <c r="D1958" t="s">
        <v>18</v>
      </c>
      <c r="E1958">
        <v>0</v>
      </c>
    </row>
    <row r="1959" spans="3:5">
      <c r="C1959" t="s">
        <v>17</v>
      </c>
      <c r="D1959" t="s">
        <v>18</v>
      </c>
      <c r="E1959">
        <v>0</v>
      </c>
    </row>
    <row r="1960" spans="3:5">
      <c r="C1960" t="s">
        <v>15</v>
      </c>
      <c r="D1960" t="s">
        <v>16</v>
      </c>
      <c r="E1960">
        <v>0</v>
      </c>
    </row>
    <row r="1961" spans="3:5">
      <c r="C1961" t="s">
        <v>15</v>
      </c>
      <c r="D1961" t="s">
        <v>16</v>
      </c>
      <c r="E1961">
        <v>1</v>
      </c>
    </row>
    <row r="1962" spans="3:5">
      <c r="C1962" t="s">
        <v>17</v>
      </c>
      <c r="D1962" t="s">
        <v>18</v>
      </c>
      <c r="E1962">
        <v>0</v>
      </c>
    </row>
    <row r="1963" spans="3:5">
      <c r="C1963" t="s">
        <v>15</v>
      </c>
      <c r="D1963" t="s">
        <v>16</v>
      </c>
      <c r="E1963">
        <v>0</v>
      </c>
    </row>
    <row r="1964" spans="3:5">
      <c r="C1964" t="s">
        <v>15</v>
      </c>
      <c r="D1964" t="s">
        <v>16</v>
      </c>
      <c r="E1964">
        <v>0</v>
      </c>
    </row>
    <row r="1965" spans="3:5">
      <c r="C1965" t="s">
        <v>17</v>
      </c>
      <c r="D1965" t="s">
        <v>18</v>
      </c>
      <c r="E1965">
        <v>0</v>
      </c>
    </row>
    <row r="1966" spans="3:5">
      <c r="C1966" t="s">
        <v>17</v>
      </c>
      <c r="D1966" t="s">
        <v>18</v>
      </c>
      <c r="E1966">
        <v>0</v>
      </c>
    </row>
    <row r="1967" spans="3:5">
      <c r="C1967" t="s">
        <v>15</v>
      </c>
      <c r="D1967" t="s">
        <v>16</v>
      </c>
      <c r="E1967">
        <v>0</v>
      </c>
    </row>
    <row r="1968" spans="3:5">
      <c r="C1968" t="s">
        <v>15</v>
      </c>
      <c r="D1968" t="s">
        <v>16</v>
      </c>
      <c r="E1968">
        <v>0</v>
      </c>
    </row>
    <row r="1969" spans="3:5">
      <c r="C1969" t="s">
        <v>17</v>
      </c>
      <c r="D1969" t="s">
        <v>18</v>
      </c>
      <c r="E1969">
        <v>0</v>
      </c>
    </row>
    <row r="1970" spans="3:5">
      <c r="C1970" t="s">
        <v>17</v>
      </c>
      <c r="D1970" t="s">
        <v>18</v>
      </c>
      <c r="E1970">
        <v>0</v>
      </c>
    </row>
    <row r="1971" spans="3:5">
      <c r="C1971" t="s">
        <v>17</v>
      </c>
      <c r="D1971" t="s">
        <v>18</v>
      </c>
      <c r="E1971">
        <v>0</v>
      </c>
    </row>
    <row r="1972" spans="3:5">
      <c r="C1972" t="s">
        <v>15</v>
      </c>
      <c r="D1972" t="s">
        <v>16</v>
      </c>
      <c r="E1972">
        <v>0</v>
      </c>
    </row>
    <row r="1973" spans="3:5">
      <c r="C1973" t="s">
        <v>17</v>
      </c>
      <c r="D1973" t="s">
        <v>18</v>
      </c>
      <c r="E1973">
        <v>0</v>
      </c>
    </row>
    <row r="1974" spans="3:5">
      <c r="C1974" t="s">
        <v>15</v>
      </c>
      <c r="D1974" t="s">
        <v>16</v>
      </c>
      <c r="E1974">
        <v>0</v>
      </c>
    </row>
    <row r="1975" spans="3:5">
      <c r="C1975" t="s">
        <v>15</v>
      </c>
      <c r="D1975" t="s">
        <v>16</v>
      </c>
      <c r="E1975">
        <v>0</v>
      </c>
    </row>
    <row r="1976" spans="3:5">
      <c r="C1976" t="s">
        <v>15</v>
      </c>
      <c r="D1976" t="s">
        <v>16</v>
      </c>
      <c r="E1976">
        <v>0</v>
      </c>
    </row>
    <row r="1977" spans="3:5">
      <c r="C1977" t="s">
        <v>15</v>
      </c>
      <c r="D1977" t="s">
        <v>16</v>
      </c>
      <c r="E1977">
        <v>0</v>
      </c>
    </row>
    <row r="1978" spans="3:5">
      <c r="C1978" t="s">
        <v>17</v>
      </c>
      <c r="D1978" t="s">
        <v>18</v>
      </c>
      <c r="E1978">
        <v>0</v>
      </c>
    </row>
    <row r="1979" spans="3:5">
      <c r="C1979" t="s">
        <v>17</v>
      </c>
      <c r="D1979" t="s">
        <v>18</v>
      </c>
      <c r="E1979">
        <v>0</v>
      </c>
    </row>
    <row r="1980" spans="3:5">
      <c r="C1980" t="s">
        <v>15</v>
      </c>
      <c r="D1980" t="s">
        <v>16</v>
      </c>
      <c r="E1980">
        <v>0</v>
      </c>
    </row>
    <row r="1981" spans="3:5">
      <c r="C1981" t="s">
        <v>17</v>
      </c>
      <c r="D1981" t="s">
        <v>18</v>
      </c>
      <c r="E1981">
        <v>0</v>
      </c>
    </row>
    <row r="1982" spans="3:5">
      <c r="C1982" t="s">
        <v>17</v>
      </c>
      <c r="D1982" t="s">
        <v>18</v>
      </c>
      <c r="E1982">
        <v>0</v>
      </c>
    </row>
    <row r="1983" spans="3:5">
      <c r="C1983" t="s">
        <v>15</v>
      </c>
      <c r="D1983" t="s">
        <v>16</v>
      </c>
      <c r="E1983">
        <v>0</v>
      </c>
    </row>
    <row r="1984" spans="3:5">
      <c r="C1984" t="s">
        <v>15</v>
      </c>
      <c r="D1984" t="s">
        <v>16</v>
      </c>
      <c r="E1984">
        <v>0</v>
      </c>
    </row>
    <row r="1985" spans="3:5">
      <c r="C1985" t="s">
        <v>15</v>
      </c>
      <c r="D1985" t="s">
        <v>16</v>
      </c>
      <c r="E1985">
        <v>0</v>
      </c>
    </row>
    <row r="1986" spans="3:5">
      <c r="C1986" t="s">
        <v>17</v>
      </c>
      <c r="D1986" t="s">
        <v>18</v>
      </c>
      <c r="E1986">
        <v>0</v>
      </c>
    </row>
    <row r="1987" spans="3:5">
      <c r="C1987" t="s">
        <v>17</v>
      </c>
      <c r="D1987" t="s">
        <v>18</v>
      </c>
      <c r="E1987">
        <v>0</v>
      </c>
    </row>
    <row r="1988" spans="3:5">
      <c r="C1988" t="s">
        <v>17</v>
      </c>
      <c r="D1988" t="s">
        <v>18</v>
      </c>
      <c r="E1988">
        <v>0</v>
      </c>
    </row>
    <row r="1989" spans="3:5">
      <c r="C1989" t="s">
        <v>15</v>
      </c>
      <c r="D1989" t="s">
        <v>16</v>
      </c>
      <c r="E1989">
        <v>0</v>
      </c>
    </row>
    <row r="1990" spans="3:5">
      <c r="C1990" t="s">
        <v>17</v>
      </c>
      <c r="D1990" t="s">
        <v>18</v>
      </c>
      <c r="E1990">
        <v>0</v>
      </c>
    </row>
    <row r="1991" spans="3:5">
      <c r="C1991" t="s">
        <v>15</v>
      </c>
      <c r="D1991" t="s">
        <v>16</v>
      </c>
      <c r="E1991">
        <v>0</v>
      </c>
    </row>
    <row r="1992" spans="3:5">
      <c r="C1992" t="s">
        <v>17</v>
      </c>
      <c r="D1992" t="s">
        <v>18</v>
      </c>
      <c r="E1992">
        <v>0</v>
      </c>
    </row>
    <row r="1993" spans="3:5">
      <c r="C1993" t="s">
        <v>15</v>
      </c>
      <c r="D1993" t="s">
        <v>16</v>
      </c>
      <c r="E1993">
        <v>0</v>
      </c>
    </row>
    <row r="1994" spans="3:5">
      <c r="C1994" t="s">
        <v>17</v>
      </c>
      <c r="D1994" t="s">
        <v>18</v>
      </c>
      <c r="E1994">
        <v>0</v>
      </c>
    </row>
    <row r="1995" spans="3:5">
      <c r="C1995" t="s">
        <v>15</v>
      </c>
      <c r="D1995" t="s">
        <v>16</v>
      </c>
      <c r="E1995">
        <v>1</v>
      </c>
    </row>
    <row r="1996" spans="3:5">
      <c r="C1996" t="s">
        <v>17</v>
      </c>
      <c r="D1996" t="s">
        <v>18</v>
      </c>
      <c r="E1996">
        <v>0</v>
      </c>
    </row>
    <row r="1997" spans="3:5">
      <c r="C1997" t="s">
        <v>15</v>
      </c>
      <c r="D1997" t="s">
        <v>16</v>
      </c>
      <c r="E1997">
        <v>0</v>
      </c>
    </row>
    <row r="1998" spans="3:5">
      <c r="C1998" t="s">
        <v>17</v>
      </c>
      <c r="D1998" t="s">
        <v>18</v>
      </c>
      <c r="E1998">
        <v>0</v>
      </c>
    </row>
    <row r="1999" spans="3:5">
      <c r="C1999" t="s">
        <v>17</v>
      </c>
      <c r="D1999" t="s">
        <v>18</v>
      </c>
      <c r="E1999">
        <v>0</v>
      </c>
    </row>
    <row r="2000" spans="3:5">
      <c r="C2000" t="s">
        <v>15</v>
      </c>
      <c r="D2000" t="s">
        <v>16</v>
      </c>
      <c r="E2000">
        <v>0</v>
      </c>
    </row>
    <row r="2001" spans="3:5">
      <c r="C2001" t="s">
        <v>15</v>
      </c>
      <c r="D2001" t="s">
        <v>16</v>
      </c>
      <c r="E2001">
        <v>0</v>
      </c>
    </row>
    <row r="2002" spans="3:5">
      <c r="C2002" t="s">
        <v>15</v>
      </c>
      <c r="D2002" t="s">
        <v>16</v>
      </c>
      <c r="E2002">
        <v>0</v>
      </c>
    </row>
    <row r="2003" spans="3:5">
      <c r="C2003" t="s">
        <v>15</v>
      </c>
      <c r="D2003" t="s">
        <v>16</v>
      </c>
      <c r="E2003">
        <v>1</v>
      </c>
    </row>
    <row r="2004" spans="3:5">
      <c r="C2004" t="s">
        <v>15</v>
      </c>
      <c r="D2004" t="s">
        <v>16</v>
      </c>
      <c r="E2004">
        <v>0</v>
      </c>
    </row>
    <row r="2005" spans="3:5">
      <c r="C2005" t="s">
        <v>15</v>
      </c>
      <c r="D2005" t="s">
        <v>16</v>
      </c>
      <c r="E2005">
        <v>0</v>
      </c>
    </row>
    <row r="2006" spans="3:5">
      <c r="C2006" t="s">
        <v>15</v>
      </c>
      <c r="D2006" t="s">
        <v>16</v>
      </c>
      <c r="E2006">
        <v>0</v>
      </c>
    </row>
    <row r="2007" spans="3:5">
      <c r="C2007" t="s">
        <v>15</v>
      </c>
      <c r="D2007" t="s">
        <v>16</v>
      </c>
      <c r="E2007">
        <v>0</v>
      </c>
    </row>
    <row r="2008" spans="3:5">
      <c r="C2008" t="s">
        <v>17</v>
      </c>
      <c r="D2008" t="s">
        <v>18</v>
      </c>
      <c r="E2008">
        <v>0</v>
      </c>
    </row>
    <row r="2009" spans="3:5">
      <c r="C2009" t="s">
        <v>17</v>
      </c>
      <c r="D2009" t="s">
        <v>18</v>
      </c>
      <c r="E2009">
        <v>1</v>
      </c>
    </row>
    <row r="2010" spans="3:5">
      <c r="C2010" t="s">
        <v>17</v>
      </c>
      <c r="D2010" t="s">
        <v>18</v>
      </c>
      <c r="E2010">
        <v>0</v>
      </c>
    </row>
    <row r="2011" spans="3:5">
      <c r="C2011" t="s">
        <v>17</v>
      </c>
      <c r="D2011" t="s">
        <v>18</v>
      </c>
      <c r="E2011">
        <v>0</v>
      </c>
    </row>
    <row r="2012" spans="3:5">
      <c r="C2012" t="s">
        <v>15</v>
      </c>
      <c r="D2012" t="s">
        <v>16</v>
      </c>
      <c r="E2012">
        <v>0</v>
      </c>
    </row>
    <row r="2013" spans="3:5">
      <c r="C2013" t="s">
        <v>17</v>
      </c>
      <c r="D2013" t="s">
        <v>18</v>
      </c>
      <c r="E2013">
        <v>0</v>
      </c>
    </row>
    <row r="2014" spans="3:5">
      <c r="C2014" t="s">
        <v>17</v>
      </c>
      <c r="D2014" t="s">
        <v>18</v>
      </c>
      <c r="E2014">
        <v>0</v>
      </c>
    </row>
    <row r="2015" spans="3:5">
      <c r="C2015" t="s">
        <v>17</v>
      </c>
      <c r="D2015" t="s">
        <v>18</v>
      </c>
      <c r="E2015">
        <v>0</v>
      </c>
    </row>
    <row r="2016" spans="3:5">
      <c r="C2016" t="s">
        <v>15</v>
      </c>
      <c r="D2016" t="s">
        <v>16</v>
      </c>
      <c r="E2016">
        <v>0</v>
      </c>
    </row>
    <row r="2017" spans="3:5">
      <c r="C2017" t="s">
        <v>15</v>
      </c>
      <c r="D2017" t="s">
        <v>16</v>
      </c>
      <c r="E2017">
        <v>0</v>
      </c>
    </row>
    <row r="2018" spans="3:5">
      <c r="C2018" t="s">
        <v>17</v>
      </c>
      <c r="D2018" t="s">
        <v>18</v>
      </c>
      <c r="E2018">
        <v>0</v>
      </c>
    </row>
    <row r="2019" spans="3:5">
      <c r="C2019" t="s">
        <v>17</v>
      </c>
      <c r="D2019" t="s">
        <v>18</v>
      </c>
      <c r="E2019">
        <v>0</v>
      </c>
    </row>
    <row r="2020" spans="3:5">
      <c r="C2020" t="s">
        <v>15</v>
      </c>
      <c r="D2020" t="s">
        <v>16</v>
      </c>
      <c r="E2020">
        <v>0</v>
      </c>
    </row>
    <row r="2021" spans="3:5">
      <c r="C2021" t="s">
        <v>15</v>
      </c>
      <c r="D2021" t="s">
        <v>16</v>
      </c>
      <c r="E2021">
        <v>0</v>
      </c>
    </row>
    <row r="2022" spans="3:5">
      <c r="C2022" t="s">
        <v>15</v>
      </c>
      <c r="D2022" t="s">
        <v>16</v>
      </c>
      <c r="E2022">
        <v>0</v>
      </c>
    </row>
    <row r="2023" spans="3:5">
      <c r="C2023" t="s">
        <v>15</v>
      </c>
      <c r="D2023" t="s">
        <v>16</v>
      </c>
      <c r="E2023">
        <v>0</v>
      </c>
    </row>
    <row r="2024" spans="3:5">
      <c r="C2024" t="s">
        <v>17</v>
      </c>
      <c r="D2024" t="s">
        <v>18</v>
      </c>
      <c r="E2024">
        <v>0</v>
      </c>
    </row>
    <row r="2025" spans="3:5">
      <c r="C2025" t="s">
        <v>15</v>
      </c>
      <c r="D2025" t="s">
        <v>16</v>
      </c>
      <c r="E2025">
        <v>0</v>
      </c>
    </row>
    <row r="2026" spans="3:5">
      <c r="C2026" t="s">
        <v>17</v>
      </c>
      <c r="D2026" t="s">
        <v>18</v>
      </c>
      <c r="E2026">
        <v>0</v>
      </c>
    </row>
    <row r="2027" spans="3:5">
      <c r="C2027" t="s">
        <v>17</v>
      </c>
      <c r="D2027" t="s">
        <v>18</v>
      </c>
      <c r="E2027">
        <v>0</v>
      </c>
    </row>
    <row r="2028" spans="3:5">
      <c r="C2028" t="s">
        <v>15</v>
      </c>
      <c r="D2028" t="s">
        <v>16</v>
      </c>
      <c r="E2028">
        <v>0</v>
      </c>
    </row>
    <row r="2029" spans="3:5">
      <c r="C2029" t="s">
        <v>17</v>
      </c>
      <c r="D2029" t="s">
        <v>18</v>
      </c>
      <c r="E2029">
        <v>0</v>
      </c>
    </row>
    <row r="2030" spans="3:5">
      <c r="C2030" t="s">
        <v>17</v>
      </c>
      <c r="D2030" t="s">
        <v>18</v>
      </c>
      <c r="E2030">
        <v>0</v>
      </c>
    </row>
    <row r="2031" spans="3:5">
      <c r="C2031" t="s">
        <v>17</v>
      </c>
      <c r="D2031" t="s">
        <v>18</v>
      </c>
      <c r="E2031">
        <v>0</v>
      </c>
    </row>
    <row r="2032" spans="3:5">
      <c r="C2032" t="s">
        <v>17</v>
      </c>
      <c r="D2032" t="s">
        <v>18</v>
      </c>
      <c r="E2032">
        <v>0</v>
      </c>
    </row>
    <row r="2033" spans="3:5">
      <c r="C2033" t="s">
        <v>15</v>
      </c>
      <c r="D2033" t="s">
        <v>16</v>
      </c>
      <c r="E2033">
        <v>0</v>
      </c>
    </row>
    <row r="2034" spans="3:5">
      <c r="C2034" t="s">
        <v>17</v>
      </c>
      <c r="D2034" t="s">
        <v>18</v>
      </c>
      <c r="E2034">
        <v>0</v>
      </c>
    </row>
    <row r="2035" spans="3:5">
      <c r="C2035" t="s">
        <v>15</v>
      </c>
      <c r="D2035" t="s">
        <v>16</v>
      </c>
      <c r="E2035">
        <v>0</v>
      </c>
    </row>
    <row r="2036" spans="3:5">
      <c r="C2036" t="s">
        <v>15</v>
      </c>
      <c r="D2036" t="s">
        <v>16</v>
      </c>
      <c r="E2036">
        <v>0</v>
      </c>
    </row>
    <row r="2037" spans="3:5">
      <c r="C2037" t="s">
        <v>17</v>
      </c>
      <c r="D2037" t="s">
        <v>18</v>
      </c>
      <c r="E2037">
        <v>0</v>
      </c>
    </row>
    <row r="2038" spans="3:5">
      <c r="C2038" t="s">
        <v>17</v>
      </c>
      <c r="D2038" t="s">
        <v>18</v>
      </c>
      <c r="E2038">
        <v>0</v>
      </c>
    </row>
    <row r="2039" spans="3:5">
      <c r="C2039" t="s">
        <v>17</v>
      </c>
      <c r="D2039" t="s">
        <v>18</v>
      </c>
      <c r="E2039">
        <v>0</v>
      </c>
    </row>
    <row r="2040" spans="3:5">
      <c r="C2040" t="s">
        <v>17</v>
      </c>
      <c r="D2040" t="s">
        <v>18</v>
      </c>
      <c r="E2040">
        <v>0</v>
      </c>
    </row>
    <row r="2041" spans="3:5">
      <c r="C2041" t="s">
        <v>17</v>
      </c>
      <c r="D2041" t="s">
        <v>18</v>
      </c>
      <c r="E2041">
        <v>0</v>
      </c>
    </row>
    <row r="2042" spans="3:5">
      <c r="C2042" t="s">
        <v>15</v>
      </c>
      <c r="D2042" t="s">
        <v>16</v>
      </c>
      <c r="E2042">
        <v>0</v>
      </c>
    </row>
    <row r="2043" spans="3:5">
      <c r="C2043" t="s">
        <v>15</v>
      </c>
      <c r="D2043" t="s">
        <v>16</v>
      </c>
      <c r="E2043">
        <v>0</v>
      </c>
    </row>
    <row r="2044" spans="3:5">
      <c r="C2044" t="s">
        <v>15</v>
      </c>
      <c r="D2044" t="s">
        <v>16</v>
      </c>
      <c r="E2044">
        <v>0</v>
      </c>
    </row>
    <row r="2045" spans="3:5">
      <c r="C2045" t="s">
        <v>17</v>
      </c>
      <c r="D2045" t="s">
        <v>18</v>
      </c>
      <c r="E2045">
        <v>0</v>
      </c>
    </row>
    <row r="2046" spans="3:5">
      <c r="C2046" t="s">
        <v>15</v>
      </c>
      <c r="D2046" t="s">
        <v>16</v>
      </c>
      <c r="E2046">
        <v>0</v>
      </c>
    </row>
    <row r="2047" spans="3:5">
      <c r="C2047" t="s">
        <v>15</v>
      </c>
      <c r="D2047" t="s">
        <v>16</v>
      </c>
      <c r="E2047">
        <v>0</v>
      </c>
    </row>
    <row r="2048" spans="3:5">
      <c r="C2048" t="s">
        <v>17</v>
      </c>
      <c r="D2048" t="s">
        <v>18</v>
      </c>
      <c r="E2048">
        <v>0</v>
      </c>
    </row>
    <row r="2049" spans="3:5">
      <c r="C2049" t="s">
        <v>15</v>
      </c>
      <c r="D2049" t="s">
        <v>16</v>
      </c>
      <c r="E2049">
        <v>0</v>
      </c>
    </row>
    <row r="2050" spans="3:5">
      <c r="C2050" t="s">
        <v>15</v>
      </c>
      <c r="D2050" t="s">
        <v>16</v>
      </c>
      <c r="E2050">
        <v>0</v>
      </c>
    </row>
    <row r="2051" spans="3:5">
      <c r="C2051" t="s">
        <v>15</v>
      </c>
      <c r="D2051" t="s">
        <v>16</v>
      </c>
      <c r="E2051">
        <v>0</v>
      </c>
    </row>
    <row r="2052" spans="3:5">
      <c r="C2052" t="s">
        <v>15</v>
      </c>
      <c r="D2052" t="s">
        <v>16</v>
      </c>
      <c r="E2052">
        <v>0</v>
      </c>
    </row>
    <row r="2053" spans="3:5">
      <c r="C2053" t="s">
        <v>17</v>
      </c>
      <c r="D2053" t="s">
        <v>18</v>
      </c>
      <c r="E2053">
        <v>0</v>
      </c>
    </row>
    <row r="2054" spans="3:5">
      <c r="C2054" t="s">
        <v>15</v>
      </c>
      <c r="D2054" t="s">
        <v>16</v>
      </c>
      <c r="E2054">
        <v>0</v>
      </c>
    </row>
    <row r="2055" spans="3:5">
      <c r="C2055" t="s">
        <v>17</v>
      </c>
      <c r="D2055" t="s">
        <v>18</v>
      </c>
      <c r="E2055">
        <v>0</v>
      </c>
    </row>
    <row r="2056" spans="3:5">
      <c r="C2056" t="s">
        <v>17</v>
      </c>
      <c r="D2056" t="s">
        <v>18</v>
      </c>
      <c r="E2056">
        <v>0</v>
      </c>
    </row>
    <row r="2057" spans="3:5">
      <c r="C2057" t="s">
        <v>17</v>
      </c>
      <c r="D2057" t="s">
        <v>18</v>
      </c>
      <c r="E2057">
        <v>0</v>
      </c>
    </row>
    <row r="2058" spans="3:5">
      <c r="C2058" t="s">
        <v>15</v>
      </c>
      <c r="D2058" t="s">
        <v>16</v>
      </c>
      <c r="E2058">
        <v>0</v>
      </c>
    </row>
    <row r="2059" spans="3:5">
      <c r="C2059" t="s">
        <v>17</v>
      </c>
      <c r="D2059" t="s">
        <v>18</v>
      </c>
      <c r="E2059">
        <v>0</v>
      </c>
    </row>
    <row r="2060" spans="3:5">
      <c r="C2060" t="s">
        <v>15</v>
      </c>
      <c r="D2060" t="s">
        <v>16</v>
      </c>
      <c r="E2060">
        <v>0</v>
      </c>
    </row>
    <row r="2061" spans="3:5">
      <c r="C2061" t="s">
        <v>17</v>
      </c>
      <c r="D2061" t="s">
        <v>18</v>
      </c>
      <c r="E2061">
        <v>0</v>
      </c>
    </row>
    <row r="2062" spans="3:5">
      <c r="C2062" t="s">
        <v>17</v>
      </c>
      <c r="D2062" t="s">
        <v>18</v>
      </c>
      <c r="E2062">
        <v>0</v>
      </c>
    </row>
    <row r="2063" spans="3:5">
      <c r="C2063" t="s">
        <v>17</v>
      </c>
      <c r="D2063" t="s">
        <v>18</v>
      </c>
      <c r="E2063">
        <v>0</v>
      </c>
    </row>
    <row r="2064" spans="3:5">
      <c r="C2064" t="s">
        <v>17</v>
      </c>
      <c r="D2064" t="s">
        <v>18</v>
      </c>
      <c r="E2064">
        <v>0</v>
      </c>
    </row>
    <row r="2065" spans="3:5">
      <c r="C2065" t="s">
        <v>17</v>
      </c>
      <c r="D2065" t="s">
        <v>18</v>
      </c>
      <c r="E2065">
        <v>0</v>
      </c>
    </row>
    <row r="2066" spans="3:5">
      <c r="C2066" t="s">
        <v>15</v>
      </c>
      <c r="D2066" t="s">
        <v>16</v>
      </c>
      <c r="E2066">
        <v>0</v>
      </c>
    </row>
    <row r="2067" spans="3:5">
      <c r="C2067" t="s">
        <v>15</v>
      </c>
      <c r="D2067" t="s">
        <v>16</v>
      </c>
      <c r="E2067">
        <v>0</v>
      </c>
    </row>
    <row r="2068" spans="3:5">
      <c r="C2068" t="s">
        <v>15</v>
      </c>
      <c r="D2068" t="s">
        <v>16</v>
      </c>
      <c r="E2068">
        <v>0</v>
      </c>
    </row>
    <row r="2069" spans="3:5">
      <c r="C2069" t="s">
        <v>17</v>
      </c>
      <c r="D2069" t="s">
        <v>18</v>
      </c>
      <c r="E2069">
        <v>0</v>
      </c>
    </row>
    <row r="2070" spans="3:5">
      <c r="C2070" t="s">
        <v>15</v>
      </c>
      <c r="D2070" t="s">
        <v>16</v>
      </c>
      <c r="E2070">
        <v>0</v>
      </c>
    </row>
    <row r="2071" spans="3:5">
      <c r="C2071" t="s">
        <v>17</v>
      </c>
      <c r="D2071" t="s">
        <v>18</v>
      </c>
      <c r="E2071">
        <v>0</v>
      </c>
    </row>
    <row r="2072" spans="3:5">
      <c r="C2072" t="s">
        <v>17</v>
      </c>
      <c r="D2072" t="s">
        <v>18</v>
      </c>
      <c r="E2072">
        <v>0</v>
      </c>
    </row>
    <row r="2073" spans="3:5">
      <c r="C2073" t="s">
        <v>17</v>
      </c>
      <c r="D2073" t="s">
        <v>18</v>
      </c>
      <c r="E2073">
        <v>0</v>
      </c>
    </row>
    <row r="2074" spans="3:5">
      <c r="C2074" t="s">
        <v>17</v>
      </c>
      <c r="D2074" t="s">
        <v>18</v>
      </c>
      <c r="E2074">
        <v>1</v>
      </c>
    </row>
    <row r="2075" spans="3:5">
      <c r="C2075" t="s">
        <v>17</v>
      </c>
      <c r="D2075" t="s">
        <v>18</v>
      </c>
      <c r="E2075">
        <v>0</v>
      </c>
    </row>
    <row r="2076" spans="3:5">
      <c r="C2076" t="s">
        <v>17</v>
      </c>
      <c r="D2076" t="s">
        <v>18</v>
      </c>
      <c r="E2076">
        <v>0</v>
      </c>
    </row>
    <row r="2077" spans="3:5">
      <c r="C2077" t="s">
        <v>15</v>
      </c>
      <c r="D2077" t="s">
        <v>16</v>
      </c>
      <c r="E2077">
        <v>0</v>
      </c>
    </row>
    <row r="2078" spans="3:5">
      <c r="C2078" t="s">
        <v>15</v>
      </c>
      <c r="D2078" t="s">
        <v>16</v>
      </c>
      <c r="E2078">
        <v>0</v>
      </c>
    </row>
    <row r="2079" spans="3:5">
      <c r="C2079" t="s">
        <v>17</v>
      </c>
      <c r="D2079" t="s">
        <v>18</v>
      </c>
      <c r="E2079">
        <v>1</v>
      </c>
    </row>
    <row r="2080" spans="3:5">
      <c r="C2080" t="s">
        <v>17</v>
      </c>
      <c r="D2080" t="s">
        <v>18</v>
      </c>
      <c r="E2080">
        <v>0</v>
      </c>
    </row>
    <row r="2081" spans="3:5">
      <c r="C2081" t="s">
        <v>17</v>
      </c>
      <c r="D2081" t="s">
        <v>18</v>
      </c>
      <c r="E2081">
        <v>0</v>
      </c>
    </row>
    <row r="2082" spans="3:5">
      <c r="C2082" t="s">
        <v>17</v>
      </c>
      <c r="D2082" t="s">
        <v>18</v>
      </c>
      <c r="E2082">
        <v>0</v>
      </c>
    </row>
    <row r="2083" spans="3:5">
      <c r="C2083" t="s">
        <v>15</v>
      </c>
      <c r="D2083" t="s">
        <v>16</v>
      </c>
      <c r="E2083">
        <v>0</v>
      </c>
    </row>
    <row r="2084" spans="3:5">
      <c r="C2084" t="s">
        <v>17</v>
      </c>
      <c r="D2084" t="s">
        <v>18</v>
      </c>
      <c r="E2084">
        <v>0</v>
      </c>
    </row>
    <row r="2085" spans="3:5">
      <c r="C2085" t="s">
        <v>15</v>
      </c>
      <c r="D2085" t="s">
        <v>16</v>
      </c>
      <c r="E2085">
        <v>0</v>
      </c>
    </row>
    <row r="2086" spans="3:5">
      <c r="C2086" t="s">
        <v>15</v>
      </c>
      <c r="D2086" t="s">
        <v>16</v>
      </c>
      <c r="E2086">
        <v>0</v>
      </c>
    </row>
    <row r="2087" spans="3:5">
      <c r="C2087" t="s">
        <v>15</v>
      </c>
      <c r="D2087" t="s">
        <v>16</v>
      </c>
      <c r="E2087">
        <v>0</v>
      </c>
    </row>
    <row r="2088" spans="3:5">
      <c r="C2088" t="s">
        <v>15</v>
      </c>
      <c r="D2088" t="s">
        <v>16</v>
      </c>
      <c r="E2088">
        <v>1</v>
      </c>
    </row>
    <row r="2089" spans="3:5">
      <c r="C2089" t="s">
        <v>17</v>
      </c>
      <c r="D2089" t="s">
        <v>18</v>
      </c>
      <c r="E2089">
        <v>0</v>
      </c>
    </row>
    <row r="2090" spans="3:5">
      <c r="C2090" t="s">
        <v>17</v>
      </c>
      <c r="D2090" t="s">
        <v>18</v>
      </c>
      <c r="E2090">
        <v>0</v>
      </c>
    </row>
    <row r="2091" spans="3:5">
      <c r="C2091" t="s">
        <v>17</v>
      </c>
      <c r="D2091" t="s">
        <v>18</v>
      </c>
      <c r="E2091">
        <v>0</v>
      </c>
    </row>
    <row r="2092" spans="3:5">
      <c r="C2092" t="s">
        <v>15</v>
      </c>
      <c r="D2092" t="s">
        <v>16</v>
      </c>
      <c r="E2092">
        <v>1</v>
      </c>
    </row>
    <row r="2093" spans="3:5">
      <c r="C2093" t="s">
        <v>15</v>
      </c>
      <c r="D2093" t="s">
        <v>16</v>
      </c>
      <c r="E2093">
        <v>0</v>
      </c>
    </row>
    <row r="2094" spans="3:5">
      <c r="C2094" t="s">
        <v>15</v>
      </c>
      <c r="D2094" t="s">
        <v>16</v>
      </c>
      <c r="E2094">
        <v>0</v>
      </c>
    </row>
    <row r="2095" spans="3:5">
      <c r="C2095" t="s">
        <v>17</v>
      </c>
      <c r="D2095" t="s">
        <v>18</v>
      </c>
      <c r="E2095">
        <v>1</v>
      </c>
    </row>
    <row r="2096" spans="3:5">
      <c r="C2096" t="s">
        <v>15</v>
      </c>
      <c r="D2096" t="s">
        <v>16</v>
      </c>
      <c r="E2096">
        <v>0</v>
      </c>
    </row>
    <row r="2097" spans="3:5">
      <c r="C2097" t="s">
        <v>17</v>
      </c>
      <c r="D2097" t="s">
        <v>18</v>
      </c>
      <c r="E2097">
        <v>0</v>
      </c>
    </row>
    <row r="2098" spans="3:5">
      <c r="C2098" t="s">
        <v>17</v>
      </c>
      <c r="D2098" t="s">
        <v>18</v>
      </c>
      <c r="E2098">
        <v>0</v>
      </c>
    </row>
    <row r="2099" spans="3:5">
      <c r="C2099" t="s">
        <v>15</v>
      </c>
      <c r="D2099" t="s">
        <v>16</v>
      </c>
      <c r="E2099">
        <v>0</v>
      </c>
    </row>
    <row r="2100" spans="3:5">
      <c r="C2100" t="s">
        <v>17</v>
      </c>
      <c r="D2100" t="s">
        <v>18</v>
      </c>
      <c r="E2100">
        <v>0</v>
      </c>
    </row>
    <row r="2101" spans="3:5">
      <c r="C2101" t="s">
        <v>15</v>
      </c>
      <c r="D2101" t="s">
        <v>16</v>
      </c>
      <c r="E2101">
        <v>0</v>
      </c>
    </row>
    <row r="2102" spans="3:5">
      <c r="C2102" t="s">
        <v>17</v>
      </c>
      <c r="D2102" t="s">
        <v>18</v>
      </c>
      <c r="E2102">
        <v>0</v>
      </c>
    </row>
    <row r="2103" spans="3:5">
      <c r="C2103" t="s">
        <v>15</v>
      </c>
      <c r="D2103" t="s">
        <v>16</v>
      </c>
      <c r="E2103">
        <v>0</v>
      </c>
    </row>
    <row r="2104" spans="3:5">
      <c r="C2104" t="s">
        <v>17</v>
      </c>
      <c r="D2104" t="s">
        <v>18</v>
      </c>
      <c r="E2104">
        <v>0</v>
      </c>
    </row>
    <row r="2105" spans="3:5">
      <c r="C2105" t="s">
        <v>17</v>
      </c>
      <c r="D2105" t="s">
        <v>18</v>
      </c>
      <c r="E2105">
        <v>0</v>
      </c>
    </row>
    <row r="2106" spans="3:5">
      <c r="C2106" t="s">
        <v>17</v>
      </c>
      <c r="D2106" t="s">
        <v>18</v>
      </c>
      <c r="E2106">
        <v>0</v>
      </c>
    </row>
    <row r="2107" spans="3:5">
      <c r="C2107" t="s">
        <v>15</v>
      </c>
      <c r="D2107" t="s">
        <v>16</v>
      </c>
      <c r="E2107">
        <v>0</v>
      </c>
    </row>
    <row r="2108" spans="3:5">
      <c r="C2108" t="s">
        <v>17</v>
      </c>
      <c r="D2108" t="s">
        <v>18</v>
      </c>
      <c r="E2108">
        <v>0</v>
      </c>
    </row>
    <row r="2109" spans="3:5">
      <c r="C2109" t="s">
        <v>17</v>
      </c>
      <c r="D2109" t="s">
        <v>18</v>
      </c>
      <c r="E2109">
        <v>0</v>
      </c>
    </row>
    <row r="2110" spans="3:5">
      <c r="C2110" t="s">
        <v>17</v>
      </c>
      <c r="D2110" t="s">
        <v>18</v>
      </c>
      <c r="E2110">
        <v>0</v>
      </c>
    </row>
    <row r="2111" spans="3:5">
      <c r="C2111" t="s">
        <v>15</v>
      </c>
      <c r="D2111" t="s">
        <v>16</v>
      </c>
      <c r="E2111">
        <v>0</v>
      </c>
    </row>
    <row r="2112" spans="3:5">
      <c r="C2112" t="s">
        <v>15</v>
      </c>
      <c r="D2112" t="s">
        <v>16</v>
      </c>
      <c r="E2112">
        <v>0</v>
      </c>
    </row>
    <row r="2113" spans="3:5">
      <c r="C2113" t="s">
        <v>15</v>
      </c>
      <c r="D2113" t="s">
        <v>16</v>
      </c>
      <c r="E2113">
        <v>0</v>
      </c>
    </row>
    <row r="2114" spans="3:5">
      <c r="C2114" t="s">
        <v>17</v>
      </c>
      <c r="D2114" t="s">
        <v>18</v>
      </c>
      <c r="E2114">
        <v>0</v>
      </c>
    </row>
    <row r="2115" spans="3:5">
      <c r="C2115" t="s">
        <v>15</v>
      </c>
      <c r="D2115" t="s">
        <v>16</v>
      </c>
      <c r="E2115">
        <v>1</v>
      </c>
    </row>
    <row r="2116" spans="3:5">
      <c r="C2116" t="s">
        <v>17</v>
      </c>
      <c r="D2116" t="s">
        <v>18</v>
      </c>
      <c r="E2116">
        <v>0</v>
      </c>
    </row>
    <row r="2117" spans="3:5">
      <c r="C2117" t="s">
        <v>15</v>
      </c>
      <c r="D2117" t="s">
        <v>16</v>
      </c>
      <c r="E2117">
        <v>0</v>
      </c>
    </row>
    <row r="2118" spans="3:5">
      <c r="C2118" t="s">
        <v>17</v>
      </c>
      <c r="D2118" t="s">
        <v>18</v>
      </c>
      <c r="E2118">
        <v>0</v>
      </c>
    </row>
    <row r="2119" spans="3:5">
      <c r="C2119" t="s">
        <v>17</v>
      </c>
      <c r="D2119" t="s">
        <v>18</v>
      </c>
      <c r="E2119">
        <v>0</v>
      </c>
    </row>
    <row r="2120" spans="3:5">
      <c r="C2120" t="s">
        <v>17</v>
      </c>
      <c r="D2120" t="s">
        <v>18</v>
      </c>
      <c r="E2120">
        <v>0</v>
      </c>
    </row>
    <row r="2121" spans="3:5">
      <c r="C2121" t="s">
        <v>17</v>
      </c>
      <c r="D2121" t="s">
        <v>18</v>
      </c>
      <c r="E2121">
        <v>0</v>
      </c>
    </row>
    <row r="2122" spans="3:5">
      <c r="C2122" t="s">
        <v>15</v>
      </c>
      <c r="D2122" t="s">
        <v>16</v>
      </c>
      <c r="E2122">
        <v>0</v>
      </c>
    </row>
    <row r="2123" spans="3:5">
      <c r="C2123" t="s">
        <v>17</v>
      </c>
      <c r="D2123" t="s">
        <v>18</v>
      </c>
      <c r="E2123">
        <v>0</v>
      </c>
    </row>
    <row r="2124" spans="3:5">
      <c r="C2124" t="s">
        <v>17</v>
      </c>
      <c r="D2124" t="s">
        <v>18</v>
      </c>
      <c r="E2124">
        <v>0</v>
      </c>
    </row>
    <row r="2125" spans="3:5">
      <c r="C2125" t="s">
        <v>17</v>
      </c>
      <c r="D2125" t="s">
        <v>18</v>
      </c>
      <c r="E2125">
        <v>0</v>
      </c>
    </row>
    <row r="2126" spans="3:5">
      <c r="C2126" t="s">
        <v>15</v>
      </c>
      <c r="D2126" t="s">
        <v>16</v>
      </c>
      <c r="E2126">
        <v>0</v>
      </c>
    </row>
    <row r="2127" spans="3:5">
      <c r="C2127" t="s">
        <v>15</v>
      </c>
      <c r="D2127" t="s">
        <v>16</v>
      </c>
      <c r="E2127">
        <v>0</v>
      </c>
    </row>
    <row r="2128" spans="3:5">
      <c r="C2128" t="s">
        <v>15</v>
      </c>
      <c r="D2128" t="s">
        <v>16</v>
      </c>
      <c r="E2128">
        <v>0</v>
      </c>
    </row>
    <row r="2129" spans="3:5">
      <c r="C2129" t="s">
        <v>15</v>
      </c>
      <c r="D2129" t="s">
        <v>16</v>
      </c>
      <c r="E2129">
        <v>0</v>
      </c>
    </row>
    <row r="2130" spans="3:5">
      <c r="C2130" t="s">
        <v>15</v>
      </c>
      <c r="D2130" t="s">
        <v>16</v>
      </c>
      <c r="E2130">
        <v>0</v>
      </c>
    </row>
    <row r="2131" spans="3:5">
      <c r="C2131" t="s">
        <v>17</v>
      </c>
      <c r="D2131" t="s">
        <v>18</v>
      </c>
      <c r="E2131">
        <v>0</v>
      </c>
    </row>
    <row r="2132" spans="3:5">
      <c r="C2132" t="s">
        <v>15</v>
      </c>
      <c r="D2132" t="s">
        <v>16</v>
      </c>
      <c r="E2132">
        <v>0</v>
      </c>
    </row>
    <row r="2133" spans="3:5">
      <c r="C2133" t="s">
        <v>17</v>
      </c>
      <c r="D2133" t="s">
        <v>18</v>
      </c>
      <c r="E2133">
        <v>0</v>
      </c>
    </row>
    <row r="2134" spans="3:5">
      <c r="C2134" t="s">
        <v>17</v>
      </c>
      <c r="D2134" t="s">
        <v>18</v>
      </c>
      <c r="E2134">
        <v>0</v>
      </c>
    </row>
    <row r="2135" spans="3:5">
      <c r="C2135" t="s">
        <v>15</v>
      </c>
      <c r="D2135" t="s">
        <v>16</v>
      </c>
      <c r="E2135">
        <v>0</v>
      </c>
    </row>
    <row r="2136" spans="3:5">
      <c r="C2136" t="s">
        <v>15</v>
      </c>
      <c r="D2136" t="s">
        <v>16</v>
      </c>
      <c r="E2136">
        <v>0</v>
      </c>
    </row>
    <row r="2137" spans="3:5">
      <c r="C2137" t="s">
        <v>17</v>
      </c>
      <c r="D2137" t="s">
        <v>18</v>
      </c>
      <c r="E2137">
        <v>0</v>
      </c>
    </row>
    <row r="2138" spans="3:5">
      <c r="C2138" t="s">
        <v>17</v>
      </c>
      <c r="D2138" t="s">
        <v>18</v>
      </c>
      <c r="E2138">
        <v>0</v>
      </c>
    </row>
    <row r="2139" spans="3:5">
      <c r="C2139" t="s">
        <v>17</v>
      </c>
      <c r="D2139" t="s">
        <v>18</v>
      </c>
      <c r="E2139">
        <v>0</v>
      </c>
    </row>
    <row r="2140" spans="3:5">
      <c r="C2140" t="s">
        <v>17</v>
      </c>
      <c r="D2140" t="s">
        <v>18</v>
      </c>
      <c r="E2140">
        <v>0</v>
      </c>
    </row>
    <row r="2141" spans="3:5">
      <c r="C2141" t="s">
        <v>15</v>
      </c>
      <c r="D2141" t="s">
        <v>16</v>
      </c>
      <c r="E2141">
        <v>0</v>
      </c>
    </row>
    <row r="2142" spans="3:5">
      <c r="C2142" t="s">
        <v>15</v>
      </c>
      <c r="D2142" t="s">
        <v>16</v>
      </c>
      <c r="E2142">
        <v>0</v>
      </c>
    </row>
    <row r="2143" spans="3:5">
      <c r="C2143" t="s">
        <v>17</v>
      </c>
      <c r="D2143" t="s">
        <v>18</v>
      </c>
      <c r="E2143">
        <v>0</v>
      </c>
    </row>
    <row r="2144" spans="3:5">
      <c r="C2144" t="s">
        <v>17</v>
      </c>
      <c r="D2144" t="s">
        <v>18</v>
      </c>
      <c r="E2144">
        <v>0</v>
      </c>
    </row>
    <row r="2145" spans="3:5">
      <c r="C2145" t="s">
        <v>15</v>
      </c>
      <c r="D2145" t="s">
        <v>16</v>
      </c>
      <c r="E2145">
        <v>0</v>
      </c>
    </row>
    <row r="2146" spans="3:5">
      <c r="C2146" t="s">
        <v>17</v>
      </c>
      <c r="D2146" t="s">
        <v>18</v>
      </c>
      <c r="E2146">
        <v>0</v>
      </c>
    </row>
    <row r="2147" spans="3:5">
      <c r="C2147" t="s">
        <v>15</v>
      </c>
      <c r="D2147" t="s">
        <v>16</v>
      </c>
      <c r="E2147">
        <v>0</v>
      </c>
    </row>
    <row r="2148" spans="3:5">
      <c r="C2148" t="s">
        <v>15</v>
      </c>
      <c r="D2148" t="s">
        <v>16</v>
      </c>
      <c r="E2148">
        <v>0</v>
      </c>
    </row>
    <row r="2149" spans="3:5">
      <c r="C2149" t="s">
        <v>15</v>
      </c>
      <c r="D2149" t="s">
        <v>16</v>
      </c>
      <c r="E2149">
        <v>0</v>
      </c>
    </row>
    <row r="2150" spans="3:5">
      <c r="C2150" t="s">
        <v>17</v>
      </c>
      <c r="D2150" t="s">
        <v>18</v>
      </c>
      <c r="E2150">
        <v>0</v>
      </c>
    </row>
    <row r="2151" spans="3:5">
      <c r="C2151" t="s">
        <v>17</v>
      </c>
      <c r="D2151" t="s">
        <v>18</v>
      </c>
      <c r="E2151">
        <v>0</v>
      </c>
    </row>
    <row r="2152" spans="3:5">
      <c r="C2152" t="s">
        <v>17</v>
      </c>
      <c r="D2152" t="s">
        <v>18</v>
      </c>
      <c r="E2152">
        <v>1</v>
      </c>
    </row>
    <row r="2153" spans="3:5">
      <c r="C2153" t="s">
        <v>15</v>
      </c>
      <c r="D2153" t="s">
        <v>16</v>
      </c>
      <c r="E2153">
        <v>0</v>
      </c>
    </row>
    <row r="2154" spans="3:5">
      <c r="C2154" t="s">
        <v>17</v>
      </c>
      <c r="D2154" t="s">
        <v>18</v>
      </c>
      <c r="E2154">
        <v>0</v>
      </c>
    </row>
    <row r="2155" spans="3:5">
      <c r="C2155" t="s">
        <v>17</v>
      </c>
      <c r="D2155" t="s">
        <v>18</v>
      </c>
      <c r="E2155">
        <v>0</v>
      </c>
    </row>
    <row r="2156" spans="3:5">
      <c r="C2156" t="s">
        <v>17</v>
      </c>
      <c r="D2156" t="s">
        <v>18</v>
      </c>
      <c r="E2156">
        <v>0</v>
      </c>
    </row>
    <row r="2157" spans="3:5">
      <c r="C2157" t="s">
        <v>17</v>
      </c>
      <c r="D2157" t="s">
        <v>18</v>
      </c>
      <c r="E2157">
        <v>0</v>
      </c>
    </row>
    <row r="2158" spans="3:5">
      <c r="C2158" t="s">
        <v>17</v>
      </c>
      <c r="D2158" t="s">
        <v>18</v>
      </c>
      <c r="E2158">
        <v>0</v>
      </c>
    </row>
    <row r="2159" spans="3:5">
      <c r="C2159" t="s">
        <v>15</v>
      </c>
      <c r="D2159" t="s">
        <v>16</v>
      </c>
      <c r="E2159">
        <v>0</v>
      </c>
    </row>
    <row r="2160" spans="3:5">
      <c r="C2160" t="s">
        <v>17</v>
      </c>
      <c r="D2160" t="s">
        <v>18</v>
      </c>
      <c r="E2160">
        <v>0</v>
      </c>
    </row>
    <row r="2161" spans="3:5">
      <c r="C2161" t="s">
        <v>15</v>
      </c>
      <c r="D2161" t="s">
        <v>16</v>
      </c>
      <c r="E2161">
        <v>1</v>
      </c>
    </row>
    <row r="2162" spans="3:5">
      <c r="C2162" t="s">
        <v>17</v>
      </c>
      <c r="D2162" t="s">
        <v>18</v>
      </c>
      <c r="E2162">
        <v>0</v>
      </c>
    </row>
    <row r="2163" spans="3:5">
      <c r="C2163" t="s">
        <v>17</v>
      </c>
      <c r="D2163" t="s">
        <v>18</v>
      </c>
      <c r="E2163">
        <v>0</v>
      </c>
    </row>
    <row r="2164" spans="3:5">
      <c r="C2164" t="s">
        <v>15</v>
      </c>
      <c r="D2164" t="s">
        <v>16</v>
      </c>
      <c r="E2164">
        <v>0</v>
      </c>
    </row>
    <row r="2165" spans="3:5">
      <c r="C2165" t="s">
        <v>15</v>
      </c>
      <c r="D2165" t="s">
        <v>16</v>
      </c>
      <c r="E2165">
        <v>0</v>
      </c>
    </row>
    <row r="2166" spans="3:5">
      <c r="C2166" t="s">
        <v>17</v>
      </c>
      <c r="D2166" t="s">
        <v>18</v>
      </c>
      <c r="E2166">
        <v>0</v>
      </c>
    </row>
    <row r="2167" spans="3:5">
      <c r="C2167" t="s">
        <v>15</v>
      </c>
      <c r="D2167" t="s">
        <v>16</v>
      </c>
      <c r="E2167">
        <v>0</v>
      </c>
    </row>
    <row r="2168" spans="3:5">
      <c r="C2168" t="s">
        <v>15</v>
      </c>
      <c r="D2168" t="s">
        <v>16</v>
      </c>
      <c r="E2168">
        <v>0</v>
      </c>
    </row>
    <row r="2169" spans="3:5">
      <c r="C2169" t="s">
        <v>15</v>
      </c>
      <c r="D2169" t="s">
        <v>16</v>
      </c>
      <c r="E2169">
        <v>0</v>
      </c>
    </row>
    <row r="2170" spans="3:5">
      <c r="C2170" t="s">
        <v>15</v>
      </c>
      <c r="D2170" t="s">
        <v>16</v>
      </c>
      <c r="E2170">
        <v>0</v>
      </c>
    </row>
    <row r="2171" spans="3:5">
      <c r="C2171" t="s">
        <v>17</v>
      </c>
      <c r="D2171" t="s">
        <v>18</v>
      </c>
      <c r="E2171">
        <v>0</v>
      </c>
    </row>
    <row r="2172" spans="3:5">
      <c r="C2172" t="s">
        <v>15</v>
      </c>
      <c r="D2172" t="s">
        <v>16</v>
      </c>
      <c r="E2172">
        <v>0</v>
      </c>
    </row>
    <row r="2173" spans="3:5">
      <c r="C2173" t="s">
        <v>15</v>
      </c>
      <c r="D2173" t="s">
        <v>16</v>
      </c>
      <c r="E2173">
        <v>0</v>
      </c>
    </row>
    <row r="2174" spans="3:5">
      <c r="C2174" t="s">
        <v>17</v>
      </c>
      <c r="D2174" t="s">
        <v>18</v>
      </c>
      <c r="E2174">
        <v>0</v>
      </c>
    </row>
    <row r="2175" spans="3:5">
      <c r="C2175" t="s">
        <v>17</v>
      </c>
      <c r="D2175" t="s">
        <v>18</v>
      </c>
      <c r="E2175">
        <v>0</v>
      </c>
    </row>
    <row r="2176" spans="3:5">
      <c r="C2176" t="s">
        <v>17</v>
      </c>
      <c r="D2176" t="s">
        <v>18</v>
      </c>
      <c r="E2176">
        <v>0</v>
      </c>
    </row>
    <row r="2177" spans="3:5">
      <c r="C2177" t="s">
        <v>17</v>
      </c>
      <c r="D2177" t="s">
        <v>18</v>
      </c>
      <c r="E2177">
        <v>0</v>
      </c>
    </row>
    <row r="2178" spans="3:5">
      <c r="C2178" t="s">
        <v>15</v>
      </c>
      <c r="D2178" t="s">
        <v>16</v>
      </c>
      <c r="E2178">
        <v>0</v>
      </c>
    </row>
    <row r="2179" spans="3:5">
      <c r="C2179" t="s">
        <v>15</v>
      </c>
      <c r="D2179" t="s">
        <v>16</v>
      </c>
      <c r="E2179">
        <v>0</v>
      </c>
    </row>
    <row r="2180" spans="3:5">
      <c r="C2180" t="s">
        <v>17</v>
      </c>
      <c r="D2180" t="s">
        <v>18</v>
      </c>
      <c r="E2180">
        <v>0</v>
      </c>
    </row>
    <row r="2181" spans="3:5">
      <c r="C2181" t="s">
        <v>17</v>
      </c>
      <c r="D2181" t="s">
        <v>18</v>
      </c>
      <c r="E2181">
        <v>0</v>
      </c>
    </row>
    <row r="2182" spans="3:5">
      <c r="C2182" t="s">
        <v>15</v>
      </c>
      <c r="D2182" t="s">
        <v>16</v>
      </c>
      <c r="E2182">
        <v>0</v>
      </c>
    </row>
    <row r="2183" spans="3:5">
      <c r="C2183" t="s">
        <v>17</v>
      </c>
      <c r="D2183" t="s">
        <v>18</v>
      </c>
      <c r="E2183">
        <v>0</v>
      </c>
    </row>
    <row r="2184" spans="3:5">
      <c r="C2184" t="s">
        <v>15</v>
      </c>
      <c r="D2184" t="s">
        <v>16</v>
      </c>
      <c r="E2184">
        <v>0</v>
      </c>
    </row>
    <row r="2185" spans="3:5">
      <c r="C2185" t="s">
        <v>15</v>
      </c>
      <c r="D2185" t="s">
        <v>16</v>
      </c>
      <c r="E2185">
        <v>0</v>
      </c>
    </row>
    <row r="2186" spans="3:5">
      <c r="C2186" t="s">
        <v>15</v>
      </c>
      <c r="D2186" t="s">
        <v>16</v>
      </c>
      <c r="E2186">
        <v>0</v>
      </c>
    </row>
    <row r="2187" spans="3:5">
      <c r="C2187" t="s">
        <v>17</v>
      </c>
      <c r="D2187" t="s">
        <v>18</v>
      </c>
      <c r="E2187">
        <v>0</v>
      </c>
    </row>
    <row r="2188" spans="3:5">
      <c r="C2188" t="s">
        <v>15</v>
      </c>
      <c r="D2188" t="s">
        <v>16</v>
      </c>
      <c r="E2188">
        <v>0</v>
      </c>
    </row>
    <row r="2189" spans="3:5">
      <c r="C2189" t="s">
        <v>17</v>
      </c>
      <c r="D2189" t="s">
        <v>18</v>
      </c>
      <c r="E2189">
        <v>0</v>
      </c>
    </row>
    <row r="2190" spans="3:5">
      <c r="C2190" t="s">
        <v>15</v>
      </c>
      <c r="D2190" t="s">
        <v>16</v>
      </c>
      <c r="E2190">
        <v>0</v>
      </c>
    </row>
    <row r="2191" spans="3:5">
      <c r="C2191" t="s">
        <v>15</v>
      </c>
      <c r="D2191" t="s">
        <v>16</v>
      </c>
      <c r="E2191">
        <v>0</v>
      </c>
    </row>
    <row r="2192" spans="3:5">
      <c r="C2192" t="s">
        <v>15</v>
      </c>
      <c r="D2192" t="s">
        <v>16</v>
      </c>
      <c r="E2192">
        <v>0</v>
      </c>
    </row>
    <row r="2193" spans="3:5">
      <c r="C2193" t="s">
        <v>15</v>
      </c>
      <c r="D2193" t="s">
        <v>16</v>
      </c>
      <c r="E2193">
        <v>1</v>
      </c>
    </row>
    <row r="2194" spans="3:5">
      <c r="C2194" t="s">
        <v>15</v>
      </c>
      <c r="D2194" t="s">
        <v>16</v>
      </c>
      <c r="E2194">
        <v>0</v>
      </c>
    </row>
    <row r="2195" spans="3:5">
      <c r="C2195" t="s">
        <v>17</v>
      </c>
      <c r="D2195" t="s">
        <v>18</v>
      </c>
      <c r="E2195">
        <v>0</v>
      </c>
    </row>
    <row r="2196" spans="3:5">
      <c r="C2196" t="s">
        <v>17</v>
      </c>
      <c r="D2196" t="s">
        <v>18</v>
      </c>
      <c r="E2196">
        <v>0</v>
      </c>
    </row>
    <row r="2197" spans="3:5">
      <c r="C2197" t="s">
        <v>17</v>
      </c>
      <c r="D2197" t="s">
        <v>18</v>
      </c>
      <c r="E2197">
        <v>0</v>
      </c>
    </row>
    <row r="2198" spans="3:5">
      <c r="C2198" t="s">
        <v>17</v>
      </c>
      <c r="D2198" t="s">
        <v>18</v>
      </c>
      <c r="E2198">
        <v>0</v>
      </c>
    </row>
    <row r="2199" spans="3:5">
      <c r="C2199" t="s">
        <v>17</v>
      </c>
      <c r="D2199" t="s">
        <v>18</v>
      </c>
      <c r="E2199">
        <v>0</v>
      </c>
    </row>
    <row r="2200" spans="3:5">
      <c r="C2200" t="s">
        <v>17</v>
      </c>
      <c r="D2200" t="s">
        <v>18</v>
      </c>
      <c r="E2200">
        <v>0</v>
      </c>
    </row>
    <row r="2201" spans="3:5">
      <c r="C2201" t="s">
        <v>15</v>
      </c>
      <c r="D2201" t="s">
        <v>16</v>
      </c>
      <c r="E2201">
        <v>0</v>
      </c>
    </row>
    <row r="2202" spans="3:5">
      <c r="C2202" t="s">
        <v>15</v>
      </c>
      <c r="D2202" t="s">
        <v>16</v>
      </c>
      <c r="E2202">
        <v>0</v>
      </c>
    </row>
    <row r="2203" spans="3:5">
      <c r="C2203" t="s">
        <v>15</v>
      </c>
      <c r="D2203" t="s">
        <v>16</v>
      </c>
      <c r="E2203">
        <v>0</v>
      </c>
    </row>
    <row r="2204" spans="3:5">
      <c r="C2204" t="s">
        <v>17</v>
      </c>
      <c r="D2204" t="s">
        <v>18</v>
      </c>
      <c r="E2204">
        <v>0</v>
      </c>
    </row>
    <row r="2205" spans="3:5">
      <c r="C2205" t="s">
        <v>17</v>
      </c>
      <c r="D2205" t="s">
        <v>18</v>
      </c>
      <c r="E2205">
        <v>0</v>
      </c>
    </row>
    <row r="2206" spans="3:5">
      <c r="C2206" t="s">
        <v>15</v>
      </c>
      <c r="D2206" t="s">
        <v>16</v>
      </c>
      <c r="E2206">
        <v>0</v>
      </c>
    </row>
    <row r="2207" spans="3:5">
      <c r="C2207" t="s">
        <v>15</v>
      </c>
      <c r="D2207" t="s">
        <v>16</v>
      </c>
      <c r="E2207">
        <v>0</v>
      </c>
    </row>
    <row r="2208" spans="3:5">
      <c r="C2208" t="s">
        <v>17</v>
      </c>
      <c r="D2208" t="s">
        <v>18</v>
      </c>
      <c r="E2208">
        <v>0</v>
      </c>
    </row>
    <row r="2209" spans="3:5">
      <c r="C2209" t="s">
        <v>17</v>
      </c>
      <c r="D2209" t="s">
        <v>18</v>
      </c>
      <c r="E2209">
        <v>0</v>
      </c>
    </row>
    <row r="2210" spans="3:5">
      <c r="C2210" t="s">
        <v>17</v>
      </c>
      <c r="D2210" t="s">
        <v>18</v>
      </c>
      <c r="E2210">
        <v>0</v>
      </c>
    </row>
    <row r="2211" spans="3:5">
      <c r="C2211" t="s">
        <v>17</v>
      </c>
      <c r="D2211" t="s">
        <v>18</v>
      </c>
      <c r="E2211">
        <v>0</v>
      </c>
    </row>
    <row r="2212" spans="3:5">
      <c r="C2212" t="s">
        <v>15</v>
      </c>
      <c r="D2212" t="s">
        <v>16</v>
      </c>
      <c r="E2212">
        <v>0</v>
      </c>
    </row>
    <row r="2213" spans="3:5">
      <c r="C2213" t="s">
        <v>17</v>
      </c>
      <c r="D2213" t="s">
        <v>18</v>
      </c>
      <c r="E2213">
        <v>0</v>
      </c>
    </row>
    <row r="2214" spans="3:5">
      <c r="C2214" t="s">
        <v>15</v>
      </c>
      <c r="D2214" t="s">
        <v>16</v>
      </c>
      <c r="E2214">
        <v>0</v>
      </c>
    </row>
    <row r="2215" spans="3:5">
      <c r="C2215" t="s">
        <v>15</v>
      </c>
      <c r="D2215" t="s">
        <v>16</v>
      </c>
      <c r="E2215">
        <v>0</v>
      </c>
    </row>
    <row r="2216" spans="3:5">
      <c r="C2216" t="s">
        <v>15</v>
      </c>
      <c r="D2216" t="s">
        <v>16</v>
      </c>
      <c r="E2216">
        <v>0</v>
      </c>
    </row>
    <row r="2217" spans="3:5">
      <c r="C2217" t="s">
        <v>17</v>
      </c>
      <c r="D2217" t="s">
        <v>18</v>
      </c>
      <c r="E2217">
        <v>0</v>
      </c>
    </row>
    <row r="2218" spans="3:5">
      <c r="C2218" t="s">
        <v>15</v>
      </c>
      <c r="D2218" t="s">
        <v>16</v>
      </c>
      <c r="E2218">
        <v>0</v>
      </c>
    </row>
    <row r="2219" spans="3:5">
      <c r="C2219" t="s">
        <v>17</v>
      </c>
      <c r="D2219" t="s">
        <v>18</v>
      </c>
      <c r="E2219">
        <v>0</v>
      </c>
    </row>
    <row r="2220" spans="3:5">
      <c r="C2220" t="s">
        <v>17</v>
      </c>
      <c r="D2220" t="s">
        <v>18</v>
      </c>
      <c r="E2220">
        <v>0</v>
      </c>
    </row>
    <row r="2221" spans="3:5">
      <c r="C2221" t="s">
        <v>17</v>
      </c>
      <c r="D2221" t="s">
        <v>18</v>
      </c>
      <c r="E2221">
        <v>0</v>
      </c>
    </row>
    <row r="2222" spans="3:5">
      <c r="C2222" t="s">
        <v>15</v>
      </c>
      <c r="D2222" t="s">
        <v>16</v>
      </c>
      <c r="E2222">
        <v>0</v>
      </c>
    </row>
    <row r="2223" spans="3:5">
      <c r="C2223" t="s">
        <v>15</v>
      </c>
      <c r="D2223" t="s">
        <v>16</v>
      </c>
      <c r="E2223">
        <v>0</v>
      </c>
    </row>
    <row r="2224" spans="3:5">
      <c r="C2224" t="s">
        <v>15</v>
      </c>
      <c r="D2224" t="s">
        <v>16</v>
      </c>
      <c r="E2224">
        <v>0</v>
      </c>
    </row>
    <row r="2225" spans="3:5">
      <c r="C2225" t="s">
        <v>15</v>
      </c>
      <c r="D2225" t="s">
        <v>16</v>
      </c>
      <c r="E2225">
        <v>0</v>
      </c>
    </row>
    <row r="2226" spans="3:5">
      <c r="C2226" t="s">
        <v>15</v>
      </c>
      <c r="D2226" t="s">
        <v>16</v>
      </c>
      <c r="E2226">
        <v>0</v>
      </c>
    </row>
    <row r="2227" spans="3:5">
      <c r="C2227" t="s">
        <v>17</v>
      </c>
      <c r="D2227" t="s">
        <v>18</v>
      </c>
      <c r="E2227">
        <v>0</v>
      </c>
    </row>
    <row r="2228" spans="3:5">
      <c r="C2228" t="s">
        <v>15</v>
      </c>
      <c r="D2228" t="s">
        <v>16</v>
      </c>
      <c r="E2228">
        <v>0</v>
      </c>
    </row>
    <row r="2229" spans="3:5">
      <c r="C2229" t="s">
        <v>15</v>
      </c>
      <c r="D2229" t="s">
        <v>16</v>
      </c>
      <c r="E2229">
        <v>0</v>
      </c>
    </row>
    <row r="2230" spans="3:5">
      <c r="C2230" t="s">
        <v>15</v>
      </c>
      <c r="D2230" t="s">
        <v>16</v>
      </c>
      <c r="E2230">
        <v>0</v>
      </c>
    </row>
    <row r="2231" spans="3:5">
      <c r="C2231" t="s">
        <v>17</v>
      </c>
      <c r="D2231" t="s">
        <v>18</v>
      </c>
      <c r="E2231">
        <v>0</v>
      </c>
    </row>
    <row r="2232" spans="3:5">
      <c r="C2232" t="s">
        <v>15</v>
      </c>
      <c r="D2232" t="s">
        <v>16</v>
      </c>
      <c r="E2232">
        <v>0</v>
      </c>
    </row>
    <row r="2233" spans="3:5">
      <c r="C2233" t="s">
        <v>15</v>
      </c>
      <c r="D2233" t="s">
        <v>16</v>
      </c>
      <c r="E2233">
        <v>0</v>
      </c>
    </row>
    <row r="2234" spans="3:5">
      <c r="C2234" t="s">
        <v>17</v>
      </c>
      <c r="D2234" t="s">
        <v>18</v>
      </c>
      <c r="E2234">
        <v>0</v>
      </c>
    </row>
    <row r="2235" spans="3:5">
      <c r="C2235" t="s">
        <v>15</v>
      </c>
      <c r="D2235" t="s">
        <v>16</v>
      </c>
      <c r="E2235">
        <v>0</v>
      </c>
    </row>
    <row r="2236" spans="3:5">
      <c r="C2236" t="s">
        <v>17</v>
      </c>
      <c r="D2236" t="s">
        <v>18</v>
      </c>
      <c r="E2236">
        <v>1</v>
      </c>
    </row>
    <row r="2237" spans="3:5">
      <c r="C2237" t="s">
        <v>17</v>
      </c>
      <c r="D2237" t="s">
        <v>18</v>
      </c>
      <c r="E2237">
        <v>0</v>
      </c>
    </row>
    <row r="2238" spans="3:5">
      <c r="C2238" t="s">
        <v>15</v>
      </c>
      <c r="D2238" t="s">
        <v>16</v>
      </c>
      <c r="E2238">
        <v>0</v>
      </c>
    </row>
    <row r="2239" spans="3:5">
      <c r="C2239" t="s">
        <v>15</v>
      </c>
      <c r="D2239" t="s">
        <v>16</v>
      </c>
      <c r="E2239">
        <v>0</v>
      </c>
    </row>
    <row r="2240" spans="3:5">
      <c r="C2240" t="s">
        <v>15</v>
      </c>
      <c r="D2240" t="s">
        <v>16</v>
      </c>
      <c r="E2240">
        <v>0</v>
      </c>
    </row>
    <row r="2241" spans="3:5">
      <c r="C2241" t="s">
        <v>17</v>
      </c>
      <c r="D2241" t="s">
        <v>18</v>
      </c>
      <c r="E2241">
        <v>0</v>
      </c>
    </row>
    <row r="2242" spans="3:5">
      <c r="C2242" t="s">
        <v>17</v>
      </c>
      <c r="D2242" t="s">
        <v>18</v>
      </c>
      <c r="E2242">
        <v>1</v>
      </c>
    </row>
    <row r="2243" spans="3:5">
      <c r="C2243" t="s">
        <v>15</v>
      </c>
      <c r="D2243" t="s">
        <v>16</v>
      </c>
      <c r="E2243">
        <v>0</v>
      </c>
    </row>
    <row r="2244" spans="3:5">
      <c r="C2244" t="s">
        <v>17</v>
      </c>
      <c r="D2244" t="s">
        <v>18</v>
      </c>
      <c r="E2244">
        <v>0</v>
      </c>
    </row>
    <row r="2245" spans="3:5">
      <c r="C2245" t="s">
        <v>17</v>
      </c>
      <c r="D2245" t="s">
        <v>18</v>
      </c>
      <c r="E2245">
        <v>0</v>
      </c>
    </row>
    <row r="2246" spans="3:5">
      <c r="C2246" t="s">
        <v>17</v>
      </c>
      <c r="D2246" t="s">
        <v>18</v>
      </c>
      <c r="E2246">
        <v>0</v>
      </c>
    </row>
    <row r="2247" spans="3:5">
      <c r="C2247" t="s">
        <v>15</v>
      </c>
      <c r="D2247" t="s">
        <v>16</v>
      </c>
      <c r="E2247">
        <v>0</v>
      </c>
    </row>
    <row r="2248" spans="3:5">
      <c r="C2248" t="s">
        <v>15</v>
      </c>
      <c r="D2248" t="s">
        <v>16</v>
      </c>
      <c r="E2248">
        <v>0</v>
      </c>
    </row>
    <row r="2249" spans="3:5">
      <c r="C2249" t="s">
        <v>15</v>
      </c>
      <c r="D2249" t="s">
        <v>16</v>
      </c>
      <c r="E2249">
        <v>0</v>
      </c>
    </row>
    <row r="2250" spans="3:5">
      <c r="C2250" t="s">
        <v>15</v>
      </c>
      <c r="D2250" t="s">
        <v>16</v>
      </c>
      <c r="E2250">
        <v>0</v>
      </c>
    </row>
    <row r="2251" spans="3:5">
      <c r="C2251" t="s">
        <v>17</v>
      </c>
      <c r="D2251" t="s">
        <v>18</v>
      </c>
      <c r="E2251">
        <v>0</v>
      </c>
    </row>
    <row r="2252" spans="3:5">
      <c r="C2252" t="s">
        <v>17</v>
      </c>
      <c r="D2252" t="s">
        <v>18</v>
      </c>
      <c r="E2252">
        <v>1</v>
      </c>
    </row>
    <row r="2253" spans="3:5">
      <c r="C2253" t="s">
        <v>17</v>
      </c>
      <c r="D2253" t="s">
        <v>18</v>
      </c>
      <c r="E2253">
        <v>0</v>
      </c>
    </row>
    <row r="2254" spans="3:5">
      <c r="C2254" t="s">
        <v>17</v>
      </c>
      <c r="D2254" t="s">
        <v>18</v>
      </c>
      <c r="E2254">
        <v>0</v>
      </c>
    </row>
    <row r="2255" spans="3:5">
      <c r="C2255" t="s">
        <v>15</v>
      </c>
      <c r="D2255" t="s">
        <v>16</v>
      </c>
      <c r="E2255">
        <v>0</v>
      </c>
    </row>
    <row r="2256" spans="3:5">
      <c r="C2256" t="s">
        <v>15</v>
      </c>
      <c r="D2256" t="s">
        <v>16</v>
      </c>
      <c r="E2256">
        <v>0</v>
      </c>
    </row>
    <row r="2257" spans="3:5">
      <c r="C2257" t="s">
        <v>17</v>
      </c>
      <c r="D2257" t="s">
        <v>18</v>
      </c>
      <c r="E2257">
        <v>0</v>
      </c>
    </row>
    <row r="2258" spans="3:5">
      <c r="C2258" t="s">
        <v>17</v>
      </c>
      <c r="D2258" t="s">
        <v>18</v>
      </c>
      <c r="E2258">
        <v>0</v>
      </c>
    </row>
    <row r="2259" spans="3:5">
      <c r="C2259" t="s">
        <v>15</v>
      </c>
      <c r="D2259" t="s">
        <v>16</v>
      </c>
      <c r="E2259">
        <v>0</v>
      </c>
    </row>
    <row r="2260" spans="3:5">
      <c r="C2260" t="s">
        <v>17</v>
      </c>
      <c r="D2260" t="s">
        <v>18</v>
      </c>
      <c r="E2260">
        <v>0</v>
      </c>
    </row>
    <row r="2261" spans="3:5">
      <c r="C2261" t="s">
        <v>15</v>
      </c>
      <c r="D2261" t="s">
        <v>16</v>
      </c>
      <c r="E2261">
        <v>0</v>
      </c>
    </row>
    <row r="2262" spans="3:5">
      <c r="C2262" t="s">
        <v>15</v>
      </c>
      <c r="D2262" t="s">
        <v>16</v>
      </c>
      <c r="E2262">
        <v>0</v>
      </c>
    </row>
    <row r="2263" spans="3:5">
      <c r="C2263" t="s">
        <v>15</v>
      </c>
      <c r="D2263" t="s">
        <v>16</v>
      </c>
      <c r="E2263">
        <v>0</v>
      </c>
    </row>
    <row r="2264" spans="3:5">
      <c r="C2264" t="s">
        <v>15</v>
      </c>
      <c r="D2264" t="s">
        <v>16</v>
      </c>
      <c r="E2264">
        <v>0</v>
      </c>
    </row>
    <row r="2265" spans="3:5">
      <c r="C2265" t="s">
        <v>17</v>
      </c>
      <c r="D2265" t="s">
        <v>18</v>
      </c>
      <c r="E2265">
        <v>0</v>
      </c>
    </row>
    <row r="2266" spans="3:5">
      <c r="C2266" t="s">
        <v>17</v>
      </c>
      <c r="D2266" t="s">
        <v>18</v>
      </c>
      <c r="E2266">
        <v>0</v>
      </c>
    </row>
    <row r="2267" spans="3:5">
      <c r="C2267" t="s">
        <v>17</v>
      </c>
      <c r="D2267" t="s">
        <v>18</v>
      </c>
      <c r="E2267">
        <v>0</v>
      </c>
    </row>
    <row r="2268" spans="3:5">
      <c r="C2268" t="s">
        <v>15</v>
      </c>
      <c r="D2268" t="s">
        <v>16</v>
      </c>
      <c r="E2268">
        <v>0</v>
      </c>
    </row>
    <row r="2269" spans="3:5">
      <c r="C2269" t="s">
        <v>17</v>
      </c>
      <c r="D2269" t="s">
        <v>18</v>
      </c>
      <c r="E2269">
        <v>1</v>
      </c>
    </row>
    <row r="2270" spans="3:5">
      <c r="C2270" t="s">
        <v>17</v>
      </c>
      <c r="D2270" t="s">
        <v>18</v>
      </c>
      <c r="E2270">
        <v>0</v>
      </c>
    </row>
    <row r="2271" spans="3:5">
      <c r="C2271" t="s">
        <v>17</v>
      </c>
      <c r="D2271" t="s">
        <v>18</v>
      </c>
      <c r="E2271">
        <v>0</v>
      </c>
    </row>
    <row r="2272" spans="3:5">
      <c r="C2272" t="s">
        <v>15</v>
      </c>
      <c r="D2272" t="s">
        <v>16</v>
      </c>
      <c r="E2272">
        <v>0</v>
      </c>
    </row>
    <row r="2273" spans="3:5">
      <c r="C2273" t="s">
        <v>17</v>
      </c>
      <c r="D2273" t="s">
        <v>18</v>
      </c>
      <c r="E2273">
        <v>0</v>
      </c>
    </row>
    <row r="2274" spans="3:5">
      <c r="C2274" t="s">
        <v>17</v>
      </c>
      <c r="D2274" t="s">
        <v>18</v>
      </c>
      <c r="E2274">
        <v>0</v>
      </c>
    </row>
    <row r="2275" spans="3:5">
      <c r="C2275" t="s">
        <v>17</v>
      </c>
      <c r="D2275" t="s">
        <v>18</v>
      </c>
      <c r="E2275">
        <v>0</v>
      </c>
    </row>
    <row r="2276" spans="3:5">
      <c r="C2276" t="s">
        <v>17</v>
      </c>
      <c r="D2276" t="s">
        <v>18</v>
      </c>
      <c r="E2276">
        <v>0</v>
      </c>
    </row>
    <row r="2277" spans="3:5">
      <c r="C2277" t="s">
        <v>15</v>
      </c>
      <c r="D2277" t="s">
        <v>16</v>
      </c>
      <c r="E2277">
        <v>0</v>
      </c>
    </row>
    <row r="2278" spans="3:5">
      <c r="C2278" t="s">
        <v>17</v>
      </c>
      <c r="D2278" t="s">
        <v>18</v>
      </c>
      <c r="E2278">
        <v>0</v>
      </c>
    </row>
    <row r="2279" spans="3:5">
      <c r="C2279" t="s">
        <v>15</v>
      </c>
      <c r="D2279" t="s">
        <v>16</v>
      </c>
      <c r="E2279">
        <v>0</v>
      </c>
    </row>
    <row r="2280" spans="3:5">
      <c r="C2280" t="s">
        <v>15</v>
      </c>
      <c r="D2280" t="s">
        <v>16</v>
      </c>
      <c r="E2280">
        <v>0</v>
      </c>
    </row>
    <row r="2281" spans="3:5">
      <c r="C2281" t="s">
        <v>15</v>
      </c>
      <c r="D2281" t="s">
        <v>16</v>
      </c>
      <c r="E2281">
        <v>0</v>
      </c>
    </row>
    <row r="2282" spans="3:5">
      <c r="C2282" t="s">
        <v>15</v>
      </c>
      <c r="D2282" t="s">
        <v>16</v>
      </c>
      <c r="E2282">
        <v>0</v>
      </c>
    </row>
    <row r="2283" spans="3:5">
      <c r="C2283" t="s">
        <v>17</v>
      </c>
      <c r="D2283" t="s">
        <v>18</v>
      </c>
      <c r="E2283">
        <v>0</v>
      </c>
    </row>
    <row r="2284" spans="3:5">
      <c r="C2284" t="s">
        <v>15</v>
      </c>
      <c r="D2284" t="s">
        <v>16</v>
      </c>
      <c r="E2284">
        <v>0</v>
      </c>
    </row>
    <row r="2285" spans="3:5">
      <c r="C2285" t="s">
        <v>17</v>
      </c>
      <c r="D2285" t="s">
        <v>18</v>
      </c>
      <c r="E2285">
        <v>0</v>
      </c>
    </row>
    <row r="2286" spans="3:5">
      <c r="C2286" t="s">
        <v>17</v>
      </c>
      <c r="D2286" t="s">
        <v>18</v>
      </c>
      <c r="E2286">
        <v>0</v>
      </c>
    </row>
    <row r="2287" spans="3:5">
      <c r="C2287" t="s">
        <v>15</v>
      </c>
      <c r="D2287" t="s">
        <v>16</v>
      </c>
      <c r="E2287">
        <v>1</v>
      </c>
    </row>
    <row r="2288" spans="3:5">
      <c r="C2288" t="s">
        <v>17</v>
      </c>
      <c r="D2288" t="s">
        <v>18</v>
      </c>
      <c r="E2288">
        <v>0</v>
      </c>
    </row>
    <row r="2289" spans="3:5">
      <c r="C2289" t="s">
        <v>17</v>
      </c>
      <c r="D2289" t="s">
        <v>18</v>
      </c>
      <c r="E2289">
        <v>0</v>
      </c>
    </row>
    <row r="2290" spans="3:5">
      <c r="C2290" t="s">
        <v>17</v>
      </c>
      <c r="D2290" t="s">
        <v>18</v>
      </c>
      <c r="E2290">
        <v>1</v>
      </c>
    </row>
    <row r="2291" spans="3:5">
      <c r="C2291" t="s">
        <v>15</v>
      </c>
      <c r="D2291" t="s">
        <v>16</v>
      </c>
      <c r="E2291">
        <v>0</v>
      </c>
    </row>
    <row r="2292" spans="3:5">
      <c r="C2292" t="s">
        <v>17</v>
      </c>
      <c r="D2292" t="s">
        <v>18</v>
      </c>
      <c r="E2292">
        <v>0</v>
      </c>
    </row>
    <row r="2293" spans="3:5">
      <c r="C2293" t="s">
        <v>17</v>
      </c>
      <c r="D2293" t="s">
        <v>18</v>
      </c>
      <c r="E2293">
        <v>0</v>
      </c>
    </row>
    <row r="2294" spans="3:5">
      <c r="C2294" t="s">
        <v>17</v>
      </c>
      <c r="D2294" t="s">
        <v>18</v>
      </c>
      <c r="E2294">
        <v>0</v>
      </c>
    </row>
    <row r="2295" spans="3:5">
      <c r="C2295" t="s">
        <v>17</v>
      </c>
      <c r="D2295" t="s">
        <v>18</v>
      </c>
      <c r="E2295">
        <v>0</v>
      </c>
    </row>
    <row r="2296" spans="3:5">
      <c r="C2296" t="s">
        <v>15</v>
      </c>
      <c r="D2296" t="s">
        <v>16</v>
      </c>
      <c r="E2296">
        <v>0</v>
      </c>
    </row>
    <row r="2297" spans="3:5">
      <c r="C2297" t="s">
        <v>15</v>
      </c>
      <c r="D2297" t="s">
        <v>16</v>
      </c>
      <c r="E2297">
        <v>1</v>
      </c>
    </row>
    <row r="2298" spans="3:5">
      <c r="C2298" t="s">
        <v>15</v>
      </c>
      <c r="D2298" t="s">
        <v>16</v>
      </c>
      <c r="E2298">
        <v>1</v>
      </c>
    </row>
    <row r="2299" spans="3:5">
      <c r="C2299" t="s">
        <v>17</v>
      </c>
      <c r="D2299" t="s">
        <v>18</v>
      </c>
      <c r="E2299">
        <v>0</v>
      </c>
    </row>
    <row r="2300" spans="3:5">
      <c r="C2300" t="s">
        <v>15</v>
      </c>
      <c r="D2300" t="s">
        <v>16</v>
      </c>
      <c r="E2300">
        <v>0</v>
      </c>
    </row>
    <row r="2301" spans="3:5">
      <c r="C2301" t="s">
        <v>15</v>
      </c>
      <c r="D2301" t="s">
        <v>16</v>
      </c>
      <c r="E2301">
        <v>0</v>
      </c>
    </row>
    <row r="2302" spans="3:5">
      <c r="C2302" t="s">
        <v>15</v>
      </c>
      <c r="D2302" t="s">
        <v>16</v>
      </c>
      <c r="E2302">
        <v>0</v>
      </c>
    </row>
    <row r="2303" spans="3:5">
      <c r="C2303" t="s">
        <v>15</v>
      </c>
      <c r="D2303" t="s">
        <v>16</v>
      </c>
      <c r="E2303">
        <v>0</v>
      </c>
    </row>
    <row r="2304" spans="3:5">
      <c r="C2304" t="s">
        <v>15</v>
      </c>
      <c r="D2304" t="s">
        <v>16</v>
      </c>
      <c r="E2304">
        <v>0</v>
      </c>
    </row>
    <row r="2305" spans="3:5">
      <c r="C2305" t="s">
        <v>17</v>
      </c>
      <c r="D2305" t="s">
        <v>18</v>
      </c>
      <c r="E2305">
        <v>0</v>
      </c>
    </row>
    <row r="2306" spans="3:5">
      <c r="C2306" t="s">
        <v>15</v>
      </c>
      <c r="D2306" t="s">
        <v>16</v>
      </c>
      <c r="E2306">
        <v>0</v>
      </c>
    </row>
    <row r="2307" spans="3:5">
      <c r="C2307" t="s">
        <v>15</v>
      </c>
      <c r="D2307" t="s">
        <v>16</v>
      </c>
      <c r="E2307">
        <v>0</v>
      </c>
    </row>
    <row r="2308" spans="3:5">
      <c r="C2308" t="s">
        <v>17</v>
      </c>
      <c r="D2308" t="s">
        <v>18</v>
      </c>
      <c r="E2308">
        <v>0</v>
      </c>
    </row>
    <row r="2309" spans="3:5">
      <c r="C2309" t="s">
        <v>15</v>
      </c>
      <c r="D2309" t="s">
        <v>16</v>
      </c>
      <c r="E2309">
        <v>0</v>
      </c>
    </row>
    <row r="2310" spans="3:5">
      <c r="C2310" t="s">
        <v>17</v>
      </c>
      <c r="D2310" t="s">
        <v>18</v>
      </c>
      <c r="E2310">
        <v>0</v>
      </c>
    </row>
    <row r="2311" spans="3:5">
      <c r="C2311" t="s">
        <v>17</v>
      </c>
      <c r="D2311" t="s">
        <v>18</v>
      </c>
      <c r="E2311">
        <v>0</v>
      </c>
    </row>
    <row r="2312" spans="3:5">
      <c r="C2312" t="s">
        <v>17</v>
      </c>
      <c r="D2312" t="s">
        <v>18</v>
      </c>
      <c r="E2312">
        <v>0</v>
      </c>
    </row>
    <row r="2313" spans="3:5">
      <c r="C2313" t="s">
        <v>17</v>
      </c>
      <c r="D2313" t="s">
        <v>18</v>
      </c>
      <c r="E2313">
        <v>0</v>
      </c>
    </row>
    <row r="2314" spans="3:5">
      <c r="C2314" t="s">
        <v>15</v>
      </c>
      <c r="D2314" t="s">
        <v>16</v>
      </c>
      <c r="E2314">
        <v>0</v>
      </c>
    </row>
    <row r="2315" spans="3:5">
      <c r="C2315" t="s">
        <v>17</v>
      </c>
      <c r="D2315" t="s">
        <v>18</v>
      </c>
      <c r="E2315">
        <v>0</v>
      </c>
    </row>
    <row r="2316" spans="3:5">
      <c r="C2316" t="s">
        <v>15</v>
      </c>
      <c r="D2316" t="s">
        <v>16</v>
      </c>
      <c r="E2316">
        <v>0</v>
      </c>
    </row>
    <row r="2317" spans="3:5">
      <c r="C2317" t="s">
        <v>17</v>
      </c>
      <c r="D2317" t="s">
        <v>18</v>
      </c>
      <c r="E2317">
        <v>0</v>
      </c>
    </row>
    <row r="2318" spans="3:5">
      <c r="C2318" t="s">
        <v>17</v>
      </c>
      <c r="D2318" t="s">
        <v>18</v>
      </c>
      <c r="E2318">
        <v>0</v>
      </c>
    </row>
    <row r="2319" spans="3:5">
      <c r="C2319" t="s">
        <v>17</v>
      </c>
      <c r="D2319" t="s">
        <v>18</v>
      </c>
      <c r="E2319">
        <v>0</v>
      </c>
    </row>
    <row r="2320" spans="3:5">
      <c r="C2320" t="s">
        <v>15</v>
      </c>
      <c r="D2320" t="s">
        <v>16</v>
      </c>
      <c r="E2320">
        <v>0</v>
      </c>
    </row>
    <row r="2321" spans="3:5">
      <c r="C2321" t="s">
        <v>15</v>
      </c>
      <c r="D2321" t="s">
        <v>16</v>
      </c>
      <c r="E2321">
        <v>0</v>
      </c>
    </row>
    <row r="2322" spans="3:5">
      <c r="C2322" t="s">
        <v>15</v>
      </c>
      <c r="D2322" t="s">
        <v>16</v>
      </c>
      <c r="E2322">
        <v>0</v>
      </c>
    </row>
    <row r="2323" spans="3:5">
      <c r="C2323" t="s">
        <v>15</v>
      </c>
      <c r="D2323" t="s">
        <v>16</v>
      </c>
      <c r="E2323">
        <v>0</v>
      </c>
    </row>
    <row r="2324" spans="3:5">
      <c r="C2324" t="s">
        <v>17</v>
      </c>
      <c r="D2324" t="s">
        <v>18</v>
      </c>
      <c r="E2324">
        <v>1</v>
      </c>
    </row>
    <row r="2325" spans="3:5">
      <c r="C2325" t="s">
        <v>17</v>
      </c>
      <c r="D2325" t="s">
        <v>18</v>
      </c>
      <c r="E2325">
        <v>0</v>
      </c>
    </row>
    <row r="2326" spans="3:5">
      <c r="C2326" t="s">
        <v>17</v>
      </c>
      <c r="D2326" t="s">
        <v>18</v>
      </c>
      <c r="E2326">
        <v>0</v>
      </c>
    </row>
    <row r="2327" spans="3:5">
      <c r="C2327" t="s">
        <v>15</v>
      </c>
      <c r="D2327" t="s">
        <v>16</v>
      </c>
      <c r="E2327">
        <v>0</v>
      </c>
    </row>
    <row r="2328" spans="3:5">
      <c r="C2328" t="s">
        <v>17</v>
      </c>
      <c r="D2328" t="s">
        <v>18</v>
      </c>
      <c r="E2328">
        <v>0</v>
      </c>
    </row>
    <row r="2329" spans="3:5">
      <c r="C2329" t="s">
        <v>15</v>
      </c>
      <c r="D2329" t="s">
        <v>16</v>
      </c>
      <c r="E2329">
        <v>0</v>
      </c>
    </row>
    <row r="2330" spans="3:5">
      <c r="C2330" t="s">
        <v>17</v>
      </c>
      <c r="D2330" t="s">
        <v>18</v>
      </c>
      <c r="E2330">
        <v>0</v>
      </c>
    </row>
    <row r="2331" spans="3:5">
      <c r="C2331" t="s">
        <v>17</v>
      </c>
      <c r="D2331" t="s">
        <v>18</v>
      </c>
      <c r="E2331">
        <v>0</v>
      </c>
    </row>
    <row r="2332" spans="3:5">
      <c r="C2332" t="s">
        <v>17</v>
      </c>
      <c r="D2332" t="s">
        <v>18</v>
      </c>
      <c r="E2332">
        <v>1</v>
      </c>
    </row>
    <row r="2333" spans="3:5">
      <c r="C2333" t="s">
        <v>15</v>
      </c>
      <c r="D2333" t="s">
        <v>16</v>
      </c>
      <c r="E2333">
        <v>0</v>
      </c>
    </row>
    <row r="2334" spans="3:5">
      <c r="C2334" t="s">
        <v>15</v>
      </c>
      <c r="D2334" t="s">
        <v>16</v>
      </c>
      <c r="E2334">
        <v>0</v>
      </c>
    </row>
    <row r="2335" spans="3:5">
      <c r="C2335" t="s">
        <v>15</v>
      </c>
      <c r="D2335" t="s">
        <v>16</v>
      </c>
      <c r="E2335">
        <v>0</v>
      </c>
    </row>
    <row r="2336" spans="3:5">
      <c r="C2336" t="s">
        <v>17</v>
      </c>
      <c r="D2336" t="s">
        <v>18</v>
      </c>
      <c r="E2336">
        <v>0</v>
      </c>
    </row>
    <row r="2337" spans="3:5">
      <c r="C2337" t="s">
        <v>17</v>
      </c>
      <c r="D2337" t="s">
        <v>18</v>
      </c>
      <c r="E2337">
        <v>0</v>
      </c>
    </row>
    <row r="2338" spans="3:5">
      <c r="C2338" t="s">
        <v>17</v>
      </c>
      <c r="D2338" t="s">
        <v>18</v>
      </c>
      <c r="E2338">
        <v>1</v>
      </c>
    </row>
    <row r="2339" spans="3:5">
      <c r="C2339" t="s">
        <v>15</v>
      </c>
      <c r="D2339" t="s">
        <v>16</v>
      </c>
      <c r="E2339">
        <v>0</v>
      </c>
    </row>
    <row r="2340" spans="3:5">
      <c r="C2340" t="s">
        <v>15</v>
      </c>
      <c r="D2340" t="s">
        <v>16</v>
      </c>
      <c r="E2340">
        <v>0</v>
      </c>
    </row>
    <row r="2341" spans="3:5">
      <c r="C2341" t="s">
        <v>17</v>
      </c>
      <c r="D2341" t="s">
        <v>18</v>
      </c>
      <c r="E2341">
        <v>0</v>
      </c>
    </row>
    <row r="2342" spans="3:5">
      <c r="C2342" t="s">
        <v>17</v>
      </c>
      <c r="D2342" t="s">
        <v>18</v>
      </c>
      <c r="E2342">
        <v>0</v>
      </c>
    </row>
    <row r="2343" spans="3:5">
      <c r="C2343" t="s">
        <v>15</v>
      </c>
      <c r="D2343" t="s">
        <v>16</v>
      </c>
      <c r="E2343">
        <v>0</v>
      </c>
    </row>
    <row r="2344" spans="3:5">
      <c r="C2344" t="s">
        <v>15</v>
      </c>
      <c r="D2344" t="s">
        <v>16</v>
      </c>
      <c r="E2344">
        <v>0</v>
      </c>
    </row>
    <row r="2345" spans="3:5">
      <c r="C2345" t="s">
        <v>15</v>
      </c>
      <c r="D2345" t="s">
        <v>16</v>
      </c>
      <c r="E2345">
        <v>0</v>
      </c>
    </row>
    <row r="2346" spans="3:5">
      <c r="C2346" t="s">
        <v>17</v>
      </c>
      <c r="D2346" t="s">
        <v>18</v>
      </c>
      <c r="E2346">
        <v>0</v>
      </c>
    </row>
    <row r="2347" spans="3:5">
      <c r="C2347" t="s">
        <v>15</v>
      </c>
      <c r="D2347" t="s">
        <v>16</v>
      </c>
      <c r="E2347">
        <v>0</v>
      </c>
    </row>
    <row r="2348" spans="3:5">
      <c r="C2348" t="s">
        <v>15</v>
      </c>
      <c r="D2348" t="s">
        <v>16</v>
      </c>
      <c r="E2348">
        <v>0</v>
      </c>
    </row>
    <row r="2349" spans="3:5">
      <c r="C2349" t="s">
        <v>15</v>
      </c>
      <c r="D2349" t="s">
        <v>16</v>
      </c>
      <c r="E2349">
        <v>0</v>
      </c>
    </row>
    <row r="2350" spans="3:5">
      <c r="C2350" t="s">
        <v>17</v>
      </c>
      <c r="D2350" t="s">
        <v>18</v>
      </c>
      <c r="E2350">
        <v>0</v>
      </c>
    </row>
    <row r="2351" spans="3:5">
      <c r="C2351" t="s">
        <v>15</v>
      </c>
      <c r="D2351" t="s">
        <v>16</v>
      </c>
      <c r="E2351">
        <v>0</v>
      </c>
    </row>
    <row r="2352" spans="3:5">
      <c r="C2352" t="s">
        <v>15</v>
      </c>
      <c r="D2352" t="s">
        <v>16</v>
      </c>
      <c r="E2352">
        <v>0</v>
      </c>
    </row>
    <row r="2353" spans="3:5">
      <c r="C2353" t="s">
        <v>17</v>
      </c>
      <c r="D2353" t="s">
        <v>18</v>
      </c>
      <c r="E2353">
        <v>0</v>
      </c>
    </row>
    <row r="2354" spans="3:5">
      <c r="C2354" t="s">
        <v>15</v>
      </c>
      <c r="D2354" t="s">
        <v>16</v>
      </c>
      <c r="E2354">
        <v>0</v>
      </c>
    </row>
    <row r="2355" spans="3:5">
      <c r="C2355" t="s">
        <v>17</v>
      </c>
      <c r="D2355" t="s">
        <v>18</v>
      </c>
      <c r="E2355">
        <v>0</v>
      </c>
    </row>
    <row r="2356" spans="3:5">
      <c r="C2356" t="s">
        <v>15</v>
      </c>
      <c r="D2356" t="s">
        <v>16</v>
      </c>
      <c r="E2356">
        <v>0</v>
      </c>
    </row>
    <row r="2357" spans="3:5">
      <c r="C2357" t="s">
        <v>15</v>
      </c>
      <c r="D2357" t="s">
        <v>16</v>
      </c>
      <c r="E2357">
        <v>0</v>
      </c>
    </row>
    <row r="2358" spans="3:5">
      <c r="C2358" t="s">
        <v>15</v>
      </c>
      <c r="D2358" t="s">
        <v>16</v>
      </c>
      <c r="E2358">
        <v>0</v>
      </c>
    </row>
    <row r="2359" spans="3:5">
      <c r="C2359" t="s">
        <v>15</v>
      </c>
      <c r="D2359" t="s">
        <v>16</v>
      </c>
      <c r="E2359">
        <v>0</v>
      </c>
    </row>
    <row r="2360" spans="3:5">
      <c r="C2360" t="s">
        <v>15</v>
      </c>
      <c r="D2360" t="s">
        <v>16</v>
      </c>
      <c r="E2360">
        <v>0</v>
      </c>
    </row>
    <row r="2361" spans="3:5">
      <c r="C2361" t="s">
        <v>17</v>
      </c>
      <c r="D2361" t="s">
        <v>18</v>
      </c>
      <c r="E2361">
        <v>0</v>
      </c>
    </row>
    <row r="2362" spans="3:5">
      <c r="C2362" t="s">
        <v>15</v>
      </c>
      <c r="D2362" t="s">
        <v>16</v>
      </c>
      <c r="E2362">
        <v>0</v>
      </c>
    </row>
    <row r="2363" spans="3:5">
      <c r="C2363" t="s">
        <v>15</v>
      </c>
      <c r="D2363" t="s">
        <v>16</v>
      </c>
      <c r="E2363">
        <v>0</v>
      </c>
    </row>
    <row r="2364" spans="3:5">
      <c r="C2364" t="s">
        <v>17</v>
      </c>
      <c r="D2364" t="s">
        <v>18</v>
      </c>
      <c r="E2364">
        <v>0</v>
      </c>
    </row>
    <row r="2365" spans="3:5">
      <c r="C2365" t="s">
        <v>17</v>
      </c>
      <c r="D2365" t="s">
        <v>18</v>
      </c>
      <c r="E2365">
        <v>0</v>
      </c>
    </row>
    <row r="2366" spans="3:5">
      <c r="C2366" t="s">
        <v>17</v>
      </c>
      <c r="D2366" t="s">
        <v>18</v>
      </c>
      <c r="E2366">
        <v>0</v>
      </c>
    </row>
    <row r="2367" spans="3:5">
      <c r="C2367" t="s">
        <v>15</v>
      </c>
      <c r="D2367" t="s">
        <v>16</v>
      </c>
      <c r="E2367">
        <v>0</v>
      </c>
    </row>
    <row r="2368" spans="3:5">
      <c r="C2368" t="s">
        <v>15</v>
      </c>
      <c r="D2368" t="s">
        <v>16</v>
      </c>
      <c r="E2368">
        <v>0</v>
      </c>
    </row>
    <row r="2369" spans="3:5">
      <c r="C2369" t="s">
        <v>17</v>
      </c>
      <c r="D2369" t="s">
        <v>18</v>
      </c>
      <c r="E2369">
        <v>0</v>
      </c>
    </row>
    <row r="2370" spans="3:5">
      <c r="C2370" t="s">
        <v>15</v>
      </c>
      <c r="D2370" t="s">
        <v>16</v>
      </c>
      <c r="E2370">
        <v>1</v>
      </c>
    </row>
    <row r="2371" spans="3:5">
      <c r="C2371" t="s">
        <v>17</v>
      </c>
      <c r="D2371" t="s">
        <v>18</v>
      </c>
      <c r="E2371">
        <v>0</v>
      </c>
    </row>
    <row r="2372" spans="3:5">
      <c r="C2372" t="s">
        <v>17</v>
      </c>
      <c r="D2372" t="s">
        <v>18</v>
      </c>
      <c r="E2372">
        <v>0</v>
      </c>
    </row>
    <row r="2373" spans="3:5">
      <c r="C2373" t="s">
        <v>15</v>
      </c>
      <c r="D2373" t="s">
        <v>16</v>
      </c>
      <c r="E2373">
        <v>0</v>
      </c>
    </row>
    <row r="2374" spans="3:5">
      <c r="C2374" t="s">
        <v>17</v>
      </c>
      <c r="D2374" t="s">
        <v>18</v>
      </c>
      <c r="E2374">
        <v>0</v>
      </c>
    </row>
    <row r="2375" spans="3:5">
      <c r="C2375" t="s">
        <v>15</v>
      </c>
      <c r="D2375" t="s">
        <v>16</v>
      </c>
      <c r="E2375">
        <v>0</v>
      </c>
    </row>
    <row r="2376" spans="3:5">
      <c r="C2376" t="s">
        <v>15</v>
      </c>
      <c r="D2376" t="s">
        <v>16</v>
      </c>
      <c r="E2376">
        <v>0</v>
      </c>
    </row>
    <row r="2377" spans="3:5">
      <c r="C2377" t="s">
        <v>15</v>
      </c>
      <c r="D2377" t="s">
        <v>16</v>
      </c>
      <c r="E2377">
        <v>0</v>
      </c>
    </row>
    <row r="2378" spans="3:5">
      <c r="C2378" t="s">
        <v>15</v>
      </c>
      <c r="D2378" t="s">
        <v>16</v>
      </c>
      <c r="E2378">
        <v>0</v>
      </c>
    </row>
    <row r="2379" spans="3:5">
      <c r="C2379" t="s">
        <v>17</v>
      </c>
      <c r="D2379" t="s">
        <v>18</v>
      </c>
      <c r="E2379">
        <v>0</v>
      </c>
    </row>
    <row r="2380" spans="3:5">
      <c r="C2380" t="s">
        <v>15</v>
      </c>
      <c r="D2380" t="s">
        <v>16</v>
      </c>
      <c r="E2380">
        <v>0</v>
      </c>
    </row>
    <row r="2381" spans="3:5">
      <c r="C2381" t="s">
        <v>17</v>
      </c>
      <c r="D2381" t="s">
        <v>18</v>
      </c>
      <c r="E2381">
        <v>0</v>
      </c>
    </row>
    <row r="2382" spans="3:5">
      <c r="C2382" t="s">
        <v>15</v>
      </c>
      <c r="D2382" t="s">
        <v>16</v>
      </c>
      <c r="E2382">
        <v>0</v>
      </c>
    </row>
    <row r="2383" spans="3:5">
      <c r="C2383" t="s">
        <v>17</v>
      </c>
      <c r="D2383" t="s">
        <v>18</v>
      </c>
      <c r="E2383">
        <v>0</v>
      </c>
    </row>
    <row r="2384" spans="3:5">
      <c r="C2384" t="s">
        <v>15</v>
      </c>
      <c r="D2384" t="s">
        <v>16</v>
      </c>
      <c r="E2384">
        <v>0</v>
      </c>
    </row>
    <row r="2385" spans="3:5">
      <c r="C2385" t="s">
        <v>17</v>
      </c>
      <c r="D2385" t="s">
        <v>18</v>
      </c>
      <c r="E2385">
        <v>0</v>
      </c>
    </row>
    <row r="2386" spans="3:5">
      <c r="C2386" t="s">
        <v>17</v>
      </c>
      <c r="D2386" t="s">
        <v>18</v>
      </c>
      <c r="E2386">
        <v>0</v>
      </c>
    </row>
    <row r="2387" spans="3:5">
      <c r="C2387" t="s">
        <v>15</v>
      </c>
      <c r="D2387" t="s">
        <v>16</v>
      </c>
      <c r="E2387">
        <v>0</v>
      </c>
    </row>
    <row r="2388" spans="3:5">
      <c r="C2388" t="s">
        <v>17</v>
      </c>
      <c r="D2388" t="s">
        <v>18</v>
      </c>
      <c r="E2388">
        <v>0</v>
      </c>
    </row>
    <row r="2389" spans="3:5">
      <c r="C2389" t="s">
        <v>15</v>
      </c>
      <c r="D2389" t="s">
        <v>16</v>
      </c>
      <c r="E2389">
        <v>0</v>
      </c>
    </row>
    <row r="2390" spans="3:5">
      <c r="C2390" t="s">
        <v>15</v>
      </c>
      <c r="D2390" t="s">
        <v>16</v>
      </c>
      <c r="E2390">
        <v>0</v>
      </c>
    </row>
    <row r="2391" spans="3:5">
      <c r="C2391" t="s">
        <v>15</v>
      </c>
      <c r="D2391" t="s">
        <v>16</v>
      </c>
      <c r="E2391">
        <v>0</v>
      </c>
    </row>
    <row r="2392" spans="3:5">
      <c r="C2392" t="s">
        <v>17</v>
      </c>
      <c r="D2392" t="s">
        <v>18</v>
      </c>
      <c r="E2392">
        <v>0</v>
      </c>
    </row>
    <row r="2393" spans="3:5">
      <c r="C2393" t="s">
        <v>17</v>
      </c>
      <c r="D2393" t="s">
        <v>18</v>
      </c>
      <c r="E2393">
        <v>0</v>
      </c>
    </row>
    <row r="2394" spans="3:5">
      <c r="C2394" t="s">
        <v>15</v>
      </c>
      <c r="D2394" t="s">
        <v>16</v>
      </c>
      <c r="E2394">
        <v>0</v>
      </c>
    </row>
    <row r="2395" spans="3:5">
      <c r="C2395" t="s">
        <v>17</v>
      </c>
      <c r="D2395" t="s">
        <v>18</v>
      </c>
      <c r="E2395">
        <v>0</v>
      </c>
    </row>
    <row r="2396" spans="3:5">
      <c r="C2396" t="s">
        <v>17</v>
      </c>
      <c r="D2396" t="s">
        <v>18</v>
      </c>
      <c r="E2396">
        <v>0</v>
      </c>
    </row>
    <row r="2397" spans="3:5">
      <c r="C2397" t="s">
        <v>17</v>
      </c>
      <c r="D2397" t="s">
        <v>18</v>
      </c>
      <c r="E2397">
        <v>0</v>
      </c>
    </row>
    <row r="2398" spans="3:5">
      <c r="C2398" t="s">
        <v>15</v>
      </c>
      <c r="D2398" t="s">
        <v>16</v>
      </c>
      <c r="E2398">
        <v>0</v>
      </c>
    </row>
    <row r="2399" spans="3:5">
      <c r="C2399" t="s">
        <v>15</v>
      </c>
      <c r="D2399" t="s">
        <v>16</v>
      </c>
      <c r="E2399">
        <v>0</v>
      </c>
    </row>
    <row r="2400" spans="3:5">
      <c r="C2400" t="s">
        <v>15</v>
      </c>
      <c r="D2400" t="s">
        <v>16</v>
      </c>
      <c r="E2400">
        <v>0</v>
      </c>
    </row>
    <row r="2401" spans="3:5">
      <c r="C2401" t="s">
        <v>15</v>
      </c>
      <c r="D2401" t="s">
        <v>16</v>
      </c>
      <c r="E2401">
        <v>0</v>
      </c>
    </row>
    <row r="2402" spans="3:5">
      <c r="C2402" t="s">
        <v>17</v>
      </c>
      <c r="D2402" t="s">
        <v>18</v>
      </c>
      <c r="E2402">
        <v>0</v>
      </c>
    </row>
    <row r="2403" spans="3:5">
      <c r="C2403" t="s">
        <v>15</v>
      </c>
      <c r="D2403" t="s">
        <v>16</v>
      </c>
      <c r="E2403">
        <v>0</v>
      </c>
    </row>
    <row r="2404" spans="3:5">
      <c r="C2404" t="s">
        <v>15</v>
      </c>
      <c r="D2404" t="s">
        <v>16</v>
      </c>
      <c r="E2404">
        <v>0</v>
      </c>
    </row>
    <row r="2405" spans="3:5">
      <c r="C2405" t="s">
        <v>17</v>
      </c>
      <c r="D2405" t="s">
        <v>18</v>
      </c>
      <c r="E2405">
        <v>1</v>
      </c>
    </row>
    <row r="2406" spans="3:5">
      <c r="C2406" t="s">
        <v>17</v>
      </c>
      <c r="D2406" t="s">
        <v>18</v>
      </c>
      <c r="E2406">
        <v>0</v>
      </c>
    </row>
    <row r="2407" spans="3:5">
      <c r="C2407" t="s">
        <v>17</v>
      </c>
      <c r="D2407" t="s">
        <v>18</v>
      </c>
      <c r="E2407">
        <v>0</v>
      </c>
    </row>
    <row r="2408" spans="3:5">
      <c r="C2408" t="s">
        <v>17</v>
      </c>
      <c r="D2408" t="s">
        <v>18</v>
      </c>
      <c r="E2408">
        <v>0</v>
      </c>
    </row>
    <row r="2409" spans="3:5">
      <c r="C2409" t="s">
        <v>17</v>
      </c>
      <c r="D2409" t="s">
        <v>18</v>
      </c>
      <c r="E2409">
        <v>0</v>
      </c>
    </row>
    <row r="2410" spans="3:5">
      <c r="C2410" t="s">
        <v>15</v>
      </c>
      <c r="D2410" t="s">
        <v>16</v>
      </c>
      <c r="E2410">
        <v>0</v>
      </c>
    </row>
    <row r="2411" spans="3:5">
      <c r="C2411" t="s">
        <v>15</v>
      </c>
      <c r="D2411" t="s">
        <v>16</v>
      </c>
      <c r="E2411">
        <v>0</v>
      </c>
    </row>
    <row r="2412" spans="3:5">
      <c r="C2412" t="s">
        <v>17</v>
      </c>
      <c r="D2412" t="s">
        <v>18</v>
      </c>
      <c r="E2412">
        <v>0</v>
      </c>
    </row>
    <row r="2413" spans="3:5">
      <c r="C2413" t="s">
        <v>15</v>
      </c>
      <c r="D2413" t="s">
        <v>16</v>
      </c>
      <c r="E2413">
        <v>0</v>
      </c>
    </row>
    <row r="2414" spans="3:5">
      <c r="C2414" t="s">
        <v>15</v>
      </c>
      <c r="D2414" t="s">
        <v>16</v>
      </c>
      <c r="E2414">
        <v>0</v>
      </c>
    </row>
    <row r="2415" spans="3:5">
      <c r="C2415" t="s">
        <v>17</v>
      </c>
      <c r="D2415" t="s">
        <v>18</v>
      </c>
      <c r="E2415">
        <v>0</v>
      </c>
    </row>
    <row r="2416" spans="3:5">
      <c r="C2416" t="s">
        <v>17</v>
      </c>
      <c r="D2416" t="s">
        <v>18</v>
      </c>
      <c r="E2416">
        <v>0</v>
      </c>
    </row>
    <row r="2417" spans="3:5">
      <c r="C2417" t="s">
        <v>15</v>
      </c>
      <c r="D2417" t="s">
        <v>16</v>
      </c>
      <c r="E2417">
        <v>0</v>
      </c>
    </row>
    <row r="2418" spans="3:5">
      <c r="C2418" t="s">
        <v>15</v>
      </c>
      <c r="D2418" t="s">
        <v>16</v>
      </c>
      <c r="E2418">
        <v>0</v>
      </c>
    </row>
    <row r="2419" spans="3:5">
      <c r="C2419" t="s">
        <v>17</v>
      </c>
      <c r="D2419" t="s">
        <v>18</v>
      </c>
      <c r="E2419">
        <v>0</v>
      </c>
    </row>
    <row r="2420" spans="3:5">
      <c r="C2420" t="s">
        <v>17</v>
      </c>
      <c r="D2420" t="s">
        <v>18</v>
      </c>
      <c r="E2420">
        <v>0</v>
      </c>
    </row>
    <row r="2421" spans="3:5">
      <c r="C2421" t="s">
        <v>17</v>
      </c>
      <c r="D2421" t="s">
        <v>18</v>
      </c>
      <c r="E2421">
        <v>0</v>
      </c>
    </row>
    <row r="2422" spans="3:5">
      <c r="C2422" t="s">
        <v>17</v>
      </c>
      <c r="D2422" t="s">
        <v>18</v>
      </c>
      <c r="E2422">
        <v>0</v>
      </c>
    </row>
    <row r="2423" spans="3:5">
      <c r="C2423" t="s">
        <v>15</v>
      </c>
      <c r="D2423" t="s">
        <v>16</v>
      </c>
      <c r="E2423">
        <v>0</v>
      </c>
    </row>
    <row r="2424" spans="3:5">
      <c r="C2424" t="s">
        <v>15</v>
      </c>
      <c r="D2424" t="s">
        <v>16</v>
      </c>
      <c r="E2424">
        <v>0</v>
      </c>
    </row>
    <row r="2425" spans="3:5">
      <c r="C2425" t="s">
        <v>17</v>
      </c>
      <c r="D2425" t="s">
        <v>18</v>
      </c>
      <c r="E2425">
        <v>0</v>
      </c>
    </row>
    <row r="2426" spans="3:5">
      <c r="C2426" t="s">
        <v>15</v>
      </c>
      <c r="D2426" t="s">
        <v>16</v>
      </c>
      <c r="E2426">
        <v>0</v>
      </c>
    </row>
    <row r="2427" spans="3:5">
      <c r="C2427" t="s">
        <v>17</v>
      </c>
      <c r="D2427" t="s">
        <v>18</v>
      </c>
      <c r="E2427">
        <v>0</v>
      </c>
    </row>
    <row r="2428" spans="3:5">
      <c r="C2428" t="s">
        <v>15</v>
      </c>
      <c r="D2428" t="s">
        <v>16</v>
      </c>
      <c r="E2428">
        <v>0</v>
      </c>
    </row>
    <row r="2429" spans="3:5">
      <c r="C2429" t="s">
        <v>17</v>
      </c>
      <c r="D2429" t="s">
        <v>18</v>
      </c>
      <c r="E2429">
        <v>0</v>
      </c>
    </row>
    <row r="2430" spans="3:5">
      <c r="C2430" t="s">
        <v>17</v>
      </c>
      <c r="D2430" t="s">
        <v>18</v>
      </c>
      <c r="E2430">
        <v>0</v>
      </c>
    </row>
    <row r="2431" spans="3:5">
      <c r="C2431" t="s">
        <v>15</v>
      </c>
      <c r="D2431" t="s">
        <v>16</v>
      </c>
      <c r="E2431">
        <v>1</v>
      </c>
    </row>
    <row r="2432" spans="3:5">
      <c r="C2432" t="s">
        <v>17</v>
      </c>
      <c r="D2432" t="s">
        <v>18</v>
      </c>
      <c r="E2432">
        <v>0</v>
      </c>
    </row>
    <row r="2433" spans="3:5">
      <c r="C2433" t="s">
        <v>17</v>
      </c>
      <c r="D2433" t="s">
        <v>18</v>
      </c>
      <c r="E2433">
        <v>0</v>
      </c>
    </row>
    <row r="2434" spans="3:5">
      <c r="C2434" t="s">
        <v>17</v>
      </c>
      <c r="D2434" t="s">
        <v>18</v>
      </c>
      <c r="E2434">
        <v>0</v>
      </c>
    </row>
    <row r="2435" spans="3:5">
      <c r="C2435" t="s">
        <v>15</v>
      </c>
      <c r="D2435" t="s">
        <v>16</v>
      </c>
      <c r="E2435">
        <v>0</v>
      </c>
    </row>
    <row r="2436" spans="3:5">
      <c r="C2436" t="s">
        <v>17</v>
      </c>
      <c r="D2436" t="s">
        <v>18</v>
      </c>
      <c r="E2436">
        <v>0</v>
      </c>
    </row>
    <row r="2437" spans="3:5">
      <c r="C2437" t="s">
        <v>15</v>
      </c>
      <c r="D2437" t="s">
        <v>16</v>
      </c>
      <c r="E2437">
        <v>0</v>
      </c>
    </row>
    <row r="2438" spans="3:5">
      <c r="C2438" t="s">
        <v>17</v>
      </c>
      <c r="D2438" t="s">
        <v>18</v>
      </c>
      <c r="E2438">
        <v>0</v>
      </c>
    </row>
    <row r="2439" spans="3:5">
      <c r="C2439" t="s">
        <v>15</v>
      </c>
      <c r="D2439" t="s">
        <v>16</v>
      </c>
      <c r="E2439">
        <v>0</v>
      </c>
    </row>
    <row r="2440" spans="3:5">
      <c r="C2440" t="s">
        <v>17</v>
      </c>
      <c r="D2440" t="s">
        <v>18</v>
      </c>
      <c r="E2440">
        <v>0</v>
      </c>
    </row>
    <row r="2441" spans="3:5">
      <c r="C2441" t="s">
        <v>17</v>
      </c>
      <c r="D2441" t="s">
        <v>18</v>
      </c>
      <c r="E2441">
        <v>0</v>
      </c>
    </row>
    <row r="2442" spans="3:5">
      <c r="C2442" t="s">
        <v>17</v>
      </c>
      <c r="D2442" t="s">
        <v>18</v>
      </c>
      <c r="E2442">
        <v>0</v>
      </c>
    </row>
    <row r="2443" spans="3:5">
      <c r="C2443" t="s">
        <v>15</v>
      </c>
      <c r="D2443" t="s">
        <v>16</v>
      </c>
      <c r="E2443">
        <v>0</v>
      </c>
    </row>
    <row r="2444" spans="3:5">
      <c r="C2444" t="s">
        <v>15</v>
      </c>
      <c r="D2444" t="s">
        <v>16</v>
      </c>
      <c r="E2444">
        <v>0</v>
      </c>
    </row>
    <row r="2445" spans="3:5">
      <c r="C2445" t="s">
        <v>15</v>
      </c>
      <c r="D2445" t="s">
        <v>16</v>
      </c>
      <c r="E2445">
        <v>0</v>
      </c>
    </row>
    <row r="2446" spans="3:5">
      <c r="C2446" t="s">
        <v>15</v>
      </c>
      <c r="D2446" t="s">
        <v>16</v>
      </c>
      <c r="E2446">
        <v>0</v>
      </c>
    </row>
    <row r="2447" spans="3:5">
      <c r="C2447" t="s">
        <v>17</v>
      </c>
      <c r="D2447" t="s">
        <v>18</v>
      </c>
      <c r="E2447">
        <v>0</v>
      </c>
    </row>
    <row r="2448" spans="3:5">
      <c r="C2448" t="s">
        <v>15</v>
      </c>
      <c r="D2448" t="s">
        <v>16</v>
      </c>
      <c r="E2448">
        <v>0</v>
      </c>
    </row>
    <row r="2449" spans="3:5">
      <c r="C2449" t="s">
        <v>17</v>
      </c>
      <c r="D2449" t="s">
        <v>18</v>
      </c>
      <c r="E2449">
        <v>0</v>
      </c>
    </row>
    <row r="2450" spans="3:5">
      <c r="C2450" t="s">
        <v>15</v>
      </c>
      <c r="D2450" t="s">
        <v>16</v>
      </c>
      <c r="E2450">
        <v>0</v>
      </c>
    </row>
    <row r="2451" spans="3:5">
      <c r="C2451" t="s">
        <v>17</v>
      </c>
      <c r="D2451" t="s">
        <v>18</v>
      </c>
      <c r="E2451">
        <v>0</v>
      </c>
    </row>
    <row r="2452" spans="3:5">
      <c r="C2452" t="s">
        <v>17</v>
      </c>
      <c r="D2452" t="s">
        <v>18</v>
      </c>
      <c r="E2452">
        <v>0</v>
      </c>
    </row>
    <row r="2453" spans="3:5">
      <c r="C2453" t="s">
        <v>15</v>
      </c>
      <c r="D2453" t="s">
        <v>16</v>
      </c>
      <c r="E2453">
        <v>0</v>
      </c>
    </row>
    <row r="2454" spans="3:5">
      <c r="C2454" t="s">
        <v>17</v>
      </c>
      <c r="D2454" t="s">
        <v>18</v>
      </c>
      <c r="E2454">
        <v>0</v>
      </c>
    </row>
    <row r="2455" spans="3:5">
      <c r="C2455" t="s">
        <v>17</v>
      </c>
      <c r="D2455" t="s">
        <v>18</v>
      </c>
      <c r="E2455">
        <v>0</v>
      </c>
    </row>
    <row r="2456" spans="3:5">
      <c r="C2456" t="s">
        <v>17</v>
      </c>
      <c r="D2456" t="s">
        <v>18</v>
      </c>
      <c r="E2456">
        <v>0</v>
      </c>
    </row>
    <row r="2457" spans="3:5">
      <c r="C2457" t="s">
        <v>15</v>
      </c>
      <c r="D2457" t="s">
        <v>16</v>
      </c>
      <c r="E2457">
        <v>0</v>
      </c>
    </row>
    <row r="2458" spans="3:5">
      <c r="C2458" t="s">
        <v>15</v>
      </c>
      <c r="D2458" t="s">
        <v>16</v>
      </c>
      <c r="E2458">
        <v>0</v>
      </c>
    </row>
    <row r="2459" spans="3:5">
      <c r="C2459" t="s">
        <v>17</v>
      </c>
      <c r="D2459" t="s">
        <v>18</v>
      </c>
      <c r="E2459">
        <v>0</v>
      </c>
    </row>
    <row r="2460" spans="3:5">
      <c r="C2460" t="s">
        <v>17</v>
      </c>
      <c r="D2460" t="s">
        <v>18</v>
      </c>
      <c r="E2460">
        <v>0</v>
      </c>
    </row>
    <row r="2461" spans="3:5">
      <c r="C2461" t="s">
        <v>15</v>
      </c>
      <c r="D2461" t="s">
        <v>16</v>
      </c>
      <c r="E2461">
        <v>0</v>
      </c>
    </row>
    <row r="2462" spans="3:5">
      <c r="C2462" t="s">
        <v>17</v>
      </c>
      <c r="D2462" t="s">
        <v>18</v>
      </c>
      <c r="E2462">
        <v>1</v>
      </c>
    </row>
    <row r="2463" spans="3:5">
      <c r="C2463" t="s">
        <v>17</v>
      </c>
      <c r="D2463" t="s">
        <v>18</v>
      </c>
      <c r="E2463">
        <v>0</v>
      </c>
    </row>
    <row r="2464" spans="3:5">
      <c r="C2464" t="s">
        <v>17</v>
      </c>
      <c r="D2464" t="s">
        <v>18</v>
      </c>
      <c r="E2464">
        <v>0</v>
      </c>
    </row>
    <row r="2465" spans="3:5">
      <c r="C2465" t="s">
        <v>17</v>
      </c>
      <c r="D2465" t="s">
        <v>18</v>
      </c>
      <c r="E2465">
        <v>0</v>
      </c>
    </row>
    <row r="2466" spans="3:5">
      <c r="C2466" t="s">
        <v>15</v>
      </c>
      <c r="D2466" t="s">
        <v>16</v>
      </c>
      <c r="E2466">
        <v>0</v>
      </c>
    </row>
    <row r="2467" spans="3:5">
      <c r="C2467" t="s">
        <v>17</v>
      </c>
      <c r="D2467" t="s">
        <v>18</v>
      </c>
      <c r="E2467">
        <v>0</v>
      </c>
    </row>
    <row r="2468" spans="3:5">
      <c r="C2468" t="s">
        <v>17</v>
      </c>
      <c r="D2468" t="s">
        <v>18</v>
      </c>
      <c r="E2468">
        <v>0</v>
      </c>
    </row>
    <row r="2469" spans="3:5">
      <c r="C2469" t="s">
        <v>17</v>
      </c>
      <c r="D2469" t="s">
        <v>18</v>
      </c>
      <c r="E2469">
        <v>0</v>
      </c>
    </row>
    <row r="2470" spans="3:5">
      <c r="C2470" t="s">
        <v>17</v>
      </c>
      <c r="D2470" t="s">
        <v>18</v>
      </c>
      <c r="E2470">
        <v>0</v>
      </c>
    </row>
    <row r="2471" spans="3:5">
      <c r="C2471" t="s">
        <v>17</v>
      </c>
      <c r="D2471" t="s">
        <v>18</v>
      </c>
      <c r="E2471">
        <v>0</v>
      </c>
    </row>
    <row r="2472" spans="3:5">
      <c r="C2472" t="s">
        <v>17</v>
      </c>
      <c r="D2472" t="s">
        <v>18</v>
      </c>
      <c r="E2472">
        <v>0</v>
      </c>
    </row>
    <row r="2473" spans="3:5">
      <c r="C2473" t="s">
        <v>17</v>
      </c>
      <c r="D2473" t="s">
        <v>18</v>
      </c>
      <c r="E2473">
        <v>0</v>
      </c>
    </row>
    <row r="2474" spans="3:5">
      <c r="C2474" t="s">
        <v>15</v>
      </c>
      <c r="D2474" t="s">
        <v>16</v>
      </c>
      <c r="E2474">
        <v>0</v>
      </c>
    </row>
    <row r="2475" spans="3:5">
      <c r="C2475" t="s">
        <v>15</v>
      </c>
      <c r="D2475" t="s">
        <v>16</v>
      </c>
      <c r="E2475">
        <v>0</v>
      </c>
    </row>
    <row r="2476" spans="3:5">
      <c r="C2476" t="s">
        <v>15</v>
      </c>
      <c r="D2476" t="s">
        <v>16</v>
      </c>
      <c r="E2476">
        <v>0</v>
      </c>
    </row>
    <row r="2477" spans="3:5">
      <c r="C2477" t="s">
        <v>15</v>
      </c>
      <c r="D2477" t="s">
        <v>16</v>
      </c>
      <c r="E2477">
        <v>0</v>
      </c>
    </row>
    <row r="2478" spans="3:5">
      <c r="C2478" t="s">
        <v>15</v>
      </c>
      <c r="D2478" t="s">
        <v>16</v>
      </c>
      <c r="E2478">
        <v>0</v>
      </c>
    </row>
    <row r="2479" spans="3:5">
      <c r="C2479" t="s">
        <v>15</v>
      </c>
      <c r="D2479" t="s">
        <v>16</v>
      </c>
      <c r="E2479">
        <v>0</v>
      </c>
    </row>
    <row r="2480" spans="3:5">
      <c r="C2480" t="s">
        <v>17</v>
      </c>
      <c r="D2480" t="s">
        <v>18</v>
      </c>
      <c r="E2480">
        <v>0</v>
      </c>
    </row>
    <row r="2481" spans="3:5">
      <c r="C2481" t="s">
        <v>15</v>
      </c>
      <c r="D2481" t="s">
        <v>16</v>
      </c>
      <c r="E2481">
        <v>0</v>
      </c>
    </row>
    <row r="2482" spans="3:5">
      <c r="C2482" t="s">
        <v>17</v>
      </c>
      <c r="D2482" t="s">
        <v>18</v>
      </c>
      <c r="E2482">
        <v>0</v>
      </c>
    </row>
    <row r="2483" spans="3:5">
      <c r="C2483" t="s">
        <v>17</v>
      </c>
      <c r="D2483" t="s">
        <v>18</v>
      </c>
      <c r="E2483">
        <v>0</v>
      </c>
    </row>
    <row r="2484" spans="3:5">
      <c r="C2484" t="s">
        <v>17</v>
      </c>
      <c r="D2484" t="s">
        <v>18</v>
      </c>
      <c r="E2484">
        <v>0</v>
      </c>
    </row>
    <row r="2485" spans="3:5">
      <c r="C2485" t="s">
        <v>17</v>
      </c>
      <c r="D2485" t="s">
        <v>18</v>
      </c>
      <c r="E2485">
        <v>0</v>
      </c>
    </row>
    <row r="2486" spans="3:5">
      <c r="C2486" t="s">
        <v>15</v>
      </c>
      <c r="D2486" t="s">
        <v>16</v>
      </c>
      <c r="E2486">
        <v>0</v>
      </c>
    </row>
    <row r="2487" spans="3:5">
      <c r="C2487" t="s">
        <v>15</v>
      </c>
      <c r="D2487" t="s">
        <v>16</v>
      </c>
      <c r="E2487">
        <v>0</v>
      </c>
    </row>
    <row r="2488" spans="3:5">
      <c r="C2488" t="s">
        <v>17</v>
      </c>
      <c r="D2488" t="s">
        <v>18</v>
      </c>
      <c r="E2488">
        <v>0</v>
      </c>
    </row>
    <row r="2489" spans="3:5">
      <c r="C2489" t="s">
        <v>15</v>
      </c>
      <c r="D2489" t="s">
        <v>16</v>
      </c>
      <c r="E2489">
        <v>0</v>
      </c>
    </row>
    <row r="2490" spans="3:5">
      <c r="C2490" t="s">
        <v>15</v>
      </c>
      <c r="D2490" t="s">
        <v>16</v>
      </c>
      <c r="E2490">
        <v>0</v>
      </c>
    </row>
    <row r="2491" spans="3:5">
      <c r="C2491" t="s">
        <v>15</v>
      </c>
      <c r="D2491" t="s">
        <v>16</v>
      </c>
      <c r="E2491">
        <v>0</v>
      </c>
    </row>
    <row r="2492" spans="3:5">
      <c r="C2492" t="s">
        <v>15</v>
      </c>
      <c r="D2492" t="s">
        <v>16</v>
      </c>
      <c r="E2492">
        <v>0</v>
      </c>
    </row>
    <row r="2493" spans="3:5">
      <c r="C2493" t="s">
        <v>17</v>
      </c>
      <c r="D2493" t="s">
        <v>18</v>
      </c>
      <c r="E2493">
        <v>0</v>
      </c>
    </row>
    <row r="2494" spans="3:5">
      <c r="C2494" t="s">
        <v>17</v>
      </c>
      <c r="D2494" t="s">
        <v>18</v>
      </c>
      <c r="E2494">
        <v>0</v>
      </c>
    </row>
    <row r="2495" spans="3:5">
      <c r="C2495" t="s">
        <v>15</v>
      </c>
      <c r="D2495" t="s">
        <v>16</v>
      </c>
      <c r="E2495">
        <v>0</v>
      </c>
    </row>
    <row r="2496" spans="3:5">
      <c r="C2496" t="s">
        <v>17</v>
      </c>
      <c r="D2496" t="s">
        <v>18</v>
      </c>
      <c r="E2496">
        <v>0</v>
      </c>
    </row>
    <row r="2497" spans="3:5">
      <c r="C2497" t="s">
        <v>17</v>
      </c>
      <c r="D2497" t="s">
        <v>18</v>
      </c>
      <c r="E2497">
        <v>0</v>
      </c>
    </row>
    <row r="2498" spans="3:5">
      <c r="C2498" t="s">
        <v>15</v>
      </c>
      <c r="D2498" t="s">
        <v>16</v>
      </c>
      <c r="E2498">
        <v>0</v>
      </c>
    </row>
    <row r="2499" spans="3:5">
      <c r="C2499" t="s">
        <v>15</v>
      </c>
      <c r="D2499" t="s">
        <v>16</v>
      </c>
      <c r="E2499">
        <v>0</v>
      </c>
    </row>
    <row r="2500" spans="3:5">
      <c r="C2500" t="s">
        <v>17</v>
      </c>
      <c r="D2500" t="s">
        <v>18</v>
      </c>
      <c r="E2500">
        <v>0</v>
      </c>
    </row>
    <row r="2501" spans="3:5">
      <c r="C2501" t="s">
        <v>17</v>
      </c>
      <c r="D2501" t="s">
        <v>18</v>
      </c>
      <c r="E2501">
        <v>0</v>
      </c>
    </row>
    <row r="2502" spans="3:5">
      <c r="C2502" t="s">
        <v>15</v>
      </c>
      <c r="D2502" t="s">
        <v>16</v>
      </c>
      <c r="E2502">
        <v>0</v>
      </c>
    </row>
    <row r="2503" spans="3:5">
      <c r="C2503" t="s">
        <v>15</v>
      </c>
      <c r="D2503" t="s">
        <v>16</v>
      </c>
      <c r="E2503">
        <v>0</v>
      </c>
    </row>
    <row r="2504" spans="3:5">
      <c r="C2504" t="s">
        <v>15</v>
      </c>
      <c r="D2504" t="s">
        <v>16</v>
      </c>
      <c r="E2504">
        <v>0</v>
      </c>
    </row>
    <row r="2505" spans="3:5">
      <c r="C2505" t="s">
        <v>15</v>
      </c>
      <c r="D2505" t="s">
        <v>16</v>
      </c>
      <c r="E2505">
        <v>0</v>
      </c>
    </row>
    <row r="2506" spans="3:5">
      <c r="C2506" t="s">
        <v>17</v>
      </c>
      <c r="D2506" t="s">
        <v>18</v>
      </c>
      <c r="E2506">
        <v>0</v>
      </c>
    </row>
    <row r="2507" spans="3:5">
      <c r="C2507" t="s">
        <v>17</v>
      </c>
      <c r="D2507" t="s">
        <v>18</v>
      </c>
      <c r="E2507">
        <v>0</v>
      </c>
    </row>
    <row r="2508" spans="3:5">
      <c r="C2508" t="s">
        <v>17</v>
      </c>
      <c r="D2508" t="s">
        <v>18</v>
      </c>
      <c r="E2508">
        <v>0</v>
      </c>
    </row>
    <row r="2509" spans="3:5">
      <c r="C2509" t="s">
        <v>17</v>
      </c>
      <c r="D2509" t="s">
        <v>18</v>
      </c>
      <c r="E2509">
        <v>1</v>
      </c>
    </row>
    <row r="2510" spans="3:5">
      <c r="C2510" t="s">
        <v>17</v>
      </c>
      <c r="D2510" t="s">
        <v>18</v>
      </c>
      <c r="E2510">
        <v>0</v>
      </c>
    </row>
    <row r="2511" spans="3:5">
      <c r="C2511" t="s">
        <v>17</v>
      </c>
      <c r="D2511" t="s">
        <v>18</v>
      </c>
      <c r="E2511">
        <v>0</v>
      </c>
    </row>
    <row r="2512" spans="3:5">
      <c r="C2512" t="s">
        <v>17</v>
      </c>
      <c r="D2512" t="s">
        <v>18</v>
      </c>
      <c r="E2512">
        <v>0</v>
      </c>
    </row>
    <row r="2513" spans="3:5">
      <c r="C2513" t="s">
        <v>17</v>
      </c>
      <c r="D2513" t="s">
        <v>18</v>
      </c>
      <c r="E2513">
        <v>0</v>
      </c>
    </row>
    <row r="2514" spans="3:5">
      <c r="C2514" t="s">
        <v>15</v>
      </c>
      <c r="D2514" t="s">
        <v>16</v>
      </c>
      <c r="E2514">
        <v>0</v>
      </c>
    </row>
    <row r="2515" spans="3:5">
      <c r="C2515" t="s">
        <v>17</v>
      </c>
      <c r="D2515" t="s">
        <v>18</v>
      </c>
      <c r="E2515">
        <v>0</v>
      </c>
    </row>
    <row r="2516" spans="3:5">
      <c r="C2516" t="s">
        <v>15</v>
      </c>
      <c r="D2516" t="s">
        <v>16</v>
      </c>
      <c r="E2516">
        <v>0</v>
      </c>
    </row>
    <row r="2517" spans="3:5">
      <c r="C2517" t="s">
        <v>17</v>
      </c>
      <c r="D2517" t="s">
        <v>18</v>
      </c>
      <c r="E2517">
        <v>0</v>
      </c>
    </row>
    <row r="2518" spans="3:5">
      <c r="C2518" t="s">
        <v>17</v>
      </c>
      <c r="D2518" t="s">
        <v>18</v>
      </c>
      <c r="E2518">
        <v>0</v>
      </c>
    </row>
    <row r="2519" spans="3:5">
      <c r="C2519" t="s">
        <v>15</v>
      </c>
      <c r="D2519" t="s">
        <v>16</v>
      </c>
      <c r="E2519">
        <v>0</v>
      </c>
    </row>
    <row r="2520" spans="3:5">
      <c r="C2520" t="s">
        <v>15</v>
      </c>
      <c r="D2520" t="s">
        <v>16</v>
      </c>
      <c r="E2520">
        <v>0</v>
      </c>
    </row>
    <row r="2521" spans="3:5">
      <c r="C2521" t="s">
        <v>15</v>
      </c>
      <c r="D2521" t="s">
        <v>16</v>
      </c>
      <c r="E2521">
        <v>0</v>
      </c>
    </row>
    <row r="2522" spans="3:5">
      <c r="C2522" t="s">
        <v>15</v>
      </c>
      <c r="D2522" t="s">
        <v>16</v>
      </c>
      <c r="E2522">
        <v>0</v>
      </c>
    </row>
    <row r="2523" spans="3:5">
      <c r="C2523" t="s">
        <v>15</v>
      </c>
      <c r="D2523" t="s">
        <v>16</v>
      </c>
      <c r="E2523">
        <v>0</v>
      </c>
    </row>
    <row r="2524" spans="3:5">
      <c r="C2524" t="s">
        <v>17</v>
      </c>
      <c r="D2524" t="s">
        <v>18</v>
      </c>
      <c r="E2524">
        <v>0</v>
      </c>
    </row>
    <row r="2525" spans="3:5">
      <c r="C2525" t="s">
        <v>15</v>
      </c>
      <c r="D2525" t="s">
        <v>16</v>
      </c>
      <c r="E2525">
        <v>0</v>
      </c>
    </row>
    <row r="2526" spans="3:5">
      <c r="C2526" t="s">
        <v>15</v>
      </c>
      <c r="D2526" t="s">
        <v>16</v>
      </c>
      <c r="E2526">
        <v>0</v>
      </c>
    </row>
    <row r="2527" spans="3:5">
      <c r="C2527" t="s">
        <v>17</v>
      </c>
      <c r="D2527" t="s">
        <v>18</v>
      </c>
      <c r="E2527">
        <v>0</v>
      </c>
    </row>
    <row r="2528" spans="3:5">
      <c r="C2528" t="s">
        <v>15</v>
      </c>
      <c r="D2528" t="s">
        <v>16</v>
      </c>
      <c r="E2528">
        <v>0</v>
      </c>
    </row>
    <row r="2529" spans="3:5">
      <c r="C2529" t="s">
        <v>15</v>
      </c>
      <c r="D2529" t="s">
        <v>16</v>
      </c>
      <c r="E2529">
        <v>0</v>
      </c>
    </row>
    <row r="2530" spans="3:5">
      <c r="C2530" t="s">
        <v>17</v>
      </c>
      <c r="D2530" t="s">
        <v>18</v>
      </c>
      <c r="E2530">
        <v>0</v>
      </c>
    </row>
    <row r="2531" spans="3:5">
      <c r="C2531" t="s">
        <v>15</v>
      </c>
      <c r="D2531" t="s">
        <v>16</v>
      </c>
      <c r="E2531">
        <v>1</v>
      </c>
    </row>
    <row r="2532" spans="3:5">
      <c r="C2532" t="s">
        <v>17</v>
      </c>
      <c r="D2532" t="s">
        <v>18</v>
      </c>
      <c r="E2532">
        <v>0</v>
      </c>
    </row>
    <row r="2533" spans="3:5">
      <c r="C2533" t="s">
        <v>17</v>
      </c>
      <c r="D2533" t="s">
        <v>18</v>
      </c>
      <c r="E2533">
        <v>0</v>
      </c>
    </row>
    <row r="2534" spans="3:5">
      <c r="C2534" t="s">
        <v>15</v>
      </c>
      <c r="D2534" t="s">
        <v>16</v>
      </c>
      <c r="E2534">
        <v>0</v>
      </c>
    </row>
    <row r="2535" spans="3:5">
      <c r="C2535" t="s">
        <v>15</v>
      </c>
      <c r="D2535" t="s">
        <v>16</v>
      </c>
      <c r="E2535">
        <v>0</v>
      </c>
    </row>
    <row r="2536" spans="3:5">
      <c r="C2536" t="s">
        <v>17</v>
      </c>
      <c r="D2536" t="s">
        <v>18</v>
      </c>
      <c r="E2536">
        <v>0</v>
      </c>
    </row>
    <row r="2537" spans="3:5">
      <c r="C2537" t="s">
        <v>15</v>
      </c>
      <c r="D2537" t="s">
        <v>16</v>
      </c>
      <c r="E2537">
        <v>0</v>
      </c>
    </row>
    <row r="2538" spans="3:5">
      <c r="C2538" t="s">
        <v>15</v>
      </c>
      <c r="D2538" t="s">
        <v>16</v>
      </c>
      <c r="E2538">
        <v>0</v>
      </c>
    </row>
    <row r="2539" spans="3:5">
      <c r="C2539" t="s">
        <v>17</v>
      </c>
      <c r="D2539" t="s">
        <v>18</v>
      </c>
      <c r="E2539">
        <v>0</v>
      </c>
    </row>
    <row r="2540" spans="3:5">
      <c r="C2540" t="s">
        <v>17</v>
      </c>
      <c r="D2540" t="s">
        <v>18</v>
      </c>
      <c r="E2540">
        <v>0</v>
      </c>
    </row>
    <row r="2541" spans="3:5">
      <c r="C2541" t="s">
        <v>17</v>
      </c>
      <c r="D2541" t="s">
        <v>18</v>
      </c>
      <c r="E2541">
        <v>0</v>
      </c>
    </row>
    <row r="2542" spans="3:5">
      <c r="C2542" t="s">
        <v>17</v>
      </c>
      <c r="D2542" t="s">
        <v>18</v>
      </c>
      <c r="E2542">
        <v>0</v>
      </c>
    </row>
    <row r="2543" spans="3:5">
      <c r="C2543" t="s">
        <v>15</v>
      </c>
      <c r="D2543" t="s">
        <v>16</v>
      </c>
      <c r="E2543">
        <v>0</v>
      </c>
    </row>
    <row r="2544" spans="3:5">
      <c r="C2544" t="s">
        <v>17</v>
      </c>
      <c r="D2544" t="s">
        <v>18</v>
      </c>
      <c r="E2544">
        <v>0</v>
      </c>
    </row>
    <row r="2545" spans="3:5">
      <c r="C2545" t="s">
        <v>15</v>
      </c>
      <c r="D2545" t="s">
        <v>16</v>
      </c>
      <c r="E2545">
        <v>0</v>
      </c>
    </row>
    <row r="2546" spans="3:5">
      <c r="C2546" t="s">
        <v>15</v>
      </c>
      <c r="D2546" t="s">
        <v>16</v>
      </c>
      <c r="E2546">
        <v>0</v>
      </c>
    </row>
    <row r="2547" spans="3:5">
      <c r="C2547" t="s">
        <v>17</v>
      </c>
      <c r="D2547" t="s">
        <v>18</v>
      </c>
      <c r="E2547">
        <v>0</v>
      </c>
    </row>
    <row r="2548" spans="3:5">
      <c r="C2548" t="s">
        <v>15</v>
      </c>
      <c r="D2548" t="s">
        <v>16</v>
      </c>
      <c r="E2548">
        <v>0</v>
      </c>
    </row>
    <row r="2549" spans="3:5">
      <c r="C2549" t="s">
        <v>17</v>
      </c>
      <c r="D2549" t="s">
        <v>18</v>
      </c>
      <c r="E2549">
        <v>0</v>
      </c>
    </row>
    <row r="2550" spans="3:5">
      <c r="C2550" t="s">
        <v>17</v>
      </c>
      <c r="D2550" t="s">
        <v>18</v>
      </c>
      <c r="E2550">
        <v>0</v>
      </c>
    </row>
    <row r="2551" spans="3:5">
      <c r="C2551" t="s">
        <v>15</v>
      </c>
      <c r="D2551" t="s">
        <v>16</v>
      </c>
      <c r="E2551">
        <v>0</v>
      </c>
    </row>
    <row r="2552" spans="3:5">
      <c r="C2552" t="s">
        <v>15</v>
      </c>
      <c r="D2552" t="s">
        <v>16</v>
      </c>
      <c r="E2552">
        <v>0</v>
      </c>
    </row>
    <row r="2553" spans="3:5">
      <c r="C2553" t="s">
        <v>15</v>
      </c>
      <c r="D2553" t="s">
        <v>16</v>
      </c>
      <c r="E2553">
        <v>0</v>
      </c>
    </row>
    <row r="2554" spans="3:5">
      <c r="C2554" t="s">
        <v>17</v>
      </c>
      <c r="D2554" t="s">
        <v>18</v>
      </c>
      <c r="E2554">
        <v>0</v>
      </c>
    </row>
    <row r="2555" spans="3:5">
      <c r="C2555" t="s">
        <v>17</v>
      </c>
      <c r="D2555" t="s">
        <v>18</v>
      </c>
      <c r="E2555">
        <v>0</v>
      </c>
    </row>
    <row r="2556" spans="3:5">
      <c r="C2556" t="s">
        <v>17</v>
      </c>
      <c r="D2556" t="s">
        <v>18</v>
      </c>
      <c r="E2556">
        <v>0</v>
      </c>
    </row>
    <row r="2557" spans="3:5">
      <c r="C2557" t="s">
        <v>15</v>
      </c>
      <c r="D2557" t="s">
        <v>16</v>
      </c>
      <c r="E2557">
        <v>0</v>
      </c>
    </row>
    <row r="2558" spans="3:5">
      <c r="C2558" t="s">
        <v>15</v>
      </c>
      <c r="D2558" t="s">
        <v>16</v>
      </c>
      <c r="E2558">
        <v>0</v>
      </c>
    </row>
    <row r="2559" spans="3:5">
      <c r="C2559" t="s">
        <v>15</v>
      </c>
      <c r="D2559" t="s">
        <v>16</v>
      </c>
      <c r="E2559">
        <v>0</v>
      </c>
    </row>
    <row r="2560" spans="3:5">
      <c r="C2560" t="s">
        <v>17</v>
      </c>
      <c r="D2560" t="s">
        <v>18</v>
      </c>
      <c r="E2560">
        <v>0</v>
      </c>
    </row>
    <row r="2561" spans="3:5">
      <c r="C2561" t="s">
        <v>15</v>
      </c>
      <c r="D2561" t="s">
        <v>16</v>
      </c>
      <c r="E2561">
        <v>0</v>
      </c>
    </row>
    <row r="2562" spans="3:5">
      <c r="C2562" t="s">
        <v>15</v>
      </c>
      <c r="D2562" t="s">
        <v>16</v>
      </c>
      <c r="E2562">
        <v>0</v>
      </c>
    </row>
    <row r="2563" spans="3:5">
      <c r="C2563" t="s">
        <v>15</v>
      </c>
      <c r="D2563" t="s">
        <v>16</v>
      </c>
      <c r="E2563">
        <v>0</v>
      </c>
    </row>
    <row r="2564" spans="3:5">
      <c r="C2564" t="s">
        <v>17</v>
      </c>
      <c r="D2564" t="s">
        <v>18</v>
      </c>
      <c r="E2564">
        <v>0</v>
      </c>
    </row>
    <row r="2565" spans="3:5">
      <c r="C2565" t="s">
        <v>15</v>
      </c>
      <c r="D2565" t="s">
        <v>16</v>
      </c>
      <c r="E2565">
        <v>0</v>
      </c>
    </row>
    <row r="2566" spans="3:5">
      <c r="C2566" t="s">
        <v>15</v>
      </c>
      <c r="D2566" t="s">
        <v>16</v>
      </c>
      <c r="E2566">
        <v>0</v>
      </c>
    </row>
    <row r="2567" spans="3:5">
      <c r="C2567" t="s">
        <v>17</v>
      </c>
      <c r="D2567" t="s">
        <v>18</v>
      </c>
      <c r="E2567">
        <v>0</v>
      </c>
    </row>
    <row r="2568" spans="3:5">
      <c r="C2568" t="s">
        <v>17</v>
      </c>
      <c r="D2568" t="s">
        <v>18</v>
      </c>
      <c r="E2568">
        <v>0</v>
      </c>
    </row>
    <row r="2569" spans="3:5">
      <c r="C2569" t="s">
        <v>15</v>
      </c>
      <c r="D2569" t="s">
        <v>16</v>
      </c>
      <c r="E2569">
        <v>0</v>
      </c>
    </row>
    <row r="2570" spans="3:5">
      <c r="C2570" t="s">
        <v>15</v>
      </c>
      <c r="D2570" t="s">
        <v>16</v>
      </c>
      <c r="E2570">
        <v>0</v>
      </c>
    </row>
    <row r="2571" spans="3:5">
      <c r="C2571" t="s">
        <v>17</v>
      </c>
      <c r="D2571" t="s">
        <v>18</v>
      </c>
      <c r="E2571">
        <v>0</v>
      </c>
    </row>
    <row r="2572" spans="3:5">
      <c r="C2572" t="s">
        <v>17</v>
      </c>
      <c r="D2572" t="s">
        <v>18</v>
      </c>
      <c r="E2572">
        <v>0</v>
      </c>
    </row>
    <row r="2573" spans="3:5">
      <c r="C2573" t="s">
        <v>17</v>
      </c>
      <c r="D2573" t="s">
        <v>18</v>
      </c>
      <c r="E2573">
        <v>0</v>
      </c>
    </row>
    <row r="2574" spans="3:5">
      <c r="C2574" t="s">
        <v>15</v>
      </c>
      <c r="D2574" t="s">
        <v>16</v>
      </c>
      <c r="E2574">
        <v>0</v>
      </c>
    </row>
    <row r="2575" spans="3:5">
      <c r="C2575" t="s">
        <v>15</v>
      </c>
      <c r="D2575" t="s">
        <v>16</v>
      </c>
      <c r="E2575">
        <v>0</v>
      </c>
    </row>
    <row r="2576" spans="3:5">
      <c r="C2576" t="s">
        <v>15</v>
      </c>
      <c r="D2576" t="s">
        <v>16</v>
      </c>
      <c r="E2576">
        <v>0</v>
      </c>
    </row>
    <row r="2577" spans="3:5">
      <c r="C2577" t="s">
        <v>17</v>
      </c>
      <c r="D2577" t="s">
        <v>18</v>
      </c>
      <c r="E2577">
        <v>1</v>
      </c>
    </row>
    <row r="2578" spans="3:5">
      <c r="C2578" t="s">
        <v>15</v>
      </c>
      <c r="D2578" t="s">
        <v>16</v>
      </c>
      <c r="E2578">
        <v>0</v>
      </c>
    </row>
    <row r="2579" spans="3:5">
      <c r="C2579" t="s">
        <v>15</v>
      </c>
      <c r="D2579" t="s">
        <v>16</v>
      </c>
      <c r="E2579">
        <v>0</v>
      </c>
    </row>
    <row r="2580" spans="3:5">
      <c r="C2580" t="s">
        <v>17</v>
      </c>
      <c r="D2580" t="s">
        <v>18</v>
      </c>
      <c r="E2580">
        <v>0</v>
      </c>
    </row>
    <row r="2581" spans="3:5">
      <c r="C2581" t="s">
        <v>15</v>
      </c>
      <c r="D2581" t="s">
        <v>16</v>
      </c>
      <c r="E2581">
        <v>0</v>
      </c>
    </row>
    <row r="2582" spans="3:5">
      <c r="C2582" t="s">
        <v>17</v>
      </c>
      <c r="D2582" t="s">
        <v>18</v>
      </c>
      <c r="E2582">
        <v>0</v>
      </c>
    </row>
    <row r="2583" spans="3:5">
      <c r="C2583" t="s">
        <v>17</v>
      </c>
      <c r="D2583" t="s">
        <v>18</v>
      </c>
      <c r="E2583">
        <v>0</v>
      </c>
    </row>
    <row r="2584" spans="3:5">
      <c r="C2584" t="s">
        <v>17</v>
      </c>
      <c r="D2584" t="s">
        <v>18</v>
      </c>
      <c r="E2584">
        <v>0</v>
      </c>
    </row>
    <row r="2585" spans="3:5">
      <c r="C2585" t="s">
        <v>17</v>
      </c>
      <c r="D2585" t="s">
        <v>18</v>
      </c>
      <c r="E2585">
        <v>0</v>
      </c>
    </row>
    <row r="2586" spans="3:5">
      <c r="C2586" t="s">
        <v>15</v>
      </c>
      <c r="D2586" t="s">
        <v>16</v>
      </c>
      <c r="E2586">
        <v>0</v>
      </c>
    </row>
    <row r="2587" spans="3:5">
      <c r="C2587" t="s">
        <v>15</v>
      </c>
      <c r="D2587" t="s">
        <v>16</v>
      </c>
      <c r="E2587">
        <v>0</v>
      </c>
    </row>
    <row r="2588" spans="3:5">
      <c r="C2588" t="s">
        <v>17</v>
      </c>
      <c r="D2588" t="s">
        <v>18</v>
      </c>
      <c r="E2588">
        <v>0</v>
      </c>
    </row>
    <row r="2589" spans="3:5">
      <c r="C2589" t="s">
        <v>17</v>
      </c>
      <c r="D2589" t="s">
        <v>18</v>
      </c>
      <c r="E2589">
        <v>0</v>
      </c>
    </row>
    <row r="2590" spans="3:5">
      <c r="C2590" t="s">
        <v>15</v>
      </c>
      <c r="D2590" t="s">
        <v>16</v>
      </c>
      <c r="E2590">
        <v>0</v>
      </c>
    </row>
    <row r="2591" spans="3:5">
      <c r="C2591" t="s">
        <v>15</v>
      </c>
      <c r="D2591" t="s">
        <v>16</v>
      </c>
      <c r="E2591">
        <v>0</v>
      </c>
    </row>
    <row r="2592" spans="3:5">
      <c r="C2592" t="s">
        <v>15</v>
      </c>
      <c r="D2592" t="s">
        <v>16</v>
      </c>
      <c r="E2592">
        <v>0</v>
      </c>
    </row>
    <row r="2593" spans="3:5">
      <c r="C2593" t="s">
        <v>15</v>
      </c>
      <c r="D2593" t="s">
        <v>16</v>
      </c>
      <c r="E2593">
        <v>0</v>
      </c>
    </row>
    <row r="2594" spans="3:5">
      <c r="C2594" t="s">
        <v>15</v>
      </c>
      <c r="D2594" t="s">
        <v>16</v>
      </c>
      <c r="E2594">
        <v>0</v>
      </c>
    </row>
    <row r="2595" spans="3:5">
      <c r="C2595" t="s">
        <v>15</v>
      </c>
      <c r="D2595" t="s">
        <v>16</v>
      </c>
      <c r="E2595">
        <v>0</v>
      </c>
    </row>
    <row r="2596" spans="3:5">
      <c r="C2596" t="s">
        <v>15</v>
      </c>
      <c r="D2596" t="s">
        <v>16</v>
      </c>
      <c r="E2596">
        <v>0</v>
      </c>
    </row>
    <row r="2597" spans="3:5">
      <c r="C2597" t="s">
        <v>15</v>
      </c>
      <c r="D2597" t="s">
        <v>16</v>
      </c>
      <c r="E2597">
        <v>0</v>
      </c>
    </row>
    <row r="2598" spans="3:5">
      <c r="C2598" t="s">
        <v>17</v>
      </c>
      <c r="D2598" t="s">
        <v>18</v>
      </c>
      <c r="E2598">
        <v>0</v>
      </c>
    </row>
    <row r="2599" spans="3:5">
      <c r="C2599" t="s">
        <v>15</v>
      </c>
      <c r="D2599" t="s">
        <v>16</v>
      </c>
      <c r="E2599">
        <v>0</v>
      </c>
    </row>
    <row r="2600" spans="3:5">
      <c r="C2600" t="s">
        <v>17</v>
      </c>
      <c r="D2600" t="s">
        <v>18</v>
      </c>
      <c r="E2600">
        <v>0</v>
      </c>
    </row>
    <row r="2601" spans="3:5">
      <c r="C2601" t="s">
        <v>15</v>
      </c>
      <c r="D2601" t="s">
        <v>16</v>
      </c>
      <c r="E2601">
        <v>0</v>
      </c>
    </row>
    <row r="2602" spans="3:5">
      <c r="C2602" t="s">
        <v>15</v>
      </c>
      <c r="D2602" t="s">
        <v>16</v>
      </c>
      <c r="E2602">
        <v>0</v>
      </c>
    </row>
    <row r="2603" spans="3:5">
      <c r="C2603" t="s">
        <v>15</v>
      </c>
      <c r="D2603" t="s">
        <v>16</v>
      </c>
      <c r="E2603">
        <v>0</v>
      </c>
    </row>
    <row r="2604" spans="3:5">
      <c r="C2604" t="s">
        <v>15</v>
      </c>
      <c r="D2604" t="s">
        <v>16</v>
      </c>
      <c r="E2604">
        <v>0</v>
      </c>
    </row>
    <row r="2605" spans="3:5">
      <c r="C2605" t="s">
        <v>15</v>
      </c>
      <c r="D2605" t="s">
        <v>16</v>
      </c>
      <c r="E2605">
        <v>0</v>
      </c>
    </row>
    <row r="2606" spans="3:5">
      <c r="C2606" t="s">
        <v>15</v>
      </c>
      <c r="D2606" t="s">
        <v>16</v>
      </c>
      <c r="E2606">
        <v>0</v>
      </c>
    </row>
    <row r="2607" spans="3:5">
      <c r="C2607" t="s">
        <v>15</v>
      </c>
      <c r="D2607" t="s">
        <v>16</v>
      </c>
      <c r="E2607">
        <v>0</v>
      </c>
    </row>
    <row r="2608" spans="3:5">
      <c r="C2608" t="s">
        <v>17</v>
      </c>
      <c r="D2608" t="s">
        <v>18</v>
      </c>
      <c r="E2608">
        <v>0</v>
      </c>
    </row>
    <row r="2609" spans="3:5">
      <c r="C2609" t="s">
        <v>15</v>
      </c>
      <c r="D2609" t="s">
        <v>16</v>
      </c>
      <c r="E2609">
        <v>0</v>
      </c>
    </row>
    <row r="2610" spans="3:5">
      <c r="C2610" t="s">
        <v>15</v>
      </c>
      <c r="D2610" t="s">
        <v>16</v>
      </c>
      <c r="E2610">
        <v>0</v>
      </c>
    </row>
    <row r="2611" spans="3:5">
      <c r="C2611" t="s">
        <v>17</v>
      </c>
      <c r="D2611" t="s">
        <v>18</v>
      </c>
      <c r="E2611">
        <v>0</v>
      </c>
    </row>
    <row r="2612" spans="3:5">
      <c r="C2612" t="s">
        <v>17</v>
      </c>
      <c r="D2612" t="s">
        <v>18</v>
      </c>
      <c r="E2612">
        <v>0</v>
      </c>
    </row>
    <row r="2613" spans="3:5">
      <c r="C2613" t="s">
        <v>15</v>
      </c>
      <c r="D2613" t="s">
        <v>16</v>
      </c>
      <c r="E2613">
        <v>0</v>
      </c>
    </row>
    <row r="2614" spans="3:5">
      <c r="C2614" t="s">
        <v>17</v>
      </c>
      <c r="D2614" t="s">
        <v>18</v>
      </c>
      <c r="E2614">
        <v>0</v>
      </c>
    </row>
    <row r="2615" spans="3:5">
      <c r="C2615" t="s">
        <v>17</v>
      </c>
      <c r="D2615" t="s">
        <v>18</v>
      </c>
      <c r="E2615">
        <v>0</v>
      </c>
    </row>
    <row r="2616" spans="3:5">
      <c r="C2616" t="s">
        <v>17</v>
      </c>
      <c r="D2616" t="s">
        <v>18</v>
      </c>
      <c r="E2616">
        <v>0</v>
      </c>
    </row>
    <row r="2617" spans="3:5">
      <c r="C2617" t="s">
        <v>15</v>
      </c>
      <c r="D2617" t="s">
        <v>16</v>
      </c>
      <c r="E2617">
        <v>0</v>
      </c>
    </row>
    <row r="2618" spans="3:5">
      <c r="C2618" t="s">
        <v>15</v>
      </c>
      <c r="D2618" t="s">
        <v>16</v>
      </c>
      <c r="E2618">
        <v>0</v>
      </c>
    </row>
    <row r="2619" spans="3:5">
      <c r="C2619" t="s">
        <v>15</v>
      </c>
      <c r="D2619" t="s">
        <v>16</v>
      </c>
      <c r="E2619">
        <v>0</v>
      </c>
    </row>
    <row r="2620" spans="3:5">
      <c r="C2620" t="s">
        <v>15</v>
      </c>
      <c r="D2620" t="s">
        <v>16</v>
      </c>
      <c r="E2620">
        <v>0</v>
      </c>
    </row>
    <row r="2621" spans="3:5">
      <c r="C2621" t="s">
        <v>17</v>
      </c>
      <c r="D2621" t="s">
        <v>18</v>
      </c>
      <c r="E2621">
        <v>0</v>
      </c>
    </row>
    <row r="2622" spans="3:5">
      <c r="C2622" t="s">
        <v>17</v>
      </c>
      <c r="D2622" t="s">
        <v>18</v>
      </c>
      <c r="E2622">
        <v>0</v>
      </c>
    </row>
    <row r="2623" spans="3:5">
      <c r="C2623" t="s">
        <v>17</v>
      </c>
      <c r="D2623" t="s">
        <v>18</v>
      </c>
      <c r="E2623">
        <v>0</v>
      </c>
    </row>
    <row r="2624" spans="3:5">
      <c r="C2624" t="s">
        <v>15</v>
      </c>
      <c r="D2624" t="s">
        <v>16</v>
      </c>
      <c r="E2624">
        <v>0</v>
      </c>
    </row>
    <row r="2625" spans="3:5">
      <c r="C2625" t="s">
        <v>17</v>
      </c>
      <c r="D2625" t="s">
        <v>18</v>
      </c>
      <c r="E2625">
        <v>0</v>
      </c>
    </row>
    <row r="2626" spans="3:5">
      <c r="C2626" t="s">
        <v>15</v>
      </c>
      <c r="D2626" t="s">
        <v>16</v>
      </c>
      <c r="E2626">
        <v>0</v>
      </c>
    </row>
    <row r="2627" spans="3:5">
      <c r="C2627" t="s">
        <v>15</v>
      </c>
      <c r="D2627" t="s">
        <v>16</v>
      </c>
      <c r="E2627">
        <v>0</v>
      </c>
    </row>
    <row r="2628" spans="3:5">
      <c r="C2628" t="s">
        <v>17</v>
      </c>
      <c r="D2628" t="s">
        <v>18</v>
      </c>
      <c r="E2628">
        <v>0</v>
      </c>
    </row>
    <row r="2629" spans="3:5">
      <c r="C2629" t="s">
        <v>15</v>
      </c>
      <c r="D2629" t="s">
        <v>16</v>
      </c>
      <c r="E2629">
        <v>0</v>
      </c>
    </row>
    <row r="2630" spans="3:5">
      <c r="C2630" t="s">
        <v>15</v>
      </c>
      <c r="D2630" t="s">
        <v>16</v>
      </c>
      <c r="E2630">
        <v>0</v>
      </c>
    </row>
    <row r="2631" spans="3:5">
      <c r="C2631" t="s">
        <v>17</v>
      </c>
      <c r="D2631" t="s">
        <v>18</v>
      </c>
      <c r="E2631">
        <v>0</v>
      </c>
    </row>
    <row r="2632" spans="3:5">
      <c r="C2632" t="s">
        <v>17</v>
      </c>
      <c r="D2632" t="s">
        <v>18</v>
      </c>
      <c r="E2632">
        <v>0</v>
      </c>
    </row>
    <row r="2633" spans="3:5">
      <c r="C2633" t="s">
        <v>15</v>
      </c>
      <c r="D2633" t="s">
        <v>16</v>
      </c>
      <c r="E2633">
        <v>0</v>
      </c>
    </row>
    <row r="2634" spans="3:5">
      <c r="C2634" t="s">
        <v>15</v>
      </c>
      <c r="D2634" t="s">
        <v>16</v>
      </c>
      <c r="E2634">
        <v>0</v>
      </c>
    </row>
    <row r="2635" spans="3:5">
      <c r="C2635" t="s">
        <v>17</v>
      </c>
      <c r="D2635" t="s">
        <v>18</v>
      </c>
      <c r="E2635">
        <v>0</v>
      </c>
    </row>
    <row r="2636" spans="3:5">
      <c r="C2636" t="s">
        <v>17</v>
      </c>
      <c r="D2636" t="s">
        <v>18</v>
      </c>
      <c r="E2636">
        <v>0</v>
      </c>
    </row>
    <row r="2637" spans="3:5">
      <c r="C2637" t="s">
        <v>17</v>
      </c>
      <c r="D2637" t="s">
        <v>18</v>
      </c>
      <c r="E2637">
        <v>0</v>
      </c>
    </row>
    <row r="2638" spans="3:5">
      <c r="C2638" t="s">
        <v>17</v>
      </c>
      <c r="D2638" t="s">
        <v>18</v>
      </c>
      <c r="E2638">
        <v>0</v>
      </c>
    </row>
    <row r="2639" spans="3:5">
      <c r="C2639" t="s">
        <v>15</v>
      </c>
      <c r="D2639" t="s">
        <v>16</v>
      </c>
      <c r="E2639">
        <v>0</v>
      </c>
    </row>
    <row r="2640" spans="3:5">
      <c r="C2640" t="s">
        <v>15</v>
      </c>
      <c r="D2640" t="s">
        <v>16</v>
      </c>
      <c r="E2640">
        <v>0</v>
      </c>
    </row>
    <row r="2641" spans="3:5">
      <c r="C2641" t="s">
        <v>17</v>
      </c>
      <c r="D2641" t="s">
        <v>18</v>
      </c>
      <c r="E2641">
        <v>0</v>
      </c>
    </row>
    <row r="2642" spans="3:5">
      <c r="C2642" t="s">
        <v>17</v>
      </c>
      <c r="D2642" t="s">
        <v>18</v>
      </c>
      <c r="E2642">
        <v>0</v>
      </c>
    </row>
    <row r="2643" spans="3:5">
      <c r="C2643" t="s">
        <v>15</v>
      </c>
      <c r="D2643" t="s">
        <v>16</v>
      </c>
      <c r="E2643">
        <v>0</v>
      </c>
    </row>
    <row r="2644" spans="3:5">
      <c r="C2644" t="s">
        <v>17</v>
      </c>
      <c r="D2644" t="s">
        <v>18</v>
      </c>
      <c r="E2644">
        <v>0</v>
      </c>
    </row>
    <row r="2645" spans="3:5">
      <c r="C2645" t="s">
        <v>17</v>
      </c>
      <c r="D2645" t="s">
        <v>18</v>
      </c>
      <c r="E2645">
        <v>0</v>
      </c>
    </row>
    <row r="2646" spans="3:5">
      <c r="C2646" t="s">
        <v>15</v>
      </c>
      <c r="D2646" t="s">
        <v>16</v>
      </c>
      <c r="E2646">
        <v>0</v>
      </c>
    </row>
    <row r="2647" spans="3:5">
      <c r="C2647" t="s">
        <v>15</v>
      </c>
      <c r="D2647" t="s">
        <v>16</v>
      </c>
      <c r="E2647">
        <v>0</v>
      </c>
    </row>
    <row r="2648" spans="3:5">
      <c r="C2648" t="s">
        <v>17</v>
      </c>
      <c r="D2648" t="s">
        <v>18</v>
      </c>
      <c r="E2648">
        <v>0</v>
      </c>
    </row>
    <row r="2649" spans="3:5">
      <c r="C2649" t="s">
        <v>15</v>
      </c>
      <c r="D2649" t="s">
        <v>16</v>
      </c>
      <c r="E2649">
        <v>0</v>
      </c>
    </row>
    <row r="2650" spans="3:5">
      <c r="C2650" t="s">
        <v>15</v>
      </c>
      <c r="D2650" t="s">
        <v>16</v>
      </c>
      <c r="E2650">
        <v>0</v>
      </c>
    </row>
    <row r="2651" spans="3:5">
      <c r="C2651" t="s">
        <v>15</v>
      </c>
      <c r="D2651" t="s">
        <v>16</v>
      </c>
      <c r="E2651">
        <v>0</v>
      </c>
    </row>
    <row r="2652" spans="3:5">
      <c r="C2652" t="s">
        <v>17</v>
      </c>
      <c r="D2652" t="s">
        <v>18</v>
      </c>
      <c r="E2652">
        <v>0</v>
      </c>
    </row>
    <row r="2653" spans="3:5">
      <c r="C2653" t="s">
        <v>15</v>
      </c>
      <c r="D2653" t="s">
        <v>16</v>
      </c>
      <c r="E2653">
        <v>0</v>
      </c>
    </row>
    <row r="2654" spans="3:5">
      <c r="C2654" t="s">
        <v>17</v>
      </c>
      <c r="D2654" t="s">
        <v>18</v>
      </c>
      <c r="E2654">
        <v>0</v>
      </c>
    </row>
    <row r="2655" spans="3:5">
      <c r="C2655" t="s">
        <v>17</v>
      </c>
      <c r="D2655" t="s">
        <v>18</v>
      </c>
      <c r="E2655">
        <v>1</v>
      </c>
    </row>
    <row r="2656" spans="3:5">
      <c r="C2656" t="s">
        <v>17</v>
      </c>
      <c r="D2656" t="s">
        <v>18</v>
      </c>
      <c r="E2656">
        <v>0</v>
      </c>
    </row>
    <row r="2657" spans="3:5">
      <c r="C2657" t="s">
        <v>15</v>
      </c>
      <c r="D2657" t="s">
        <v>16</v>
      </c>
      <c r="E2657">
        <v>0</v>
      </c>
    </row>
    <row r="2658" spans="3:5">
      <c r="C2658" t="s">
        <v>17</v>
      </c>
      <c r="D2658" t="s">
        <v>18</v>
      </c>
      <c r="E2658">
        <v>0</v>
      </c>
    </row>
    <row r="2659" spans="3:5">
      <c r="C2659" t="s">
        <v>17</v>
      </c>
      <c r="D2659" t="s">
        <v>18</v>
      </c>
      <c r="E2659">
        <v>0</v>
      </c>
    </row>
    <row r="2660" spans="3:5">
      <c r="C2660" t="s">
        <v>17</v>
      </c>
      <c r="D2660" t="s">
        <v>18</v>
      </c>
      <c r="E2660">
        <v>0</v>
      </c>
    </row>
    <row r="2661" spans="3:5">
      <c r="C2661" t="s">
        <v>17</v>
      </c>
      <c r="D2661" t="s">
        <v>18</v>
      </c>
      <c r="E2661">
        <v>0</v>
      </c>
    </row>
    <row r="2662" spans="3:5">
      <c r="C2662" t="s">
        <v>15</v>
      </c>
      <c r="D2662" t="s">
        <v>16</v>
      </c>
      <c r="E2662">
        <v>0</v>
      </c>
    </row>
    <row r="2663" spans="3:5">
      <c r="C2663" t="s">
        <v>17</v>
      </c>
      <c r="D2663" t="s">
        <v>18</v>
      </c>
      <c r="E2663">
        <v>0</v>
      </c>
    </row>
    <row r="2664" spans="3:5">
      <c r="C2664" t="s">
        <v>15</v>
      </c>
      <c r="D2664" t="s">
        <v>16</v>
      </c>
      <c r="E2664">
        <v>0</v>
      </c>
    </row>
    <row r="2665" spans="3:5">
      <c r="C2665" t="s">
        <v>17</v>
      </c>
      <c r="D2665" t="s">
        <v>18</v>
      </c>
      <c r="E2665">
        <v>0</v>
      </c>
    </row>
    <row r="2666" spans="3:5">
      <c r="C2666" t="s">
        <v>15</v>
      </c>
      <c r="D2666" t="s">
        <v>16</v>
      </c>
      <c r="E2666">
        <v>0</v>
      </c>
    </row>
    <row r="2667" spans="3:5">
      <c r="C2667" t="s">
        <v>17</v>
      </c>
      <c r="D2667" t="s">
        <v>18</v>
      </c>
      <c r="E2667">
        <v>0</v>
      </c>
    </row>
    <row r="2668" spans="3:5">
      <c r="C2668" t="s">
        <v>15</v>
      </c>
      <c r="D2668" t="s">
        <v>16</v>
      </c>
      <c r="E2668">
        <v>0</v>
      </c>
    </row>
    <row r="2669" spans="3:5">
      <c r="C2669" t="s">
        <v>15</v>
      </c>
      <c r="D2669" t="s">
        <v>16</v>
      </c>
      <c r="E2669">
        <v>0</v>
      </c>
    </row>
    <row r="2670" spans="3:5">
      <c r="C2670" t="s">
        <v>15</v>
      </c>
      <c r="D2670" t="s">
        <v>16</v>
      </c>
      <c r="E2670">
        <v>0</v>
      </c>
    </row>
    <row r="2671" spans="3:5">
      <c r="C2671" t="s">
        <v>17</v>
      </c>
      <c r="D2671" t="s">
        <v>18</v>
      </c>
      <c r="E2671">
        <v>0</v>
      </c>
    </row>
    <row r="2672" spans="3:5">
      <c r="C2672" t="s">
        <v>15</v>
      </c>
      <c r="D2672" t="s">
        <v>16</v>
      </c>
      <c r="E2672">
        <v>0</v>
      </c>
    </row>
    <row r="2673" spans="3:5">
      <c r="C2673" t="s">
        <v>17</v>
      </c>
      <c r="D2673" t="s">
        <v>18</v>
      </c>
      <c r="E2673">
        <v>0</v>
      </c>
    </row>
    <row r="2674" spans="3:5">
      <c r="C2674" t="s">
        <v>17</v>
      </c>
      <c r="D2674" t="s">
        <v>18</v>
      </c>
      <c r="E2674">
        <v>0</v>
      </c>
    </row>
    <row r="2675" spans="3:5">
      <c r="C2675" t="s">
        <v>15</v>
      </c>
      <c r="D2675" t="s">
        <v>16</v>
      </c>
      <c r="E2675">
        <v>0</v>
      </c>
    </row>
    <row r="2676" spans="3:5">
      <c r="C2676" t="s">
        <v>17</v>
      </c>
      <c r="D2676" t="s">
        <v>18</v>
      </c>
      <c r="E2676">
        <v>0</v>
      </c>
    </row>
    <row r="2677" spans="3:5">
      <c r="C2677" t="s">
        <v>17</v>
      </c>
      <c r="D2677" t="s">
        <v>18</v>
      </c>
      <c r="E2677">
        <v>0</v>
      </c>
    </row>
    <row r="2678" spans="3:5">
      <c r="C2678" t="s">
        <v>17</v>
      </c>
      <c r="D2678" t="s">
        <v>18</v>
      </c>
      <c r="E2678">
        <v>0</v>
      </c>
    </row>
    <row r="2679" spans="3:5">
      <c r="C2679" t="s">
        <v>15</v>
      </c>
      <c r="D2679" t="s">
        <v>16</v>
      </c>
      <c r="E2679">
        <v>0</v>
      </c>
    </row>
    <row r="2680" spans="3:5">
      <c r="C2680" t="s">
        <v>17</v>
      </c>
      <c r="D2680" t="s">
        <v>18</v>
      </c>
      <c r="E2680">
        <v>0</v>
      </c>
    </row>
    <row r="2681" spans="3:5">
      <c r="C2681" t="s">
        <v>17</v>
      </c>
      <c r="D2681" t="s">
        <v>18</v>
      </c>
      <c r="E2681">
        <v>0</v>
      </c>
    </row>
    <row r="2682" spans="3:5">
      <c r="C2682" t="s">
        <v>17</v>
      </c>
      <c r="D2682" t="s">
        <v>18</v>
      </c>
      <c r="E2682">
        <v>0</v>
      </c>
    </row>
    <row r="2683" spans="3:5">
      <c r="C2683" t="s">
        <v>17</v>
      </c>
      <c r="D2683" t="s">
        <v>18</v>
      </c>
      <c r="E2683">
        <v>0</v>
      </c>
    </row>
    <row r="2684" spans="3:5">
      <c r="C2684" t="s">
        <v>17</v>
      </c>
      <c r="D2684" t="s">
        <v>18</v>
      </c>
      <c r="E2684">
        <v>0</v>
      </c>
    </row>
    <row r="2685" spans="3:5">
      <c r="C2685" t="s">
        <v>15</v>
      </c>
      <c r="D2685" t="s">
        <v>16</v>
      </c>
      <c r="E2685">
        <v>0</v>
      </c>
    </row>
    <row r="2686" spans="3:5">
      <c r="C2686" t="s">
        <v>15</v>
      </c>
      <c r="D2686" t="s">
        <v>16</v>
      </c>
      <c r="E2686">
        <v>0</v>
      </c>
    </row>
    <row r="2687" spans="3:5">
      <c r="C2687" t="s">
        <v>15</v>
      </c>
      <c r="D2687" t="s">
        <v>16</v>
      </c>
      <c r="E2687">
        <v>0</v>
      </c>
    </row>
    <row r="2688" spans="3:5">
      <c r="C2688" t="s">
        <v>17</v>
      </c>
      <c r="D2688" t="s">
        <v>18</v>
      </c>
      <c r="E2688">
        <v>0</v>
      </c>
    </row>
    <row r="2689" spans="3:5">
      <c r="C2689" t="s">
        <v>17</v>
      </c>
      <c r="D2689" t="s">
        <v>18</v>
      </c>
      <c r="E2689">
        <v>0</v>
      </c>
    </row>
    <row r="2690" spans="3:5">
      <c r="C2690" t="s">
        <v>17</v>
      </c>
      <c r="D2690" t="s">
        <v>18</v>
      </c>
      <c r="E2690">
        <v>0</v>
      </c>
    </row>
    <row r="2691" spans="3:5">
      <c r="C2691" t="s">
        <v>17</v>
      </c>
      <c r="D2691" t="s">
        <v>18</v>
      </c>
      <c r="E2691">
        <v>0</v>
      </c>
    </row>
    <row r="2692" spans="3:5">
      <c r="C2692" t="s">
        <v>17</v>
      </c>
      <c r="D2692" t="s">
        <v>18</v>
      </c>
      <c r="E2692">
        <v>0</v>
      </c>
    </row>
    <row r="2693" spans="3:5">
      <c r="C2693" t="s">
        <v>17</v>
      </c>
      <c r="D2693" t="s">
        <v>18</v>
      </c>
      <c r="E2693">
        <v>0</v>
      </c>
    </row>
    <row r="2694" spans="3:5">
      <c r="C2694" t="s">
        <v>15</v>
      </c>
      <c r="D2694" t="s">
        <v>16</v>
      </c>
      <c r="E2694">
        <v>0</v>
      </c>
    </row>
    <row r="2695" spans="3:5">
      <c r="C2695" t="s">
        <v>15</v>
      </c>
      <c r="D2695" t="s">
        <v>16</v>
      </c>
      <c r="E2695">
        <v>1</v>
      </c>
    </row>
    <row r="2696" spans="3:5">
      <c r="C2696" t="s">
        <v>15</v>
      </c>
      <c r="D2696" t="s">
        <v>16</v>
      </c>
      <c r="E2696">
        <v>1</v>
      </c>
    </row>
    <row r="2697" spans="3:5">
      <c r="C2697" t="s">
        <v>17</v>
      </c>
      <c r="D2697" t="s">
        <v>18</v>
      </c>
      <c r="E2697">
        <v>0</v>
      </c>
    </row>
    <row r="2698" spans="3:5">
      <c r="C2698" t="s">
        <v>15</v>
      </c>
      <c r="D2698" t="s">
        <v>16</v>
      </c>
      <c r="E2698">
        <v>0</v>
      </c>
    </row>
    <row r="2699" spans="3:5">
      <c r="C2699" t="s">
        <v>15</v>
      </c>
      <c r="D2699" t="s">
        <v>16</v>
      </c>
      <c r="E2699">
        <v>0</v>
      </c>
    </row>
    <row r="2700" spans="3:5">
      <c r="C2700" t="s">
        <v>15</v>
      </c>
      <c r="D2700" t="s">
        <v>16</v>
      </c>
      <c r="E2700">
        <v>0</v>
      </c>
    </row>
    <row r="2701" spans="3:5">
      <c r="C2701" t="s">
        <v>15</v>
      </c>
      <c r="D2701" t="s">
        <v>16</v>
      </c>
      <c r="E2701">
        <v>0</v>
      </c>
    </row>
    <row r="2702" spans="3:5">
      <c r="C2702" t="s">
        <v>17</v>
      </c>
      <c r="D2702" t="s">
        <v>18</v>
      </c>
      <c r="E2702">
        <v>0</v>
      </c>
    </row>
    <row r="2703" spans="3:5">
      <c r="C2703" t="s">
        <v>15</v>
      </c>
      <c r="D2703" t="s">
        <v>16</v>
      </c>
      <c r="E2703">
        <v>0</v>
      </c>
    </row>
    <row r="2704" spans="3:5">
      <c r="C2704" t="s">
        <v>17</v>
      </c>
      <c r="D2704" t="s">
        <v>18</v>
      </c>
      <c r="E2704">
        <v>0</v>
      </c>
    </row>
    <row r="2705" spans="3:5">
      <c r="C2705" t="s">
        <v>15</v>
      </c>
      <c r="D2705" t="s">
        <v>16</v>
      </c>
      <c r="E2705">
        <v>0</v>
      </c>
    </row>
    <row r="2706" spans="3:5">
      <c r="C2706" t="s">
        <v>15</v>
      </c>
      <c r="D2706" t="s">
        <v>16</v>
      </c>
      <c r="E2706">
        <v>0</v>
      </c>
    </row>
    <row r="2707" spans="3:5">
      <c r="C2707" t="s">
        <v>17</v>
      </c>
      <c r="D2707" t="s">
        <v>18</v>
      </c>
      <c r="E2707">
        <v>0</v>
      </c>
    </row>
    <row r="2708" spans="3:5">
      <c r="C2708" t="s">
        <v>17</v>
      </c>
      <c r="D2708" t="s">
        <v>18</v>
      </c>
      <c r="E2708">
        <v>0</v>
      </c>
    </row>
    <row r="2709" spans="3:5">
      <c r="C2709" t="s">
        <v>15</v>
      </c>
      <c r="D2709" t="s">
        <v>16</v>
      </c>
      <c r="E2709">
        <v>0</v>
      </c>
    </row>
    <row r="2710" spans="3:5">
      <c r="C2710" t="s">
        <v>15</v>
      </c>
      <c r="D2710" t="s">
        <v>16</v>
      </c>
      <c r="E2710">
        <v>0</v>
      </c>
    </row>
    <row r="2711" spans="3:5">
      <c r="C2711" t="s">
        <v>17</v>
      </c>
      <c r="D2711" t="s">
        <v>18</v>
      </c>
      <c r="E2711">
        <v>0</v>
      </c>
    </row>
    <row r="2712" spans="3:5">
      <c r="C2712" t="s">
        <v>17</v>
      </c>
      <c r="D2712" t="s">
        <v>18</v>
      </c>
      <c r="E2712">
        <v>0</v>
      </c>
    </row>
    <row r="2713" spans="3:5">
      <c r="C2713" t="s">
        <v>17</v>
      </c>
      <c r="D2713" t="s">
        <v>18</v>
      </c>
      <c r="E2713">
        <v>0</v>
      </c>
    </row>
    <row r="2714" spans="3:5">
      <c r="C2714" t="s">
        <v>15</v>
      </c>
      <c r="D2714" t="s">
        <v>16</v>
      </c>
      <c r="E2714">
        <v>0</v>
      </c>
    </row>
    <row r="2715" spans="3:5">
      <c r="C2715" t="s">
        <v>15</v>
      </c>
      <c r="D2715" t="s">
        <v>16</v>
      </c>
      <c r="E2715">
        <v>1</v>
      </c>
    </row>
    <row r="2716" spans="3:5">
      <c r="C2716" t="s">
        <v>15</v>
      </c>
      <c r="D2716" t="s">
        <v>16</v>
      </c>
      <c r="E2716">
        <v>0</v>
      </c>
    </row>
    <row r="2717" spans="3:5">
      <c r="C2717" t="s">
        <v>15</v>
      </c>
      <c r="D2717" t="s">
        <v>16</v>
      </c>
      <c r="E2717">
        <v>0</v>
      </c>
    </row>
    <row r="2718" spans="3:5">
      <c r="C2718" t="s">
        <v>17</v>
      </c>
      <c r="D2718" t="s">
        <v>18</v>
      </c>
      <c r="E2718">
        <v>0</v>
      </c>
    </row>
    <row r="2719" spans="3:5">
      <c r="C2719" t="s">
        <v>15</v>
      </c>
      <c r="D2719" t="s">
        <v>16</v>
      </c>
      <c r="E2719">
        <v>0</v>
      </c>
    </row>
    <row r="2720" spans="3:5">
      <c r="C2720" t="s">
        <v>17</v>
      </c>
      <c r="D2720" t="s">
        <v>18</v>
      </c>
      <c r="E2720">
        <v>0</v>
      </c>
    </row>
    <row r="2721" spans="3:5">
      <c r="C2721" t="s">
        <v>17</v>
      </c>
      <c r="D2721" t="s">
        <v>18</v>
      </c>
      <c r="E2721">
        <v>0</v>
      </c>
    </row>
    <row r="2722" spans="3:5">
      <c r="C2722" t="s">
        <v>17</v>
      </c>
      <c r="D2722" t="s">
        <v>18</v>
      </c>
      <c r="E2722">
        <v>0</v>
      </c>
    </row>
    <row r="2723" spans="3:5">
      <c r="C2723" t="s">
        <v>15</v>
      </c>
      <c r="D2723" t="s">
        <v>16</v>
      </c>
      <c r="E2723">
        <v>0</v>
      </c>
    </row>
    <row r="2724" spans="3:5">
      <c r="C2724" t="s">
        <v>15</v>
      </c>
      <c r="D2724" t="s">
        <v>16</v>
      </c>
      <c r="E2724">
        <v>0</v>
      </c>
    </row>
    <row r="2725" spans="3:5">
      <c r="C2725" t="s">
        <v>17</v>
      </c>
      <c r="D2725" t="s">
        <v>18</v>
      </c>
      <c r="E2725">
        <v>0</v>
      </c>
    </row>
    <row r="2726" spans="3:5">
      <c r="C2726" t="s">
        <v>17</v>
      </c>
      <c r="D2726" t="s">
        <v>18</v>
      </c>
      <c r="E2726">
        <v>0</v>
      </c>
    </row>
    <row r="2727" spans="3:5">
      <c r="C2727" t="s">
        <v>17</v>
      </c>
      <c r="D2727" t="s">
        <v>18</v>
      </c>
      <c r="E2727">
        <v>0</v>
      </c>
    </row>
    <row r="2728" spans="3:5">
      <c r="C2728" t="s">
        <v>17</v>
      </c>
      <c r="D2728" t="s">
        <v>18</v>
      </c>
      <c r="E2728">
        <v>0</v>
      </c>
    </row>
    <row r="2729" spans="3:5">
      <c r="C2729" t="s">
        <v>15</v>
      </c>
      <c r="D2729" t="s">
        <v>16</v>
      </c>
      <c r="E2729">
        <v>0</v>
      </c>
    </row>
    <row r="2730" spans="3:5">
      <c r="C2730" t="s">
        <v>17</v>
      </c>
      <c r="D2730" t="s">
        <v>18</v>
      </c>
      <c r="E2730">
        <v>0</v>
      </c>
    </row>
    <row r="2731" spans="3:5">
      <c r="C2731" t="s">
        <v>17</v>
      </c>
      <c r="D2731" t="s">
        <v>18</v>
      </c>
      <c r="E2731">
        <v>0</v>
      </c>
    </row>
    <row r="2732" spans="3:5">
      <c r="C2732" t="s">
        <v>17</v>
      </c>
      <c r="D2732" t="s">
        <v>18</v>
      </c>
      <c r="E2732">
        <v>0</v>
      </c>
    </row>
    <row r="2733" spans="3:5">
      <c r="C2733" t="s">
        <v>15</v>
      </c>
      <c r="D2733" t="s">
        <v>16</v>
      </c>
      <c r="E2733">
        <v>0</v>
      </c>
    </row>
    <row r="2734" spans="3:5">
      <c r="C2734" t="s">
        <v>17</v>
      </c>
      <c r="D2734" t="s">
        <v>18</v>
      </c>
      <c r="E2734">
        <v>0</v>
      </c>
    </row>
    <row r="2735" spans="3:5">
      <c r="C2735" t="s">
        <v>17</v>
      </c>
      <c r="D2735" t="s">
        <v>18</v>
      </c>
      <c r="E2735">
        <v>0</v>
      </c>
    </row>
    <row r="2736" spans="3:5">
      <c r="C2736" t="s">
        <v>17</v>
      </c>
      <c r="D2736" t="s">
        <v>18</v>
      </c>
      <c r="E2736">
        <v>1</v>
      </c>
    </row>
    <row r="2737" spans="3:5">
      <c r="C2737" t="s">
        <v>17</v>
      </c>
      <c r="D2737" t="s">
        <v>18</v>
      </c>
      <c r="E2737">
        <v>0</v>
      </c>
    </row>
    <row r="2738" spans="3:5">
      <c r="C2738" t="s">
        <v>17</v>
      </c>
      <c r="D2738" t="s">
        <v>18</v>
      </c>
      <c r="E2738">
        <v>0</v>
      </c>
    </row>
    <row r="2739" spans="3:5">
      <c r="C2739" t="s">
        <v>15</v>
      </c>
      <c r="D2739" t="s">
        <v>16</v>
      </c>
      <c r="E2739">
        <v>0</v>
      </c>
    </row>
    <row r="2740" spans="3:5">
      <c r="C2740" t="s">
        <v>15</v>
      </c>
      <c r="D2740" t="s">
        <v>16</v>
      </c>
      <c r="E2740">
        <v>0</v>
      </c>
    </row>
    <row r="2741" spans="3:5">
      <c r="C2741" t="s">
        <v>15</v>
      </c>
      <c r="D2741" t="s">
        <v>16</v>
      </c>
      <c r="E2741">
        <v>0</v>
      </c>
    </row>
    <row r="2742" spans="3:5">
      <c r="C2742" t="s">
        <v>15</v>
      </c>
      <c r="D2742" t="s">
        <v>16</v>
      </c>
      <c r="E2742">
        <v>0</v>
      </c>
    </row>
    <row r="2743" spans="3:5">
      <c r="C2743" t="s">
        <v>17</v>
      </c>
      <c r="D2743" t="s">
        <v>18</v>
      </c>
      <c r="E2743">
        <v>0</v>
      </c>
    </row>
    <row r="2744" spans="3:5">
      <c r="C2744" t="s">
        <v>17</v>
      </c>
      <c r="D2744" t="s">
        <v>18</v>
      </c>
      <c r="E2744">
        <v>0</v>
      </c>
    </row>
    <row r="2745" spans="3:5">
      <c r="C2745" t="s">
        <v>17</v>
      </c>
      <c r="D2745" t="s">
        <v>18</v>
      </c>
      <c r="E2745">
        <v>0</v>
      </c>
    </row>
    <row r="2746" spans="3:5">
      <c r="C2746" t="s">
        <v>15</v>
      </c>
      <c r="D2746" t="s">
        <v>16</v>
      </c>
      <c r="E2746">
        <v>0</v>
      </c>
    </row>
    <row r="2747" spans="3:5">
      <c r="C2747" t="s">
        <v>15</v>
      </c>
      <c r="D2747" t="s">
        <v>16</v>
      </c>
      <c r="E2747">
        <v>1</v>
      </c>
    </row>
    <row r="2748" spans="3:5">
      <c r="C2748" t="s">
        <v>17</v>
      </c>
      <c r="D2748" t="s">
        <v>18</v>
      </c>
      <c r="E2748">
        <v>0</v>
      </c>
    </row>
    <row r="2749" spans="3:5">
      <c r="C2749" t="s">
        <v>15</v>
      </c>
      <c r="D2749" t="s">
        <v>16</v>
      </c>
      <c r="E2749">
        <v>0</v>
      </c>
    </row>
    <row r="2750" spans="3:5">
      <c r="C2750" t="s">
        <v>15</v>
      </c>
      <c r="D2750" t="s">
        <v>16</v>
      </c>
      <c r="E2750">
        <v>0</v>
      </c>
    </row>
    <row r="2751" spans="3:5">
      <c r="C2751" t="s">
        <v>17</v>
      </c>
      <c r="D2751" t="s">
        <v>18</v>
      </c>
      <c r="E2751">
        <v>0</v>
      </c>
    </row>
    <row r="2752" spans="3:5">
      <c r="C2752" t="s">
        <v>15</v>
      </c>
      <c r="D2752" t="s">
        <v>16</v>
      </c>
      <c r="E2752">
        <v>0</v>
      </c>
    </row>
    <row r="2753" spans="3:5">
      <c r="C2753" t="s">
        <v>17</v>
      </c>
      <c r="D2753" t="s">
        <v>18</v>
      </c>
      <c r="E2753">
        <v>0</v>
      </c>
    </row>
    <row r="2754" spans="3:5">
      <c r="C2754" t="s">
        <v>17</v>
      </c>
      <c r="D2754" t="s">
        <v>18</v>
      </c>
      <c r="E2754">
        <v>0</v>
      </c>
    </row>
    <row r="2755" spans="3:5">
      <c r="C2755" t="s">
        <v>15</v>
      </c>
      <c r="D2755" t="s">
        <v>16</v>
      </c>
      <c r="E2755">
        <v>0</v>
      </c>
    </row>
    <row r="2756" spans="3:5">
      <c r="C2756" t="s">
        <v>15</v>
      </c>
      <c r="D2756" t="s">
        <v>16</v>
      </c>
      <c r="E2756">
        <v>0</v>
      </c>
    </row>
    <row r="2757" spans="3:5">
      <c r="C2757" t="s">
        <v>17</v>
      </c>
      <c r="D2757" t="s">
        <v>18</v>
      </c>
      <c r="E2757">
        <v>1</v>
      </c>
    </row>
    <row r="2758" spans="3:5">
      <c r="C2758" t="s">
        <v>15</v>
      </c>
      <c r="D2758" t="s">
        <v>16</v>
      </c>
      <c r="E2758">
        <v>0</v>
      </c>
    </row>
    <row r="2759" spans="3:5">
      <c r="C2759" t="s">
        <v>15</v>
      </c>
      <c r="D2759" t="s">
        <v>16</v>
      </c>
      <c r="E2759">
        <v>0</v>
      </c>
    </row>
    <row r="2760" spans="3:5">
      <c r="C2760" t="s">
        <v>17</v>
      </c>
      <c r="D2760" t="s">
        <v>18</v>
      </c>
      <c r="E2760">
        <v>0</v>
      </c>
    </row>
    <row r="2761" spans="3:5">
      <c r="C2761" t="s">
        <v>17</v>
      </c>
      <c r="D2761" t="s">
        <v>18</v>
      </c>
      <c r="E2761">
        <v>0</v>
      </c>
    </row>
    <row r="2762" spans="3:5">
      <c r="C2762" t="s">
        <v>17</v>
      </c>
      <c r="D2762" t="s">
        <v>18</v>
      </c>
      <c r="E2762">
        <v>0</v>
      </c>
    </row>
    <row r="2763" spans="3:5">
      <c r="C2763" t="s">
        <v>15</v>
      </c>
      <c r="D2763" t="s">
        <v>16</v>
      </c>
      <c r="E2763">
        <v>0</v>
      </c>
    </row>
    <row r="2764" spans="3:5">
      <c r="C2764" t="s">
        <v>17</v>
      </c>
      <c r="D2764" t="s">
        <v>18</v>
      </c>
      <c r="E2764">
        <v>0</v>
      </c>
    </row>
    <row r="2765" spans="3:5">
      <c r="C2765" t="s">
        <v>15</v>
      </c>
      <c r="D2765" t="s">
        <v>16</v>
      </c>
      <c r="E2765">
        <v>0</v>
      </c>
    </row>
    <row r="2766" spans="3:5">
      <c r="C2766" t="s">
        <v>17</v>
      </c>
      <c r="D2766" t="s">
        <v>18</v>
      </c>
      <c r="E2766">
        <v>0</v>
      </c>
    </row>
    <row r="2767" spans="3:5">
      <c r="C2767" t="s">
        <v>15</v>
      </c>
      <c r="D2767" t="s">
        <v>16</v>
      </c>
      <c r="E2767">
        <v>0</v>
      </c>
    </row>
    <row r="2768" spans="3:5">
      <c r="C2768" t="s">
        <v>17</v>
      </c>
      <c r="D2768" t="s">
        <v>18</v>
      </c>
      <c r="E2768">
        <v>0</v>
      </c>
    </row>
    <row r="2769" spans="3:5">
      <c r="C2769" t="s">
        <v>15</v>
      </c>
      <c r="D2769" t="s">
        <v>16</v>
      </c>
      <c r="E2769">
        <v>0</v>
      </c>
    </row>
    <row r="2770" spans="3:5">
      <c r="C2770" t="s">
        <v>15</v>
      </c>
      <c r="D2770" t="s">
        <v>16</v>
      </c>
      <c r="E2770">
        <v>1</v>
      </c>
    </row>
    <row r="2771" spans="3:5">
      <c r="C2771" t="s">
        <v>15</v>
      </c>
      <c r="D2771" t="s">
        <v>16</v>
      </c>
      <c r="E2771">
        <v>0</v>
      </c>
    </row>
    <row r="2772" spans="3:5">
      <c r="C2772" t="s">
        <v>17</v>
      </c>
      <c r="D2772" t="s">
        <v>18</v>
      </c>
      <c r="E2772">
        <v>0</v>
      </c>
    </row>
    <row r="2773" spans="3:5">
      <c r="C2773" t="s">
        <v>17</v>
      </c>
      <c r="D2773" t="s">
        <v>18</v>
      </c>
      <c r="E2773">
        <v>0</v>
      </c>
    </row>
    <row r="2774" spans="3:5">
      <c r="C2774" t="s">
        <v>17</v>
      </c>
      <c r="D2774" t="s">
        <v>18</v>
      </c>
      <c r="E2774">
        <v>0</v>
      </c>
    </row>
    <row r="2775" spans="3:5">
      <c r="C2775" t="s">
        <v>17</v>
      </c>
      <c r="D2775" t="s">
        <v>18</v>
      </c>
      <c r="E2775">
        <v>0</v>
      </c>
    </row>
    <row r="2776" spans="3:5">
      <c r="C2776" t="s">
        <v>17</v>
      </c>
      <c r="D2776" t="s">
        <v>18</v>
      </c>
      <c r="E2776">
        <v>0</v>
      </c>
    </row>
    <row r="2777" spans="3:5">
      <c r="C2777" t="s">
        <v>17</v>
      </c>
      <c r="D2777" t="s">
        <v>18</v>
      </c>
      <c r="E2777">
        <v>0</v>
      </c>
    </row>
    <row r="2778" spans="3:5">
      <c r="C2778" t="s">
        <v>17</v>
      </c>
      <c r="D2778" t="s">
        <v>18</v>
      </c>
      <c r="E2778">
        <v>0</v>
      </c>
    </row>
    <row r="2779" spans="3:5">
      <c r="C2779" t="s">
        <v>17</v>
      </c>
      <c r="D2779" t="s">
        <v>18</v>
      </c>
      <c r="E2779">
        <v>0</v>
      </c>
    </row>
    <row r="2780" spans="3:5">
      <c r="C2780" t="s">
        <v>15</v>
      </c>
      <c r="D2780" t="s">
        <v>16</v>
      </c>
      <c r="E2780">
        <v>0</v>
      </c>
    </row>
    <row r="2781" spans="3:5">
      <c r="C2781" t="s">
        <v>15</v>
      </c>
      <c r="D2781" t="s">
        <v>16</v>
      </c>
      <c r="E2781">
        <v>0</v>
      </c>
    </row>
    <row r="2782" spans="3:5">
      <c r="C2782" t="s">
        <v>15</v>
      </c>
      <c r="D2782" t="s">
        <v>16</v>
      </c>
      <c r="E2782">
        <v>0</v>
      </c>
    </row>
    <row r="2783" spans="3:5">
      <c r="C2783" t="s">
        <v>15</v>
      </c>
      <c r="D2783" t="s">
        <v>16</v>
      </c>
      <c r="E2783">
        <v>0</v>
      </c>
    </row>
    <row r="2784" spans="3:5">
      <c r="C2784" t="s">
        <v>17</v>
      </c>
      <c r="D2784" t="s">
        <v>18</v>
      </c>
      <c r="E2784">
        <v>0</v>
      </c>
    </row>
    <row r="2785" spans="3:5">
      <c r="C2785" t="s">
        <v>17</v>
      </c>
      <c r="D2785" t="s">
        <v>18</v>
      </c>
      <c r="E2785">
        <v>0</v>
      </c>
    </row>
    <row r="2786" spans="3:5">
      <c r="C2786" t="s">
        <v>17</v>
      </c>
      <c r="D2786" t="s">
        <v>18</v>
      </c>
      <c r="E2786">
        <v>0</v>
      </c>
    </row>
    <row r="2787" spans="3:5">
      <c r="C2787" t="s">
        <v>17</v>
      </c>
      <c r="D2787" t="s">
        <v>18</v>
      </c>
      <c r="E2787">
        <v>0</v>
      </c>
    </row>
    <row r="2788" spans="3:5">
      <c r="C2788" t="s">
        <v>17</v>
      </c>
      <c r="D2788" t="s">
        <v>18</v>
      </c>
      <c r="E2788">
        <v>0</v>
      </c>
    </row>
    <row r="2789" spans="3:5">
      <c r="C2789" t="s">
        <v>15</v>
      </c>
      <c r="D2789" t="s">
        <v>16</v>
      </c>
      <c r="E2789">
        <v>0</v>
      </c>
    </row>
    <row r="2790" spans="3:5">
      <c r="C2790" t="s">
        <v>15</v>
      </c>
      <c r="D2790" t="s">
        <v>16</v>
      </c>
      <c r="E2790">
        <v>0</v>
      </c>
    </row>
    <row r="2791" spans="3:5">
      <c r="C2791" t="s">
        <v>17</v>
      </c>
      <c r="D2791" t="s">
        <v>18</v>
      </c>
      <c r="E2791">
        <v>0</v>
      </c>
    </row>
    <row r="2792" spans="3:5">
      <c r="C2792" t="s">
        <v>15</v>
      </c>
      <c r="D2792" t="s">
        <v>16</v>
      </c>
      <c r="E2792">
        <v>0</v>
      </c>
    </row>
    <row r="2793" spans="3:5">
      <c r="C2793" t="s">
        <v>15</v>
      </c>
      <c r="D2793" t="s">
        <v>16</v>
      </c>
      <c r="E2793">
        <v>0</v>
      </c>
    </row>
    <row r="2794" spans="3:5">
      <c r="C2794" t="s">
        <v>15</v>
      </c>
      <c r="D2794" t="s">
        <v>16</v>
      </c>
      <c r="E2794">
        <v>0</v>
      </c>
    </row>
    <row r="2795" spans="3:5">
      <c r="C2795" t="s">
        <v>17</v>
      </c>
      <c r="D2795" t="s">
        <v>18</v>
      </c>
      <c r="E2795">
        <v>0</v>
      </c>
    </row>
    <row r="2796" spans="3:5">
      <c r="C2796" t="s">
        <v>17</v>
      </c>
      <c r="D2796" t="s">
        <v>18</v>
      </c>
      <c r="E2796">
        <v>0</v>
      </c>
    </row>
    <row r="2797" spans="3:5">
      <c r="C2797" t="s">
        <v>15</v>
      </c>
      <c r="D2797" t="s">
        <v>16</v>
      </c>
      <c r="E2797">
        <v>0</v>
      </c>
    </row>
    <row r="2798" spans="3:5">
      <c r="C2798" t="s">
        <v>15</v>
      </c>
      <c r="D2798" t="s">
        <v>16</v>
      </c>
      <c r="E2798">
        <v>0</v>
      </c>
    </row>
    <row r="2799" spans="3:5">
      <c r="C2799" t="s">
        <v>15</v>
      </c>
      <c r="D2799" t="s">
        <v>16</v>
      </c>
      <c r="E2799">
        <v>0</v>
      </c>
    </row>
    <row r="2800" spans="3:5">
      <c r="C2800" t="s">
        <v>17</v>
      </c>
      <c r="D2800" t="s">
        <v>18</v>
      </c>
      <c r="E2800">
        <v>0</v>
      </c>
    </row>
    <row r="2801" spans="3:5">
      <c r="C2801" t="s">
        <v>17</v>
      </c>
      <c r="D2801" t="s">
        <v>18</v>
      </c>
      <c r="E2801">
        <v>0</v>
      </c>
    </row>
    <row r="2802" spans="3:5">
      <c r="C2802" t="s">
        <v>15</v>
      </c>
      <c r="D2802" t="s">
        <v>16</v>
      </c>
      <c r="E2802">
        <v>0</v>
      </c>
    </row>
    <row r="2803" spans="3:5">
      <c r="C2803" t="s">
        <v>15</v>
      </c>
      <c r="D2803" t="s">
        <v>16</v>
      </c>
      <c r="E2803">
        <v>0</v>
      </c>
    </row>
    <row r="2804" spans="3:5">
      <c r="C2804" t="s">
        <v>15</v>
      </c>
      <c r="D2804" t="s">
        <v>16</v>
      </c>
      <c r="E2804">
        <v>0</v>
      </c>
    </row>
    <row r="2805" spans="3:5">
      <c r="C2805" t="s">
        <v>15</v>
      </c>
      <c r="D2805" t="s">
        <v>16</v>
      </c>
      <c r="E2805">
        <v>0</v>
      </c>
    </row>
    <row r="2806" spans="3:5">
      <c r="C2806" t="s">
        <v>17</v>
      </c>
      <c r="D2806" t="s">
        <v>18</v>
      </c>
      <c r="E2806">
        <v>0</v>
      </c>
    </row>
    <row r="2807" spans="3:5">
      <c r="C2807" t="s">
        <v>15</v>
      </c>
      <c r="D2807" t="s">
        <v>16</v>
      </c>
      <c r="E2807">
        <v>0</v>
      </c>
    </row>
    <row r="2808" spans="3:5">
      <c r="C2808" t="s">
        <v>15</v>
      </c>
      <c r="D2808" t="s">
        <v>16</v>
      </c>
      <c r="E2808">
        <v>0</v>
      </c>
    </row>
    <row r="2809" spans="3:5">
      <c r="C2809" t="s">
        <v>17</v>
      </c>
      <c r="D2809" t="s">
        <v>18</v>
      </c>
      <c r="E2809">
        <v>0</v>
      </c>
    </row>
    <row r="2810" spans="3:5">
      <c r="C2810" t="s">
        <v>17</v>
      </c>
      <c r="D2810" t="s">
        <v>18</v>
      </c>
      <c r="E2810">
        <v>0</v>
      </c>
    </row>
    <row r="2811" spans="3:5">
      <c r="C2811" t="s">
        <v>15</v>
      </c>
      <c r="D2811" t="s">
        <v>16</v>
      </c>
      <c r="E2811">
        <v>0</v>
      </c>
    </row>
    <row r="2812" spans="3:5">
      <c r="C2812" t="s">
        <v>15</v>
      </c>
      <c r="D2812" t="s">
        <v>16</v>
      </c>
      <c r="E2812">
        <v>0</v>
      </c>
    </row>
    <row r="2813" spans="3:5">
      <c r="C2813" t="s">
        <v>15</v>
      </c>
      <c r="D2813" t="s">
        <v>16</v>
      </c>
      <c r="E2813">
        <v>0</v>
      </c>
    </row>
    <row r="2814" spans="3:5">
      <c r="C2814" t="s">
        <v>15</v>
      </c>
      <c r="D2814" t="s">
        <v>16</v>
      </c>
      <c r="E2814">
        <v>0</v>
      </c>
    </row>
    <row r="2815" spans="3:5">
      <c r="C2815" t="s">
        <v>15</v>
      </c>
      <c r="D2815" t="s">
        <v>16</v>
      </c>
      <c r="E2815">
        <v>0</v>
      </c>
    </row>
    <row r="2816" spans="3:5">
      <c r="C2816" t="s">
        <v>15</v>
      </c>
      <c r="D2816" t="s">
        <v>16</v>
      </c>
      <c r="E2816">
        <v>0</v>
      </c>
    </row>
    <row r="2817" spans="3:5">
      <c r="C2817" t="s">
        <v>15</v>
      </c>
      <c r="D2817" t="s">
        <v>16</v>
      </c>
      <c r="E2817">
        <v>0</v>
      </c>
    </row>
    <row r="2818" spans="3:5">
      <c r="C2818" t="s">
        <v>15</v>
      </c>
      <c r="D2818" t="s">
        <v>16</v>
      </c>
      <c r="E2818">
        <v>0</v>
      </c>
    </row>
    <row r="2819" spans="3:5">
      <c r="C2819" t="s">
        <v>17</v>
      </c>
      <c r="D2819" t="s">
        <v>18</v>
      </c>
      <c r="E2819">
        <v>0</v>
      </c>
    </row>
    <row r="2820" spans="3:5">
      <c r="C2820" t="s">
        <v>15</v>
      </c>
      <c r="D2820" t="s">
        <v>16</v>
      </c>
      <c r="E2820">
        <v>0</v>
      </c>
    </row>
    <row r="2821" spans="3:5">
      <c r="C2821" t="s">
        <v>17</v>
      </c>
      <c r="D2821" t="s">
        <v>18</v>
      </c>
      <c r="E2821">
        <v>0</v>
      </c>
    </row>
    <row r="2822" spans="3:5">
      <c r="C2822" t="s">
        <v>17</v>
      </c>
      <c r="D2822" t="s">
        <v>18</v>
      </c>
      <c r="E2822">
        <v>0</v>
      </c>
    </row>
    <row r="2823" spans="3:5">
      <c r="C2823" t="s">
        <v>15</v>
      </c>
      <c r="D2823" t="s">
        <v>16</v>
      </c>
      <c r="E2823">
        <v>0</v>
      </c>
    </row>
    <row r="2824" spans="3:5">
      <c r="C2824" t="s">
        <v>17</v>
      </c>
      <c r="D2824" t="s">
        <v>18</v>
      </c>
      <c r="E2824">
        <v>0</v>
      </c>
    </row>
    <row r="2825" spans="3:5">
      <c r="C2825" t="s">
        <v>15</v>
      </c>
      <c r="D2825" t="s">
        <v>16</v>
      </c>
      <c r="E2825">
        <v>0</v>
      </c>
    </row>
    <row r="2826" spans="3:5">
      <c r="C2826" t="s">
        <v>15</v>
      </c>
      <c r="D2826" t="s">
        <v>16</v>
      </c>
      <c r="E2826">
        <v>0</v>
      </c>
    </row>
    <row r="2827" spans="3:5">
      <c r="C2827" t="s">
        <v>17</v>
      </c>
      <c r="D2827" t="s">
        <v>18</v>
      </c>
      <c r="E2827">
        <v>0</v>
      </c>
    </row>
    <row r="2828" spans="3:5">
      <c r="C2828" t="s">
        <v>15</v>
      </c>
      <c r="D2828" t="s">
        <v>16</v>
      </c>
      <c r="E2828">
        <v>0</v>
      </c>
    </row>
    <row r="2829" spans="3:5">
      <c r="C2829" t="s">
        <v>15</v>
      </c>
      <c r="D2829" t="s">
        <v>16</v>
      </c>
      <c r="E2829">
        <v>0</v>
      </c>
    </row>
    <row r="2830" spans="3:5">
      <c r="C2830" t="s">
        <v>15</v>
      </c>
      <c r="D2830" t="s">
        <v>16</v>
      </c>
      <c r="E2830">
        <v>0</v>
      </c>
    </row>
    <row r="2831" spans="3:5">
      <c r="C2831" t="s">
        <v>17</v>
      </c>
      <c r="D2831" t="s">
        <v>18</v>
      </c>
      <c r="E2831">
        <v>0</v>
      </c>
    </row>
    <row r="2832" spans="3:5">
      <c r="C2832" t="s">
        <v>17</v>
      </c>
      <c r="D2832" t="s">
        <v>18</v>
      </c>
      <c r="E2832">
        <v>0</v>
      </c>
    </row>
    <row r="2833" spans="3:5">
      <c r="C2833" t="s">
        <v>17</v>
      </c>
      <c r="D2833" t="s">
        <v>18</v>
      </c>
      <c r="E2833">
        <v>0</v>
      </c>
    </row>
    <row r="2834" spans="3:5">
      <c r="C2834" t="s">
        <v>15</v>
      </c>
      <c r="D2834" t="s">
        <v>16</v>
      </c>
      <c r="E2834">
        <v>0</v>
      </c>
    </row>
    <row r="2835" spans="3:5">
      <c r="C2835" t="s">
        <v>17</v>
      </c>
      <c r="D2835" t="s">
        <v>18</v>
      </c>
      <c r="E2835">
        <v>0</v>
      </c>
    </row>
    <row r="2836" spans="3:5">
      <c r="C2836" t="s">
        <v>15</v>
      </c>
      <c r="D2836" t="s">
        <v>16</v>
      </c>
      <c r="E2836">
        <v>0</v>
      </c>
    </row>
    <row r="2837" spans="3:5">
      <c r="C2837" t="s">
        <v>17</v>
      </c>
      <c r="D2837" t="s">
        <v>18</v>
      </c>
      <c r="E2837">
        <v>0</v>
      </c>
    </row>
    <row r="2838" spans="3:5">
      <c r="C2838" t="s">
        <v>15</v>
      </c>
      <c r="D2838" t="s">
        <v>16</v>
      </c>
      <c r="E2838">
        <v>0</v>
      </c>
    </row>
    <row r="2839" spans="3:5">
      <c r="C2839" t="s">
        <v>17</v>
      </c>
      <c r="D2839" t="s">
        <v>18</v>
      </c>
      <c r="E2839">
        <v>0</v>
      </c>
    </row>
    <row r="2840" spans="3:5">
      <c r="C2840" t="s">
        <v>15</v>
      </c>
      <c r="D2840" t="s">
        <v>16</v>
      </c>
      <c r="E2840">
        <v>0</v>
      </c>
    </row>
    <row r="2841" spans="3:5">
      <c r="C2841" t="s">
        <v>15</v>
      </c>
      <c r="D2841" t="s">
        <v>16</v>
      </c>
      <c r="E2841">
        <v>0</v>
      </c>
    </row>
    <row r="2842" spans="3:5">
      <c r="C2842" t="s">
        <v>17</v>
      </c>
      <c r="D2842" t="s">
        <v>18</v>
      </c>
      <c r="E2842">
        <v>0</v>
      </c>
    </row>
    <row r="2843" spans="3:5">
      <c r="C2843" t="s">
        <v>15</v>
      </c>
      <c r="D2843" t="s">
        <v>16</v>
      </c>
      <c r="E2843">
        <v>0</v>
      </c>
    </row>
    <row r="2844" spans="3:5">
      <c r="C2844" t="s">
        <v>15</v>
      </c>
      <c r="D2844" t="s">
        <v>16</v>
      </c>
      <c r="E2844">
        <v>0</v>
      </c>
    </row>
    <row r="2845" spans="3:5">
      <c r="C2845" t="s">
        <v>17</v>
      </c>
      <c r="D2845" t="s">
        <v>18</v>
      </c>
      <c r="E2845">
        <v>0</v>
      </c>
    </row>
    <row r="2846" spans="3:5">
      <c r="C2846" t="s">
        <v>17</v>
      </c>
      <c r="D2846" t="s">
        <v>18</v>
      </c>
      <c r="E2846">
        <v>0</v>
      </c>
    </row>
    <row r="2847" spans="3:5">
      <c r="C2847" t="s">
        <v>17</v>
      </c>
      <c r="D2847" t="s">
        <v>18</v>
      </c>
      <c r="E2847">
        <v>0</v>
      </c>
    </row>
    <row r="2848" spans="3:5">
      <c r="C2848" t="s">
        <v>15</v>
      </c>
      <c r="D2848" t="s">
        <v>16</v>
      </c>
      <c r="E2848">
        <v>0</v>
      </c>
    </row>
    <row r="2849" spans="3:5">
      <c r="C2849" t="s">
        <v>15</v>
      </c>
      <c r="D2849" t="s">
        <v>16</v>
      </c>
      <c r="E2849">
        <v>0</v>
      </c>
    </row>
    <row r="2850" spans="3:5">
      <c r="C2850" t="s">
        <v>15</v>
      </c>
      <c r="D2850" t="s">
        <v>16</v>
      </c>
      <c r="E2850">
        <v>0</v>
      </c>
    </row>
    <row r="2851" spans="3:5">
      <c r="C2851" t="s">
        <v>15</v>
      </c>
      <c r="D2851" t="s">
        <v>16</v>
      </c>
      <c r="E2851">
        <v>0</v>
      </c>
    </row>
    <row r="2852" spans="3:5">
      <c r="C2852" t="s">
        <v>17</v>
      </c>
      <c r="D2852" t="s">
        <v>18</v>
      </c>
      <c r="E2852">
        <v>0</v>
      </c>
    </row>
    <row r="2853" spans="3:5">
      <c r="C2853" t="s">
        <v>17</v>
      </c>
      <c r="D2853" t="s">
        <v>18</v>
      </c>
      <c r="E2853">
        <v>1</v>
      </c>
    </row>
    <row r="2854" spans="3:5">
      <c r="C2854" t="s">
        <v>15</v>
      </c>
      <c r="D2854" t="s">
        <v>16</v>
      </c>
      <c r="E2854">
        <v>0</v>
      </c>
    </row>
    <row r="2855" spans="3:5">
      <c r="C2855" t="s">
        <v>17</v>
      </c>
      <c r="D2855" t="s">
        <v>18</v>
      </c>
      <c r="E2855">
        <v>0</v>
      </c>
    </row>
    <row r="2856" spans="3:5">
      <c r="C2856" t="s">
        <v>17</v>
      </c>
      <c r="D2856" t="s">
        <v>18</v>
      </c>
      <c r="E2856">
        <v>0</v>
      </c>
    </row>
    <row r="2857" spans="3:5">
      <c r="C2857" t="s">
        <v>15</v>
      </c>
      <c r="D2857" t="s">
        <v>16</v>
      </c>
      <c r="E2857">
        <v>0</v>
      </c>
    </row>
    <row r="2858" spans="3:5">
      <c r="C2858" t="s">
        <v>15</v>
      </c>
      <c r="D2858" t="s">
        <v>16</v>
      </c>
      <c r="E2858">
        <v>0</v>
      </c>
    </row>
    <row r="2859" spans="3:5">
      <c r="C2859" t="s">
        <v>17</v>
      </c>
      <c r="D2859" t="s">
        <v>18</v>
      </c>
      <c r="E2859">
        <v>0</v>
      </c>
    </row>
    <row r="2860" spans="3:5">
      <c r="C2860" t="s">
        <v>17</v>
      </c>
      <c r="D2860" t="s">
        <v>18</v>
      </c>
      <c r="E2860">
        <v>0</v>
      </c>
    </row>
    <row r="2861" spans="3:5">
      <c r="C2861" t="s">
        <v>15</v>
      </c>
      <c r="D2861" t="s">
        <v>16</v>
      </c>
      <c r="E2861">
        <v>0</v>
      </c>
    </row>
    <row r="2862" spans="3:5">
      <c r="C2862" t="s">
        <v>17</v>
      </c>
      <c r="D2862" t="s">
        <v>18</v>
      </c>
      <c r="E2862">
        <v>0</v>
      </c>
    </row>
    <row r="2863" spans="3:5">
      <c r="C2863" t="s">
        <v>15</v>
      </c>
      <c r="D2863" t="s">
        <v>16</v>
      </c>
      <c r="E2863">
        <v>0</v>
      </c>
    </row>
    <row r="2864" spans="3:5">
      <c r="C2864" t="s">
        <v>17</v>
      </c>
      <c r="D2864" t="s">
        <v>18</v>
      </c>
      <c r="E2864">
        <v>0</v>
      </c>
    </row>
    <row r="2865" spans="3:5">
      <c r="C2865" t="s">
        <v>17</v>
      </c>
      <c r="D2865" t="s">
        <v>18</v>
      </c>
      <c r="E2865">
        <v>0</v>
      </c>
    </row>
    <row r="2866" spans="3:5">
      <c r="C2866" t="s">
        <v>17</v>
      </c>
      <c r="D2866" t="s">
        <v>18</v>
      </c>
      <c r="E2866">
        <v>0</v>
      </c>
    </row>
    <row r="2867" spans="3:5">
      <c r="C2867" t="s">
        <v>17</v>
      </c>
      <c r="D2867" t="s">
        <v>18</v>
      </c>
      <c r="E2867">
        <v>1</v>
      </c>
    </row>
    <row r="2868" spans="3:5">
      <c r="C2868" t="s">
        <v>17</v>
      </c>
      <c r="D2868" t="s">
        <v>18</v>
      </c>
      <c r="E2868">
        <v>0</v>
      </c>
    </row>
    <row r="2869" spans="3:5">
      <c r="C2869" t="s">
        <v>17</v>
      </c>
      <c r="D2869" t="s">
        <v>18</v>
      </c>
      <c r="E2869">
        <v>0</v>
      </c>
    </row>
    <row r="2870" spans="3:5">
      <c r="C2870" t="s">
        <v>17</v>
      </c>
      <c r="D2870" t="s">
        <v>18</v>
      </c>
      <c r="E2870">
        <v>0</v>
      </c>
    </row>
    <row r="2871" spans="3:5">
      <c r="C2871" t="s">
        <v>17</v>
      </c>
      <c r="D2871" t="s">
        <v>18</v>
      </c>
      <c r="E2871">
        <v>0</v>
      </c>
    </row>
    <row r="2872" spans="3:5">
      <c r="C2872" t="s">
        <v>17</v>
      </c>
      <c r="D2872" t="s">
        <v>18</v>
      </c>
      <c r="E2872">
        <v>0</v>
      </c>
    </row>
    <row r="2873" spans="3:5">
      <c r="C2873" t="s">
        <v>17</v>
      </c>
      <c r="D2873" t="s">
        <v>18</v>
      </c>
      <c r="E2873">
        <v>0</v>
      </c>
    </row>
    <row r="2874" spans="3:5">
      <c r="C2874" t="s">
        <v>15</v>
      </c>
      <c r="D2874" t="s">
        <v>16</v>
      </c>
      <c r="E2874">
        <v>0</v>
      </c>
    </row>
    <row r="2875" spans="3:5">
      <c r="C2875" t="s">
        <v>15</v>
      </c>
      <c r="D2875" t="s">
        <v>16</v>
      </c>
      <c r="E2875">
        <v>0</v>
      </c>
    </row>
    <row r="2876" spans="3:5">
      <c r="C2876" t="s">
        <v>17</v>
      </c>
      <c r="D2876" t="s">
        <v>18</v>
      </c>
      <c r="E2876">
        <v>0</v>
      </c>
    </row>
    <row r="2877" spans="3:5">
      <c r="C2877" t="s">
        <v>17</v>
      </c>
      <c r="D2877" t="s">
        <v>18</v>
      </c>
      <c r="E2877">
        <v>1</v>
      </c>
    </row>
    <row r="2878" spans="3:5">
      <c r="C2878" t="s">
        <v>17</v>
      </c>
      <c r="D2878" t="s">
        <v>18</v>
      </c>
      <c r="E2878">
        <v>0</v>
      </c>
    </row>
    <row r="2879" spans="3:5">
      <c r="C2879" t="s">
        <v>17</v>
      </c>
      <c r="D2879" t="s">
        <v>18</v>
      </c>
      <c r="E2879">
        <v>0</v>
      </c>
    </row>
    <row r="2880" spans="3:5">
      <c r="C2880" t="s">
        <v>17</v>
      </c>
      <c r="D2880" t="s">
        <v>18</v>
      </c>
      <c r="E2880">
        <v>0</v>
      </c>
    </row>
    <row r="2881" spans="3:5">
      <c r="C2881" t="s">
        <v>15</v>
      </c>
      <c r="D2881" t="s">
        <v>16</v>
      </c>
      <c r="E2881">
        <v>0</v>
      </c>
    </row>
    <row r="2882" spans="3:5">
      <c r="C2882" t="s">
        <v>15</v>
      </c>
      <c r="D2882" t="s">
        <v>16</v>
      </c>
      <c r="E2882">
        <v>0</v>
      </c>
    </row>
    <row r="2883" spans="3:5">
      <c r="C2883" t="s">
        <v>17</v>
      </c>
      <c r="D2883" t="s">
        <v>18</v>
      </c>
      <c r="E2883">
        <v>0</v>
      </c>
    </row>
    <row r="2884" spans="3:5">
      <c r="C2884" t="s">
        <v>17</v>
      </c>
      <c r="D2884" t="s">
        <v>18</v>
      </c>
      <c r="E2884">
        <v>0</v>
      </c>
    </row>
    <row r="2885" spans="3:5">
      <c r="C2885" t="s">
        <v>17</v>
      </c>
      <c r="D2885" t="s">
        <v>18</v>
      </c>
      <c r="E2885">
        <v>1</v>
      </c>
    </row>
    <row r="2886" spans="3:5">
      <c r="C2886" t="s">
        <v>17</v>
      </c>
      <c r="D2886" t="s">
        <v>18</v>
      </c>
      <c r="E2886">
        <v>0</v>
      </c>
    </row>
    <row r="2887" spans="3:5">
      <c r="C2887" t="s">
        <v>17</v>
      </c>
      <c r="D2887" t="s">
        <v>18</v>
      </c>
      <c r="E2887">
        <v>0</v>
      </c>
    </row>
    <row r="2888" spans="3:5">
      <c r="C2888" t="s">
        <v>17</v>
      </c>
      <c r="D2888" t="s">
        <v>18</v>
      </c>
      <c r="E2888">
        <v>0</v>
      </c>
    </row>
    <row r="2889" spans="3:5">
      <c r="C2889" t="s">
        <v>15</v>
      </c>
      <c r="D2889" t="s">
        <v>16</v>
      </c>
      <c r="E2889">
        <v>0</v>
      </c>
    </row>
    <row r="2890" spans="3:5">
      <c r="C2890" t="s">
        <v>17</v>
      </c>
      <c r="D2890" t="s">
        <v>18</v>
      </c>
      <c r="E2890">
        <v>0</v>
      </c>
    </row>
    <row r="2891" spans="3:5">
      <c r="C2891" t="s">
        <v>15</v>
      </c>
      <c r="D2891" t="s">
        <v>16</v>
      </c>
      <c r="E2891">
        <v>0</v>
      </c>
    </row>
    <row r="2892" spans="3:5">
      <c r="C2892" t="s">
        <v>17</v>
      </c>
      <c r="D2892" t="s">
        <v>18</v>
      </c>
      <c r="E2892">
        <v>0</v>
      </c>
    </row>
    <row r="2893" spans="3:5">
      <c r="C2893" t="s">
        <v>15</v>
      </c>
      <c r="D2893" t="s">
        <v>16</v>
      </c>
      <c r="E2893">
        <v>0</v>
      </c>
    </row>
    <row r="2894" spans="3:5">
      <c r="C2894" t="s">
        <v>15</v>
      </c>
      <c r="D2894" t="s">
        <v>16</v>
      </c>
      <c r="E2894">
        <v>0</v>
      </c>
    </row>
    <row r="2895" spans="3:5">
      <c r="C2895" t="s">
        <v>15</v>
      </c>
      <c r="D2895" t="s">
        <v>16</v>
      </c>
      <c r="E2895">
        <v>0</v>
      </c>
    </row>
    <row r="2896" spans="3:5">
      <c r="C2896" t="s">
        <v>15</v>
      </c>
      <c r="D2896" t="s">
        <v>16</v>
      </c>
      <c r="E2896">
        <v>0</v>
      </c>
    </row>
    <row r="2897" spans="3:5">
      <c r="C2897" t="s">
        <v>17</v>
      </c>
      <c r="D2897" t="s">
        <v>18</v>
      </c>
      <c r="E2897">
        <v>0</v>
      </c>
    </row>
    <row r="2898" spans="3:5">
      <c r="C2898" t="s">
        <v>15</v>
      </c>
      <c r="D2898" t="s">
        <v>16</v>
      </c>
      <c r="E2898">
        <v>0</v>
      </c>
    </row>
    <row r="2899" spans="3:5">
      <c r="C2899" t="s">
        <v>17</v>
      </c>
      <c r="D2899" t="s">
        <v>18</v>
      </c>
      <c r="E2899">
        <v>0</v>
      </c>
    </row>
    <row r="2900" spans="3:5">
      <c r="C2900" t="s">
        <v>15</v>
      </c>
      <c r="D2900" t="s">
        <v>16</v>
      </c>
      <c r="E2900">
        <v>0</v>
      </c>
    </row>
    <row r="2901" spans="3:5">
      <c r="C2901" t="s">
        <v>15</v>
      </c>
      <c r="D2901" t="s">
        <v>16</v>
      </c>
      <c r="E2901">
        <v>0</v>
      </c>
    </row>
    <row r="2902" spans="3:5">
      <c r="C2902" t="s">
        <v>15</v>
      </c>
      <c r="D2902" t="s">
        <v>16</v>
      </c>
      <c r="E2902">
        <v>0</v>
      </c>
    </row>
    <row r="2903" spans="3:5">
      <c r="C2903" t="s">
        <v>17</v>
      </c>
      <c r="D2903" t="s">
        <v>18</v>
      </c>
      <c r="E2903">
        <v>0</v>
      </c>
    </row>
    <row r="2904" spans="3:5">
      <c r="C2904" t="s">
        <v>17</v>
      </c>
      <c r="D2904" t="s">
        <v>18</v>
      </c>
      <c r="E2904">
        <v>0</v>
      </c>
    </row>
    <row r="2905" spans="3:5">
      <c r="C2905" t="s">
        <v>17</v>
      </c>
      <c r="D2905" t="s">
        <v>18</v>
      </c>
      <c r="E2905">
        <v>0</v>
      </c>
    </row>
    <row r="2906" spans="3:5">
      <c r="C2906" t="s">
        <v>15</v>
      </c>
      <c r="D2906" t="s">
        <v>16</v>
      </c>
      <c r="E2906">
        <v>0</v>
      </c>
    </row>
    <row r="2907" spans="3:5">
      <c r="C2907" t="s">
        <v>17</v>
      </c>
      <c r="D2907" t="s">
        <v>18</v>
      </c>
      <c r="E2907">
        <v>0</v>
      </c>
    </row>
    <row r="2908" spans="3:5">
      <c r="C2908" t="s">
        <v>15</v>
      </c>
      <c r="D2908" t="s">
        <v>16</v>
      </c>
      <c r="E2908">
        <v>0</v>
      </c>
    </row>
    <row r="2909" spans="3:5">
      <c r="C2909" t="s">
        <v>15</v>
      </c>
      <c r="D2909" t="s">
        <v>16</v>
      </c>
      <c r="E2909">
        <v>0</v>
      </c>
    </row>
    <row r="2910" spans="3:5">
      <c r="C2910" t="s">
        <v>17</v>
      </c>
      <c r="D2910" t="s">
        <v>18</v>
      </c>
      <c r="E2910">
        <v>0</v>
      </c>
    </row>
    <row r="2911" spans="3:5">
      <c r="C2911" t="s">
        <v>15</v>
      </c>
      <c r="D2911" t="s">
        <v>16</v>
      </c>
      <c r="E2911">
        <v>0</v>
      </c>
    </row>
    <row r="2912" spans="3:5">
      <c r="C2912" t="s">
        <v>17</v>
      </c>
      <c r="D2912" t="s">
        <v>18</v>
      </c>
      <c r="E2912">
        <v>0</v>
      </c>
    </row>
    <row r="2913" spans="3:5">
      <c r="C2913" t="s">
        <v>15</v>
      </c>
      <c r="D2913" t="s">
        <v>16</v>
      </c>
      <c r="E2913">
        <v>0</v>
      </c>
    </row>
    <row r="2914" spans="3:5">
      <c r="C2914" t="s">
        <v>17</v>
      </c>
      <c r="D2914" t="s">
        <v>18</v>
      </c>
      <c r="E2914">
        <v>0</v>
      </c>
    </row>
    <row r="2915" spans="3:5">
      <c r="C2915" t="s">
        <v>17</v>
      </c>
      <c r="D2915" t="s">
        <v>18</v>
      </c>
      <c r="E2915">
        <v>0</v>
      </c>
    </row>
    <row r="2916" spans="3:5">
      <c r="C2916" t="s">
        <v>17</v>
      </c>
      <c r="D2916" t="s">
        <v>18</v>
      </c>
      <c r="E2916">
        <v>0</v>
      </c>
    </row>
    <row r="2917" spans="3:5">
      <c r="C2917" t="s">
        <v>15</v>
      </c>
      <c r="D2917" t="s">
        <v>16</v>
      </c>
      <c r="E2917">
        <v>0</v>
      </c>
    </row>
    <row r="2918" spans="3:5">
      <c r="C2918" t="s">
        <v>17</v>
      </c>
      <c r="D2918" t="s">
        <v>18</v>
      </c>
      <c r="E2918">
        <v>0</v>
      </c>
    </row>
    <row r="2919" spans="3:5">
      <c r="C2919" t="s">
        <v>15</v>
      </c>
      <c r="D2919" t="s">
        <v>16</v>
      </c>
      <c r="E2919">
        <v>0</v>
      </c>
    </row>
    <row r="2920" spans="3:5">
      <c r="C2920" t="s">
        <v>17</v>
      </c>
      <c r="D2920" t="s">
        <v>18</v>
      </c>
      <c r="E2920">
        <v>0</v>
      </c>
    </row>
    <row r="2921" spans="3:5">
      <c r="C2921" t="s">
        <v>17</v>
      </c>
      <c r="D2921" t="s">
        <v>18</v>
      </c>
      <c r="E2921">
        <v>0</v>
      </c>
    </row>
    <row r="2922" spans="3:5">
      <c r="C2922" t="s">
        <v>17</v>
      </c>
      <c r="D2922" t="s">
        <v>18</v>
      </c>
      <c r="E2922">
        <v>0</v>
      </c>
    </row>
    <row r="2923" spans="3:5">
      <c r="C2923" t="s">
        <v>15</v>
      </c>
      <c r="D2923" t="s">
        <v>16</v>
      </c>
      <c r="E2923">
        <v>0</v>
      </c>
    </row>
    <row r="2924" spans="3:5">
      <c r="C2924" t="s">
        <v>15</v>
      </c>
      <c r="D2924" t="s">
        <v>16</v>
      </c>
      <c r="E2924">
        <v>0</v>
      </c>
    </row>
    <row r="2925" spans="3:5">
      <c r="C2925" t="s">
        <v>15</v>
      </c>
      <c r="D2925" t="s">
        <v>16</v>
      </c>
      <c r="E2925">
        <v>0</v>
      </c>
    </row>
    <row r="2926" spans="3:5">
      <c r="C2926" t="s">
        <v>17</v>
      </c>
      <c r="D2926" t="s">
        <v>18</v>
      </c>
      <c r="E2926">
        <v>0</v>
      </c>
    </row>
    <row r="2927" spans="3:5">
      <c r="C2927" t="s">
        <v>15</v>
      </c>
      <c r="D2927" t="s">
        <v>16</v>
      </c>
      <c r="E2927">
        <v>0</v>
      </c>
    </row>
    <row r="2928" spans="3:5">
      <c r="C2928" t="s">
        <v>15</v>
      </c>
      <c r="D2928" t="s">
        <v>16</v>
      </c>
      <c r="E2928">
        <v>0</v>
      </c>
    </row>
    <row r="2929" spans="3:5">
      <c r="C2929" t="s">
        <v>17</v>
      </c>
      <c r="D2929" t="s">
        <v>18</v>
      </c>
      <c r="E2929">
        <v>0</v>
      </c>
    </row>
    <row r="2930" spans="3:5">
      <c r="C2930" t="s">
        <v>17</v>
      </c>
      <c r="D2930" t="s">
        <v>18</v>
      </c>
      <c r="E2930">
        <v>0</v>
      </c>
    </row>
    <row r="2931" spans="3:5">
      <c r="C2931" t="s">
        <v>15</v>
      </c>
      <c r="D2931" t="s">
        <v>16</v>
      </c>
      <c r="E2931">
        <v>0</v>
      </c>
    </row>
    <row r="2932" spans="3:5">
      <c r="C2932" t="s">
        <v>15</v>
      </c>
      <c r="D2932" t="s">
        <v>16</v>
      </c>
      <c r="E2932">
        <v>0</v>
      </c>
    </row>
    <row r="2933" spans="3:5">
      <c r="C2933" t="s">
        <v>15</v>
      </c>
      <c r="D2933" t="s">
        <v>16</v>
      </c>
      <c r="E2933">
        <v>0</v>
      </c>
    </row>
    <row r="2934" spans="3:5">
      <c r="C2934" t="s">
        <v>15</v>
      </c>
      <c r="D2934" t="s">
        <v>16</v>
      </c>
      <c r="E2934">
        <v>0</v>
      </c>
    </row>
    <row r="2935" spans="3:5">
      <c r="C2935" t="s">
        <v>17</v>
      </c>
      <c r="D2935" t="s">
        <v>18</v>
      </c>
      <c r="E2935">
        <v>0</v>
      </c>
    </row>
    <row r="2936" spans="3:5">
      <c r="C2936" t="s">
        <v>17</v>
      </c>
      <c r="D2936" t="s">
        <v>18</v>
      </c>
      <c r="E2936">
        <v>0</v>
      </c>
    </row>
    <row r="2937" spans="3:5">
      <c r="C2937" t="s">
        <v>17</v>
      </c>
      <c r="D2937" t="s">
        <v>18</v>
      </c>
      <c r="E2937">
        <v>0</v>
      </c>
    </row>
    <row r="2938" spans="3:5">
      <c r="C2938" t="s">
        <v>17</v>
      </c>
      <c r="D2938" t="s">
        <v>18</v>
      </c>
      <c r="E2938">
        <v>0</v>
      </c>
    </row>
    <row r="2939" spans="3:5">
      <c r="C2939" t="s">
        <v>15</v>
      </c>
      <c r="D2939" t="s">
        <v>16</v>
      </c>
      <c r="E2939">
        <v>0</v>
      </c>
    </row>
    <row r="2940" spans="3:5">
      <c r="C2940" t="s">
        <v>15</v>
      </c>
      <c r="D2940" t="s">
        <v>16</v>
      </c>
      <c r="E2940">
        <v>0</v>
      </c>
    </row>
    <row r="2941" spans="3:5">
      <c r="C2941" t="s">
        <v>15</v>
      </c>
      <c r="D2941" t="s">
        <v>16</v>
      </c>
      <c r="E2941">
        <v>0</v>
      </c>
    </row>
    <row r="2942" spans="3:5">
      <c r="C2942" t="s">
        <v>15</v>
      </c>
      <c r="D2942" t="s">
        <v>16</v>
      </c>
      <c r="E2942">
        <v>0</v>
      </c>
    </row>
    <row r="2943" spans="3:5">
      <c r="C2943" t="s">
        <v>15</v>
      </c>
      <c r="D2943" t="s">
        <v>16</v>
      </c>
      <c r="E2943">
        <v>0</v>
      </c>
    </row>
    <row r="2944" spans="3:5">
      <c r="C2944" t="s">
        <v>15</v>
      </c>
      <c r="D2944" t="s">
        <v>16</v>
      </c>
      <c r="E2944">
        <v>0</v>
      </c>
    </row>
    <row r="2945" spans="3:5">
      <c r="C2945" t="s">
        <v>17</v>
      </c>
      <c r="D2945" t="s">
        <v>18</v>
      </c>
      <c r="E2945">
        <v>0</v>
      </c>
    </row>
    <row r="2946" spans="3:5">
      <c r="C2946" t="s">
        <v>17</v>
      </c>
      <c r="D2946" t="s">
        <v>18</v>
      </c>
      <c r="E2946">
        <v>0</v>
      </c>
    </row>
    <row r="2947" spans="3:5">
      <c r="C2947" t="s">
        <v>17</v>
      </c>
      <c r="D2947" t="s">
        <v>18</v>
      </c>
      <c r="E2947">
        <v>0</v>
      </c>
    </row>
    <row r="2948" spans="3:5">
      <c r="C2948" t="s">
        <v>17</v>
      </c>
      <c r="D2948" t="s">
        <v>18</v>
      </c>
      <c r="E2948">
        <v>0</v>
      </c>
    </row>
    <row r="2949" spans="3:5">
      <c r="C2949" t="s">
        <v>15</v>
      </c>
      <c r="D2949" t="s">
        <v>16</v>
      </c>
      <c r="E2949">
        <v>0</v>
      </c>
    </row>
    <row r="2950" spans="3:5">
      <c r="C2950" t="s">
        <v>15</v>
      </c>
      <c r="D2950" t="s">
        <v>16</v>
      </c>
      <c r="E2950">
        <v>0</v>
      </c>
    </row>
    <row r="2951" spans="3:5">
      <c r="C2951" t="s">
        <v>17</v>
      </c>
      <c r="D2951" t="s">
        <v>18</v>
      </c>
      <c r="E2951">
        <v>0</v>
      </c>
    </row>
    <row r="2952" spans="3:5">
      <c r="C2952" t="s">
        <v>17</v>
      </c>
      <c r="D2952" t="s">
        <v>18</v>
      </c>
      <c r="E2952">
        <v>0</v>
      </c>
    </row>
    <row r="2953" spans="3:5">
      <c r="C2953" t="s">
        <v>15</v>
      </c>
      <c r="D2953" t="s">
        <v>16</v>
      </c>
      <c r="E2953">
        <v>0</v>
      </c>
    </row>
    <row r="2954" spans="3:5">
      <c r="C2954" t="s">
        <v>17</v>
      </c>
      <c r="D2954" t="s">
        <v>18</v>
      </c>
      <c r="E2954">
        <v>0</v>
      </c>
    </row>
    <row r="2955" spans="3:5">
      <c r="C2955" t="s">
        <v>15</v>
      </c>
      <c r="D2955" t="s">
        <v>16</v>
      </c>
      <c r="E2955">
        <v>0</v>
      </c>
    </row>
    <row r="2956" spans="3:5">
      <c r="C2956" t="s">
        <v>15</v>
      </c>
      <c r="D2956" t="s">
        <v>16</v>
      </c>
      <c r="E2956">
        <v>0</v>
      </c>
    </row>
    <row r="2957" spans="3:5">
      <c r="C2957" t="s">
        <v>15</v>
      </c>
      <c r="D2957" t="s">
        <v>16</v>
      </c>
      <c r="E2957">
        <v>1</v>
      </c>
    </row>
    <row r="2958" spans="3:5">
      <c r="C2958" t="s">
        <v>17</v>
      </c>
      <c r="D2958" t="s">
        <v>18</v>
      </c>
      <c r="E2958">
        <v>0</v>
      </c>
    </row>
    <row r="2959" spans="3:5">
      <c r="C2959" t="s">
        <v>15</v>
      </c>
      <c r="D2959" t="s">
        <v>16</v>
      </c>
      <c r="E2959">
        <v>0</v>
      </c>
    </row>
    <row r="2960" spans="3:5">
      <c r="C2960" t="s">
        <v>15</v>
      </c>
      <c r="D2960" t="s">
        <v>16</v>
      </c>
      <c r="E2960">
        <v>0</v>
      </c>
    </row>
    <row r="2961" spans="3:5">
      <c r="C2961" t="s">
        <v>17</v>
      </c>
      <c r="D2961" t="s">
        <v>18</v>
      </c>
      <c r="E2961">
        <v>0</v>
      </c>
    </row>
    <row r="2962" spans="3:5">
      <c r="C2962" t="s">
        <v>15</v>
      </c>
      <c r="D2962" t="s">
        <v>16</v>
      </c>
      <c r="E2962">
        <v>0</v>
      </c>
    </row>
    <row r="2963" spans="3:5">
      <c r="C2963" t="s">
        <v>15</v>
      </c>
      <c r="D2963" t="s">
        <v>16</v>
      </c>
      <c r="E2963">
        <v>0</v>
      </c>
    </row>
    <row r="2964" spans="3:5">
      <c r="C2964" t="s">
        <v>17</v>
      </c>
      <c r="D2964" t="s">
        <v>18</v>
      </c>
      <c r="E2964">
        <v>0</v>
      </c>
    </row>
    <row r="2965" spans="3:5">
      <c r="C2965" t="s">
        <v>17</v>
      </c>
      <c r="D2965" t="s">
        <v>18</v>
      </c>
      <c r="E2965">
        <v>0</v>
      </c>
    </row>
    <row r="2966" spans="3:5">
      <c r="C2966" t="s">
        <v>17</v>
      </c>
      <c r="D2966" t="s">
        <v>18</v>
      </c>
      <c r="E2966">
        <v>0</v>
      </c>
    </row>
    <row r="2967" spans="3:5">
      <c r="C2967" t="s">
        <v>17</v>
      </c>
      <c r="D2967" t="s">
        <v>18</v>
      </c>
      <c r="E2967">
        <v>0</v>
      </c>
    </row>
    <row r="2968" spans="3:5">
      <c r="C2968" t="s">
        <v>17</v>
      </c>
      <c r="D2968" t="s">
        <v>18</v>
      </c>
      <c r="E2968">
        <v>0</v>
      </c>
    </row>
    <row r="2969" spans="3:5">
      <c r="C2969" t="s">
        <v>15</v>
      </c>
      <c r="D2969" t="s">
        <v>16</v>
      </c>
      <c r="E2969">
        <v>0</v>
      </c>
    </row>
    <row r="2970" spans="3:5">
      <c r="C2970" t="s">
        <v>17</v>
      </c>
      <c r="D2970" t="s">
        <v>18</v>
      </c>
      <c r="E2970">
        <v>1</v>
      </c>
    </row>
    <row r="2971" spans="3:5">
      <c r="C2971" t="s">
        <v>15</v>
      </c>
      <c r="D2971" t="s">
        <v>16</v>
      </c>
      <c r="E2971">
        <v>0</v>
      </c>
    </row>
    <row r="2972" spans="3:5">
      <c r="C2972" t="s">
        <v>17</v>
      </c>
      <c r="D2972" t="s">
        <v>18</v>
      </c>
      <c r="E2972">
        <v>0</v>
      </c>
    </row>
    <row r="2973" spans="3:5">
      <c r="C2973" t="s">
        <v>15</v>
      </c>
      <c r="D2973" t="s">
        <v>16</v>
      </c>
      <c r="E2973">
        <v>0</v>
      </c>
    </row>
    <row r="2974" spans="3:5">
      <c r="C2974" t="s">
        <v>17</v>
      </c>
      <c r="D2974" t="s">
        <v>18</v>
      </c>
      <c r="E2974">
        <v>0</v>
      </c>
    </row>
    <row r="2975" spans="3:5">
      <c r="C2975" t="s">
        <v>15</v>
      </c>
      <c r="D2975" t="s">
        <v>16</v>
      </c>
      <c r="E2975">
        <v>0</v>
      </c>
    </row>
    <row r="2976" spans="3:5">
      <c r="C2976" t="s">
        <v>15</v>
      </c>
      <c r="D2976" t="s">
        <v>16</v>
      </c>
      <c r="E2976">
        <v>0</v>
      </c>
    </row>
    <row r="2977" spans="3:5">
      <c r="C2977" t="s">
        <v>17</v>
      </c>
      <c r="D2977" t="s">
        <v>18</v>
      </c>
      <c r="E2977">
        <v>0</v>
      </c>
    </row>
    <row r="2978" spans="3:5">
      <c r="C2978" t="s">
        <v>15</v>
      </c>
      <c r="D2978" t="s">
        <v>16</v>
      </c>
      <c r="E2978">
        <v>0</v>
      </c>
    </row>
    <row r="2979" spans="3:5">
      <c r="C2979" t="s">
        <v>17</v>
      </c>
      <c r="D2979" t="s">
        <v>18</v>
      </c>
      <c r="E2979">
        <v>0</v>
      </c>
    </row>
    <row r="2980" spans="3:5">
      <c r="C2980" t="s">
        <v>17</v>
      </c>
      <c r="D2980" t="s">
        <v>18</v>
      </c>
      <c r="E2980">
        <v>0</v>
      </c>
    </row>
    <row r="2981" spans="3:5">
      <c r="C2981" t="s">
        <v>15</v>
      </c>
      <c r="D2981" t="s">
        <v>16</v>
      </c>
      <c r="E2981">
        <v>0</v>
      </c>
    </row>
    <row r="2982" spans="3:5">
      <c r="C2982" t="s">
        <v>15</v>
      </c>
      <c r="D2982" t="s">
        <v>16</v>
      </c>
      <c r="E2982">
        <v>0</v>
      </c>
    </row>
    <row r="2983" spans="3:5">
      <c r="C2983" t="s">
        <v>15</v>
      </c>
      <c r="D2983" t="s">
        <v>16</v>
      </c>
      <c r="E2983">
        <v>0</v>
      </c>
    </row>
    <row r="2984" spans="3:5">
      <c r="C2984" t="s">
        <v>17</v>
      </c>
      <c r="D2984" t="s">
        <v>18</v>
      </c>
      <c r="E2984">
        <v>0</v>
      </c>
    </row>
    <row r="2985" spans="3:5">
      <c r="C2985" t="s">
        <v>15</v>
      </c>
      <c r="D2985" t="s">
        <v>16</v>
      </c>
      <c r="E2985">
        <v>0</v>
      </c>
    </row>
    <row r="2986" spans="3:5">
      <c r="C2986" t="s">
        <v>17</v>
      </c>
      <c r="D2986" t="s">
        <v>18</v>
      </c>
      <c r="E2986">
        <v>0</v>
      </c>
    </row>
    <row r="2987" spans="3:5">
      <c r="C2987" t="s">
        <v>17</v>
      </c>
      <c r="D2987" t="s">
        <v>18</v>
      </c>
      <c r="E2987">
        <v>0</v>
      </c>
    </row>
    <row r="2988" spans="3:5">
      <c r="C2988" t="s">
        <v>15</v>
      </c>
      <c r="D2988" t="s">
        <v>16</v>
      </c>
      <c r="E2988">
        <v>0</v>
      </c>
    </row>
    <row r="2989" spans="3:5">
      <c r="C2989" t="s">
        <v>15</v>
      </c>
      <c r="D2989" t="s">
        <v>16</v>
      </c>
      <c r="E2989">
        <v>0</v>
      </c>
    </row>
    <row r="2990" spans="3:5">
      <c r="C2990" t="s">
        <v>15</v>
      </c>
      <c r="D2990" t="s">
        <v>16</v>
      </c>
      <c r="E2990">
        <v>0</v>
      </c>
    </row>
    <row r="2991" spans="3:5">
      <c r="C2991" t="s">
        <v>15</v>
      </c>
      <c r="D2991" t="s">
        <v>16</v>
      </c>
      <c r="E2991">
        <v>0</v>
      </c>
    </row>
    <row r="2992" spans="3:5">
      <c r="C2992" t="s">
        <v>17</v>
      </c>
      <c r="D2992" t="s">
        <v>18</v>
      </c>
      <c r="E2992">
        <v>0</v>
      </c>
    </row>
    <row r="2993" spans="3:5">
      <c r="C2993" t="s">
        <v>15</v>
      </c>
      <c r="D2993" t="s">
        <v>16</v>
      </c>
      <c r="E2993">
        <v>0</v>
      </c>
    </row>
    <row r="2994" spans="3:5">
      <c r="C2994" t="s">
        <v>17</v>
      </c>
      <c r="D2994" t="s">
        <v>18</v>
      </c>
      <c r="E2994">
        <v>0</v>
      </c>
    </row>
    <row r="2995" spans="3:5">
      <c r="C2995" t="s">
        <v>17</v>
      </c>
      <c r="D2995" t="s">
        <v>18</v>
      </c>
      <c r="E2995">
        <v>0</v>
      </c>
    </row>
    <row r="2996" spans="3:5">
      <c r="C2996" t="s">
        <v>17</v>
      </c>
      <c r="D2996" t="s">
        <v>18</v>
      </c>
      <c r="E2996">
        <v>0</v>
      </c>
    </row>
    <row r="2997" spans="3:5">
      <c r="C2997" t="s">
        <v>15</v>
      </c>
      <c r="D2997" t="s">
        <v>16</v>
      </c>
      <c r="E2997">
        <v>0</v>
      </c>
    </row>
    <row r="2998" spans="3:5">
      <c r="C2998" t="s">
        <v>17</v>
      </c>
      <c r="D2998" t="s">
        <v>18</v>
      </c>
      <c r="E2998">
        <v>0</v>
      </c>
    </row>
    <row r="2999" spans="3:5">
      <c r="C2999" t="s">
        <v>15</v>
      </c>
      <c r="D2999" t="s">
        <v>16</v>
      </c>
      <c r="E2999">
        <v>0</v>
      </c>
    </row>
    <row r="3000" spans="3:5">
      <c r="C3000" t="s">
        <v>15</v>
      </c>
      <c r="D3000" t="s">
        <v>16</v>
      </c>
      <c r="E3000">
        <v>0</v>
      </c>
    </row>
    <row r="3001" spans="3:5">
      <c r="C3001" t="s">
        <v>17</v>
      </c>
      <c r="D3001" t="s">
        <v>18</v>
      </c>
      <c r="E3001">
        <v>0</v>
      </c>
    </row>
    <row r="3002" spans="3:5">
      <c r="C3002" t="s">
        <v>17</v>
      </c>
      <c r="D3002" t="s">
        <v>18</v>
      </c>
      <c r="E3002">
        <v>0</v>
      </c>
    </row>
    <row r="3003" spans="3:5">
      <c r="C3003" t="s">
        <v>17</v>
      </c>
      <c r="D3003" t="s">
        <v>18</v>
      </c>
      <c r="E3003">
        <v>0</v>
      </c>
    </row>
    <row r="3004" spans="3:5">
      <c r="C3004" t="s">
        <v>17</v>
      </c>
      <c r="D3004" t="s">
        <v>18</v>
      </c>
      <c r="E3004">
        <v>1</v>
      </c>
    </row>
    <row r="3005" spans="3:5">
      <c r="C3005" t="s">
        <v>15</v>
      </c>
      <c r="D3005" t="s">
        <v>16</v>
      </c>
      <c r="E3005">
        <v>0</v>
      </c>
    </row>
    <row r="3006" spans="3:5">
      <c r="C3006" t="s">
        <v>17</v>
      </c>
      <c r="D3006" t="s">
        <v>18</v>
      </c>
      <c r="E3006">
        <v>0</v>
      </c>
    </row>
    <row r="3007" spans="3:5">
      <c r="C3007" t="s">
        <v>17</v>
      </c>
      <c r="D3007" t="s">
        <v>18</v>
      </c>
      <c r="E3007">
        <v>0</v>
      </c>
    </row>
    <row r="3008" spans="3:5">
      <c r="C3008" t="s">
        <v>17</v>
      </c>
      <c r="D3008" t="s">
        <v>18</v>
      </c>
      <c r="E3008">
        <v>0</v>
      </c>
    </row>
    <row r="3009" spans="3:5">
      <c r="C3009" t="s">
        <v>15</v>
      </c>
      <c r="D3009" t="s">
        <v>16</v>
      </c>
      <c r="E3009">
        <v>0</v>
      </c>
    </row>
    <row r="3010" spans="3:5">
      <c r="C3010" t="s">
        <v>17</v>
      </c>
      <c r="D3010" t="s">
        <v>18</v>
      </c>
      <c r="E3010">
        <v>0</v>
      </c>
    </row>
    <row r="3011" spans="3:5">
      <c r="C3011" t="s">
        <v>17</v>
      </c>
      <c r="D3011" t="s">
        <v>18</v>
      </c>
      <c r="E3011">
        <v>0</v>
      </c>
    </row>
    <row r="3012" spans="3:5">
      <c r="C3012" t="s">
        <v>17</v>
      </c>
      <c r="D3012" t="s">
        <v>18</v>
      </c>
      <c r="E3012">
        <v>0</v>
      </c>
    </row>
    <row r="3013" spans="3:5">
      <c r="C3013" t="s">
        <v>17</v>
      </c>
      <c r="D3013" t="s">
        <v>18</v>
      </c>
      <c r="E3013">
        <v>0</v>
      </c>
    </row>
    <row r="3014" spans="3:5">
      <c r="C3014" t="s">
        <v>17</v>
      </c>
      <c r="D3014" t="s">
        <v>18</v>
      </c>
      <c r="E3014">
        <v>0</v>
      </c>
    </row>
    <row r="3015" spans="3:5">
      <c r="C3015" t="s">
        <v>17</v>
      </c>
      <c r="D3015" t="s">
        <v>18</v>
      </c>
      <c r="E3015">
        <v>0</v>
      </c>
    </row>
    <row r="3016" spans="3:5">
      <c r="C3016" t="s">
        <v>15</v>
      </c>
      <c r="D3016" t="s">
        <v>16</v>
      </c>
      <c r="E3016">
        <v>0</v>
      </c>
    </row>
    <row r="3017" spans="3:5">
      <c r="C3017" t="s">
        <v>15</v>
      </c>
      <c r="D3017" t="s">
        <v>16</v>
      </c>
      <c r="E3017">
        <v>0</v>
      </c>
    </row>
    <row r="3018" spans="3:5">
      <c r="C3018" t="s">
        <v>15</v>
      </c>
      <c r="D3018" t="s">
        <v>16</v>
      </c>
      <c r="E3018">
        <v>0</v>
      </c>
    </row>
    <row r="3019" spans="3:5">
      <c r="C3019" t="s">
        <v>15</v>
      </c>
      <c r="D3019" t="s">
        <v>16</v>
      </c>
      <c r="E3019">
        <v>0</v>
      </c>
    </row>
    <row r="3020" spans="3:5">
      <c r="C3020" t="s">
        <v>15</v>
      </c>
      <c r="D3020" t="s">
        <v>16</v>
      </c>
      <c r="E3020">
        <v>0</v>
      </c>
    </row>
    <row r="3021" spans="3:5">
      <c r="C3021" t="s">
        <v>17</v>
      </c>
      <c r="D3021" t="s">
        <v>18</v>
      </c>
      <c r="E3021">
        <v>0</v>
      </c>
    </row>
    <row r="3022" spans="3:5">
      <c r="C3022" t="s">
        <v>17</v>
      </c>
      <c r="D3022" t="s">
        <v>18</v>
      </c>
      <c r="E3022">
        <v>0</v>
      </c>
    </row>
    <row r="3023" spans="3:5">
      <c r="C3023" t="s">
        <v>17</v>
      </c>
      <c r="D3023" t="s">
        <v>18</v>
      </c>
      <c r="E3023">
        <v>0</v>
      </c>
    </row>
    <row r="3024" spans="3:5">
      <c r="C3024" t="s">
        <v>17</v>
      </c>
      <c r="D3024" t="s">
        <v>18</v>
      </c>
      <c r="E3024">
        <v>0</v>
      </c>
    </row>
    <row r="3025" spans="3:5">
      <c r="C3025" t="s">
        <v>17</v>
      </c>
      <c r="D3025" t="s">
        <v>18</v>
      </c>
      <c r="E3025">
        <v>0</v>
      </c>
    </row>
    <row r="3026" spans="3:5">
      <c r="C3026" t="s">
        <v>15</v>
      </c>
      <c r="D3026" t="s">
        <v>16</v>
      </c>
      <c r="E3026">
        <v>0</v>
      </c>
    </row>
    <row r="3027" spans="3:5">
      <c r="C3027" t="s">
        <v>17</v>
      </c>
      <c r="D3027" t="s">
        <v>18</v>
      </c>
      <c r="E3027">
        <v>0</v>
      </c>
    </row>
    <row r="3028" spans="3:5">
      <c r="C3028" t="s">
        <v>17</v>
      </c>
      <c r="D3028" t="s">
        <v>18</v>
      </c>
      <c r="E3028">
        <v>0</v>
      </c>
    </row>
    <row r="3029" spans="3:5">
      <c r="C3029" t="s">
        <v>17</v>
      </c>
      <c r="D3029" t="s">
        <v>18</v>
      </c>
      <c r="E3029">
        <v>0</v>
      </c>
    </row>
    <row r="3030" spans="3:5">
      <c r="C3030" t="s">
        <v>15</v>
      </c>
      <c r="D3030" t="s">
        <v>16</v>
      </c>
      <c r="E3030">
        <v>0</v>
      </c>
    </row>
    <row r="3031" spans="3:5">
      <c r="C3031" t="s">
        <v>17</v>
      </c>
      <c r="D3031" t="s">
        <v>18</v>
      </c>
      <c r="E3031">
        <v>0</v>
      </c>
    </row>
    <row r="3032" spans="3:5">
      <c r="C3032" t="s">
        <v>15</v>
      </c>
      <c r="D3032" t="s">
        <v>16</v>
      </c>
      <c r="E3032">
        <v>0</v>
      </c>
    </row>
    <row r="3033" spans="3:5">
      <c r="C3033" t="s">
        <v>15</v>
      </c>
      <c r="D3033" t="s">
        <v>16</v>
      </c>
      <c r="E3033">
        <v>0</v>
      </c>
    </row>
    <row r="3034" spans="3:5">
      <c r="C3034" t="s">
        <v>15</v>
      </c>
      <c r="D3034" t="s">
        <v>16</v>
      </c>
      <c r="E3034">
        <v>0</v>
      </c>
    </row>
    <row r="3035" spans="3:5">
      <c r="C3035" t="s">
        <v>17</v>
      </c>
      <c r="D3035" t="s">
        <v>18</v>
      </c>
      <c r="E3035">
        <v>0</v>
      </c>
    </row>
    <row r="3036" spans="3:5">
      <c r="C3036" t="s">
        <v>17</v>
      </c>
      <c r="D3036" t="s">
        <v>18</v>
      </c>
      <c r="E3036">
        <v>0</v>
      </c>
    </row>
    <row r="3037" spans="3:5">
      <c r="C3037" t="s">
        <v>15</v>
      </c>
      <c r="D3037" t="s">
        <v>16</v>
      </c>
      <c r="E3037">
        <v>0</v>
      </c>
    </row>
    <row r="3038" spans="3:5">
      <c r="C3038" t="s">
        <v>17</v>
      </c>
      <c r="D3038" t="s">
        <v>18</v>
      </c>
      <c r="E3038">
        <v>0</v>
      </c>
    </row>
    <row r="3039" spans="3:5">
      <c r="C3039" t="s">
        <v>15</v>
      </c>
      <c r="D3039" t="s">
        <v>16</v>
      </c>
      <c r="E3039">
        <v>0</v>
      </c>
    </row>
    <row r="3040" spans="3:5">
      <c r="C3040" t="s">
        <v>17</v>
      </c>
      <c r="D3040" t="s">
        <v>18</v>
      </c>
      <c r="E3040">
        <v>0</v>
      </c>
    </row>
    <row r="3041" spans="3:5">
      <c r="C3041" t="s">
        <v>17</v>
      </c>
      <c r="D3041" t="s">
        <v>18</v>
      </c>
      <c r="E3041">
        <v>0</v>
      </c>
    </row>
    <row r="3042" spans="3:5">
      <c r="C3042" t="s">
        <v>17</v>
      </c>
      <c r="D3042" t="s">
        <v>18</v>
      </c>
      <c r="E3042">
        <v>0</v>
      </c>
    </row>
    <row r="3043" spans="3:5">
      <c r="C3043" t="s">
        <v>15</v>
      </c>
      <c r="D3043" t="s">
        <v>16</v>
      </c>
      <c r="E3043">
        <v>0</v>
      </c>
    </row>
    <row r="3044" spans="3:5">
      <c r="C3044" t="s">
        <v>15</v>
      </c>
      <c r="D3044" t="s">
        <v>16</v>
      </c>
      <c r="E3044">
        <v>0</v>
      </c>
    </row>
    <row r="3045" spans="3:5">
      <c r="C3045" t="s">
        <v>15</v>
      </c>
      <c r="D3045" t="s">
        <v>16</v>
      </c>
      <c r="E3045">
        <v>0</v>
      </c>
    </row>
    <row r="3046" spans="3:5">
      <c r="C3046" t="s">
        <v>15</v>
      </c>
      <c r="D3046" t="s">
        <v>16</v>
      </c>
      <c r="E3046">
        <v>0</v>
      </c>
    </row>
    <row r="3047" spans="3:5">
      <c r="C3047" t="s">
        <v>17</v>
      </c>
      <c r="D3047" t="s">
        <v>18</v>
      </c>
      <c r="E3047">
        <v>0</v>
      </c>
    </row>
    <row r="3048" spans="3:5">
      <c r="C3048" t="s">
        <v>15</v>
      </c>
      <c r="D3048" t="s">
        <v>16</v>
      </c>
      <c r="E3048">
        <v>0</v>
      </c>
    </row>
    <row r="3049" spans="3:5">
      <c r="C3049" t="s">
        <v>15</v>
      </c>
      <c r="D3049" t="s">
        <v>16</v>
      </c>
      <c r="E3049">
        <v>0</v>
      </c>
    </row>
    <row r="3050" spans="3:5">
      <c r="C3050" t="s">
        <v>17</v>
      </c>
      <c r="D3050" t="s">
        <v>18</v>
      </c>
      <c r="E3050">
        <v>0</v>
      </c>
    </row>
    <row r="3051" spans="3:5">
      <c r="C3051" t="s">
        <v>17</v>
      </c>
      <c r="D3051" t="s">
        <v>18</v>
      </c>
      <c r="E3051">
        <v>0</v>
      </c>
    </row>
    <row r="3052" spans="3:5">
      <c r="C3052" t="s">
        <v>17</v>
      </c>
      <c r="D3052" t="s">
        <v>18</v>
      </c>
      <c r="E3052">
        <v>0</v>
      </c>
    </row>
    <row r="3053" spans="3:5">
      <c r="C3053" t="s">
        <v>17</v>
      </c>
      <c r="D3053" t="s">
        <v>18</v>
      </c>
      <c r="E3053">
        <v>0</v>
      </c>
    </row>
    <row r="3054" spans="3:5">
      <c r="C3054" t="s">
        <v>17</v>
      </c>
      <c r="D3054" t="s">
        <v>18</v>
      </c>
      <c r="E3054">
        <v>0</v>
      </c>
    </row>
    <row r="3055" spans="3:5">
      <c r="C3055" t="s">
        <v>17</v>
      </c>
      <c r="D3055" t="s">
        <v>18</v>
      </c>
      <c r="E3055">
        <v>0</v>
      </c>
    </row>
    <row r="3056" spans="3:5">
      <c r="C3056" t="s">
        <v>17</v>
      </c>
      <c r="D3056" t="s">
        <v>18</v>
      </c>
      <c r="E3056">
        <v>0</v>
      </c>
    </row>
    <row r="3057" spans="3:5">
      <c r="C3057" t="s">
        <v>15</v>
      </c>
      <c r="D3057" t="s">
        <v>16</v>
      </c>
      <c r="E3057">
        <v>0</v>
      </c>
    </row>
    <row r="3058" spans="3:5">
      <c r="C3058" t="s">
        <v>17</v>
      </c>
      <c r="D3058" t="s">
        <v>18</v>
      </c>
      <c r="E3058">
        <v>0</v>
      </c>
    </row>
    <row r="3059" spans="3:5">
      <c r="C3059" t="s">
        <v>15</v>
      </c>
      <c r="D3059" t="s">
        <v>16</v>
      </c>
      <c r="E3059">
        <v>0</v>
      </c>
    </row>
    <row r="3060" spans="3:5">
      <c r="C3060" t="s">
        <v>15</v>
      </c>
      <c r="D3060" t="s">
        <v>16</v>
      </c>
      <c r="E3060">
        <v>0</v>
      </c>
    </row>
    <row r="3061" spans="3:5">
      <c r="C3061" t="s">
        <v>15</v>
      </c>
      <c r="D3061" t="s">
        <v>16</v>
      </c>
      <c r="E3061">
        <v>0</v>
      </c>
    </row>
    <row r="3062" spans="3:5">
      <c r="C3062" t="s">
        <v>17</v>
      </c>
      <c r="D3062" t="s">
        <v>18</v>
      </c>
      <c r="E3062">
        <v>0</v>
      </c>
    </row>
    <row r="3063" spans="3:5">
      <c r="C3063" t="s">
        <v>15</v>
      </c>
      <c r="D3063" t="s">
        <v>16</v>
      </c>
      <c r="E3063">
        <v>0</v>
      </c>
    </row>
    <row r="3064" spans="3:5">
      <c r="C3064" t="s">
        <v>17</v>
      </c>
      <c r="D3064" t="s">
        <v>18</v>
      </c>
      <c r="E3064">
        <v>0</v>
      </c>
    </row>
    <row r="3065" spans="3:5">
      <c r="C3065" t="s">
        <v>15</v>
      </c>
      <c r="D3065" t="s">
        <v>16</v>
      </c>
      <c r="E3065">
        <v>0</v>
      </c>
    </row>
    <row r="3066" spans="3:5">
      <c r="C3066" t="s">
        <v>15</v>
      </c>
      <c r="D3066" t="s">
        <v>16</v>
      </c>
      <c r="E3066">
        <v>0</v>
      </c>
    </row>
    <row r="3067" spans="3:5">
      <c r="C3067" t="s">
        <v>15</v>
      </c>
      <c r="D3067" t="s">
        <v>16</v>
      </c>
      <c r="E3067">
        <v>0</v>
      </c>
    </row>
    <row r="3068" spans="3:5">
      <c r="C3068" t="s">
        <v>15</v>
      </c>
      <c r="D3068" t="s">
        <v>16</v>
      </c>
      <c r="E3068">
        <v>0</v>
      </c>
    </row>
    <row r="3069" spans="3:5">
      <c r="C3069" t="s">
        <v>15</v>
      </c>
      <c r="D3069" t="s">
        <v>16</v>
      </c>
      <c r="E3069">
        <v>0</v>
      </c>
    </row>
    <row r="3070" spans="3:5">
      <c r="C3070" t="s">
        <v>15</v>
      </c>
      <c r="D3070" t="s">
        <v>16</v>
      </c>
      <c r="E3070">
        <v>0</v>
      </c>
    </row>
    <row r="3071" spans="3:5">
      <c r="C3071" t="s">
        <v>15</v>
      </c>
      <c r="D3071" t="s">
        <v>16</v>
      </c>
      <c r="E3071">
        <v>0</v>
      </c>
    </row>
    <row r="3072" spans="3:5">
      <c r="C3072" t="s">
        <v>17</v>
      </c>
      <c r="D3072" t="s">
        <v>18</v>
      </c>
      <c r="E3072">
        <v>0</v>
      </c>
    </row>
    <row r="3073" spans="3:5">
      <c r="C3073" t="s">
        <v>17</v>
      </c>
      <c r="D3073" t="s">
        <v>18</v>
      </c>
      <c r="E3073">
        <v>0</v>
      </c>
    </row>
    <row r="3074" spans="3:5">
      <c r="C3074" t="s">
        <v>17</v>
      </c>
      <c r="D3074" t="s">
        <v>18</v>
      </c>
      <c r="E3074">
        <v>0</v>
      </c>
    </row>
    <row r="3075" spans="3:5">
      <c r="C3075" t="s">
        <v>17</v>
      </c>
      <c r="D3075" t="s">
        <v>18</v>
      </c>
      <c r="E3075">
        <v>0</v>
      </c>
    </row>
    <row r="3076" spans="3:5">
      <c r="C3076" t="s">
        <v>17</v>
      </c>
      <c r="D3076" t="s">
        <v>18</v>
      </c>
      <c r="E3076">
        <v>0</v>
      </c>
    </row>
    <row r="3077" spans="3:5">
      <c r="C3077" t="s">
        <v>15</v>
      </c>
      <c r="D3077" t="s">
        <v>16</v>
      </c>
      <c r="E3077">
        <v>0</v>
      </c>
    </row>
    <row r="3078" spans="3:5">
      <c r="C3078" t="s">
        <v>17</v>
      </c>
      <c r="D3078" t="s">
        <v>18</v>
      </c>
      <c r="E3078">
        <v>0</v>
      </c>
    </row>
    <row r="3079" spans="3:5">
      <c r="C3079" t="s">
        <v>15</v>
      </c>
      <c r="D3079" t="s">
        <v>16</v>
      </c>
      <c r="E3079">
        <v>0</v>
      </c>
    </row>
    <row r="3080" spans="3:5">
      <c r="C3080" t="s">
        <v>17</v>
      </c>
      <c r="D3080" t="s">
        <v>18</v>
      </c>
      <c r="E3080">
        <v>0</v>
      </c>
    </row>
    <row r="3081" spans="3:5">
      <c r="C3081" t="s">
        <v>17</v>
      </c>
      <c r="D3081" t="s">
        <v>18</v>
      </c>
      <c r="E3081">
        <v>0</v>
      </c>
    </row>
    <row r="3082" spans="3:5">
      <c r="C3082" t="s">
        <v>15</v>
      </c>
      <c r="D3082" t="s">
        <v>16</v>
      </c>
      <c r="E3082">
        <v>0</v>
      </c>
    </row>
    <row r="3083" spans="3:5">
      <c r="C3083" t="s">
        <v>15</v>
      </c>
      <c r="D3083" t="s">
        <v>16</v>
      </c>
      <c r="E3083">
        <v>0</v>
      </c>
    </row>
    <row r="3084" spans="3:5">
      <c r="C3084" t="s">
        <v>15</v>
      </c>
      <c r="D3084" t="s">
        <v>16</v>
      </c>
      <c r="E3084">
        <v>0</v>
      </c>
    </row>
    <row r="3085" spans="3:5">
      <c r="C3085" t="s">
        <v>15</v>
      </c>
      <c r="D3085" t="s">
        <v>16</v>
      </c>
      <c r="E3085">
        <v>0</v>
      </c>
    </row>
    <row r="3086" spans="3:5">
      <c r="C3086" t="s">
        <v>17</v>
      </c>
      <c r="D3086" t="s">
        <v>18</v>
      </c>
      <c r="E3086">
        <v>0</v>
      </c>
    </row>
    <row r="3087" spans="3:5">
      <c r="C3087" t="s">
        <v>15</v>
      </c>
      <c r="D3087" t="s">
        <v>16</v>
      </c>
      <c r="E3087">
        <v>0</v>
      </c>
    </row>
    <row r="3088" spans="3:5">
      <c r="C3088" t="s">
        <v>17</v>
      </c>
      <c r="D3088" t="s">
        <v>18</v>
      </c>
      <c r="E3088">
        <v>1</v>
      </c>
    </row>
    <row r="3089" spans="3:5">
      <c r="C3089" t="s">
        <v>15</v>
      </c>
      <c r="D3089" t="s">
        <v>16</v>
      </c>
      <c r="E3089">
        <v>0</v>
      </c>
    </row>
    <row r="3090" spans="3:5">
      <c r="C3090" t="s">
        <v>15</v>
      </c>
      <c r="D3090" t="s">
        <v>16</v>
      </c>
      <c r="E3090">
        <v>0</v>
      </c>
    </row>
    <row r="3091" spans="3:5">
      <c r="C3091" t="s">
        <v>17</v>
      </c>
      <c r="D3091" t="s">
        <v>18</v>
      </c>
      <c r="E3091">
        <v>0</v>
      </c>
    </row>
    <row r="3092" spans="3:5">
      <c r="C3092" t="s">
        <v>15</v>
      </c>
      <c r="D3092" t="s">
        <v>16</v>
      </c>
      <c r="E3092">
        <v>0</v>
      </c>
    </row>
    <row r="3093" spans="3:5">
      <c r="C3093" t="s">
        <v>17</v>
      </c>
      <c r="D3093" t="s">
        <v>18</v>
      </c>
      <c r="E3093">
        <v>0</v>
      </c>
    </row>
    <row r="3094" spans="3:5">
      <c r="C3094" t="s">
        <v>17</v>
      </c>
      <c r="D3094" t="s">
        <v>18</v>
      </c>
      <c r="E3094">
        <v>0</v>
      </c>
    </row>
    <row r="3095" spans="3:5">
      <c r="C3095" t="s">
        <v>15</v>
      </c>
      <c r="D3095" t="s">
        <v>16</v>
      </c>
      <c r="E3095">
        <v>0</v>
      </c>
    </row>
    <row r="3096" spans="3:5">
      <c r="C3096" t="s">
        <v>17</v>
      </c>
      <c r="D3096" t="s">
        <v>18</v>
      </c>
      <c r="E3096">
        <v>0</v>
      </c>
    </row>
    <row r="3097" spans="3:5">
      <c r="C3097" t="s">
        <v>17</v>
      </c>
      <c r="D3097" t="s">
        <v>18</v>
      </c>
      <c r="E3097">
        <v>0</v>
      </c>
    </row>
    <row r="3098" spans="3:5">
      <c r="C3098" t="s">
        <v>17</v>
      </c>
      <c r="D3098" t="s">
        <v>18</v>
      </c>
      <c r="E3098">
        <v>0</v>
      </c>
    </row>
    <row r="3099" spans="3:5">
      <c r="C3099" t="s">
        <v>15</v>
      </c>
      <c r="D3099" t="s">
        <v>16</v>
      </c>
      <c r="E3099">
        <v>0</v>
      </c>
    </row>
    <row r="3100" spans="3:5">
      <c r="C3100" t="s">
        <v>15</v>
      </c>
      <c r="D3100" t="s">
        <v>16</v>
      </c>
      <c r="E3100">
        <v>0</v>
      </c>
    </row>
    <row r="3101" spans="3:5">
      <c r="C3101" t="s">
        <v>15</v>
      </c>
      <c r="D3101" t="s">
        <v>16</v>
      </c>
      <c r="E3101">
        <v>0</v>
      </c>
    </row>
    <row r="3102" spans="3:5">
      <c r="C3102" t="s">
        <v>17</v>
      </c>
      <c r="D3102" t="s">
        <v>18</v>
      </c>
      <c r="E3102">
        <v>0</v>
      </c>
    </row>
    <row r="3103" spans="3:5">
      <c r="C3103" t="s">
        <v>15</v>
      </c>
      <c r="D3103" t="s">
        <v>16</v>
      </c>
      <c r="E3103">
        <v>0</v>
      </c>
    </row>
    <row r="3104" spans="3:5">
      <c r="C3104" t="s">
        <v>15</v>
      </c>
      <c r="D3104" t="s">
        <v>16</v>
      </c>
      <c r="E3104">
        <v>0</v>
      </c>
    </row>
    <row r="3105" spans="3:5">
      <c r="C3105" t="s">
        <v>15</v>
      </c>
      <c r="D3105" t="s">
        <v>16</v>
      </c>
      <c r="E3105">
        <v>0</v>
      </c>
    </row>
    <row r="3106" spans="3:5">
      <c r="C3106" t="s">
        <v>17</v>
      </c>
      <c r="D3106" t="s">
        <v>18</v>
      </c>
      <c r="E3106">
        <v>0</v>
      </c>
    </row>
    <row r="3107" spans="3:5">
      <c r="C3107" t="s">
        <v>17</v>
      </c>
      <c r="D3107" t="s">
        <v>18</v>
      </c>
      <c r="E3107">
        <v>0</v>
      </c>
    </row>
    <row r="3108" spans="3:5">
      <c r="C3108" t="s">
        <v>17</v>
      </c>
      <c r="D3108" t="s">
        <v>18</v>
      </c>
      <c r="E3108">
        <v>0</v>
      </c>
    </row>
    <row r="3109" spans="3:5">
      <c r="C3109" t="s">
        <v>17</v>
      </c>
      <c r="D3109" t="s">
        <v>18</v>
      </c>
      <c r="E3109">
        <v>0</v>
      </c>
    </row>
    <row r="3110" spans="3:5">
      <c r="C3110" t="s">
        <v>17</v>
      </c>
      <c r="D3110" t="s">
        <v>18</v>
      </c>
      <c r="E3110">
        <v>0</v>
      </c>
    </row>
    <row r="3111" spans="3:5">
      <c r="C3111" t="s">
        <v>15</v>
      </c>
      <c r="D3111" t="s">
        <v>16</v>
      </c>
      <c r="E3111">
        <v>0</v>
      </c>
    </row>
    <row r="3112" spans="3:5">
      <c r="C3112" t="s">
        <v>15</v>
      </c>
      <c r="D3112" t="s">
        <v>16</v>
      </c>
      <c r="E3112">
        <v>0</v>
      </c>
    </row>
    <row r="3113" spans="3:5">
      <c r="C3113" t="s">
        <v>15</v>
      </c>
      <c r="D3113" t="s">
        <v>16</v>
      </c>
      <c r="E3113">
        <v>0</v>
      </c>
    </row>
    <row r="3114" spans="3:5">
      <c r="C3114" t="s">
        <v>17</v>
      </c>
      <c r="D3114" t="s">
        <v>18</v>
      </c>
      <c r="E3114">
        <v>0</v>
      </c>
    </row>
    <row r="3115" spans="3:5">
      <c r="C3115" t="s">
        <v>15</v>
      </c>
      <c r="D3115" t="s">
        <v>16</v>
      </c>
      <c r="E3115">
        <v>0</v>
      </c>
    </row>
    <row r="3116" spans="3:5">
      <c r="C3116" t="s">
        <v>15</v>
      </c>
      <c r="D3116" t="s">
        <v>16</v>
      </c>
      <c r="E3116">
        <v>0</v>
      </c>
    </row>
    <row r="3117" spans="3:5">
      <c r="C3117" t="s">
        <v>15</v>
      </c>
      <c r="D3117" t="s">
        <v>16</v>
      </c>
      <c r="E3117">
        <v>0</v>
      </c>
    </row>
    <row r="3118" spans="3:5">
      <c r="C3118" t="s">
        <v>17</v>
      </c>
      <c r="D3118" t="s">
        <v>18</v>
      </c>
      <c r="E3118">
        <v>0</v>
      </c>
    </row>
    <row r="3119" spans="3:5">
      <c r="C3119" t="s">
        <v>17</v>
      </c>
      <c r="D3119" t="s">
        <v>18</v>
      </c>
      <c r="E3119">
        <v>0</v>
      </c>
    </row>
    <row r="3120" spans="3:5">
      <c r="C3120" t="s">
        <v>15</v>
      </c>
      <c r="D3120" t="s">
        <v>16</v>
      </c>
      <c r="E3120">
        <v>0</v>
      </c>
    </row>
    <row r="3121" spans="3:5">
      <c r="C3121" t="s">
        <v>17</v>
      </c>
      <c r="D3121" t="s">
        <v>18</v>
      </c>
      <c r="E3121">
        <v>0</v>
      </c>
    </row>
    <row r="3122" spans="3:5">
      <c r="C3122" t="s">
        <v>17</v>
      </c>
      <c r="D3122" t="s">
        <v>18</v>
      </c>
      <c r="E3122">
        <v>0</v>
      </c>
    </row>
    <row r="3123" spans="3:5">
      <c r="C3123" t="s">
        <v>17</v>
      </c>
      <c r="D3123" t="s">
        <v>18</v>
      </c>
      <c r="E3123">
        <v>0</v>
      </c>
    </row>
    <row r="3124" spans="3:5">
      <c r="C3124" t="s">
        <v>15</v>
      </c>
      <c r="D3124" t="s">
        <v>16</v>
      </c>
      <c r="E3124">
        <v>0</v>
      </c>
    </row>
    <row r="3125" spans="3:5">
      <c r="C3125" t="s">
        <v>17</v>
      </c>
      <c r="D3125" t="s">
        <v>18</v>
      </c>
      <c r="E3125">
        <v>0</v>
      </c>
    </row>
    <row r="3126" spans="3:5">
      <c r="C3126" t="s">
        <v>15</v>
      </c>
      <c r="D3126" t="s">
        <v>16</v>
      </c>
      <c r="E3126">
        <v>0</v>
      </c>
    </row>
    <row r="3127" spans="3:5">
      <c r="C3127" t="s">
        <v>17</v>
      </c>
      <c r="D3127" t="s">
        <v>18</v>
      </c>
      <c r="E3127">
        <v>0</v>
      </c>
    </row>
    <row r="3128" spans="3:5">
      <c r="C3128" t="s">
        <v>17</v>
      </c>
      <c r="D3128" t="s">
        <v>18</v>
      </c>
      <c r="E3128">
        <v>0</v>
      </c>
    </row>
    <row r="3129" spans="3:5">
      <c r="C3129" t="s">
        <v>15</v>
      </c>
      <c r="D3129" t="s">
        <v>16</v>
      </c>
      <c r="E3129">
        <v>0</v>
      </c>
    </row>
    <row r="3130" spans="3:5">
      <c r="C3130" t="s">
        <v>17</v>
      </c>
      <c r="D3130" t="s">
        <v>18</v>
      </c>
      <c r="E3130">
        <v>0</v>
      </c>
    </row>
    <row r="3131" spans="3:5">
      <c r="C3131" t="s">
        <v>15</v>
      </c>
      <c r="D3131" t="s">
        <v>16</v>
      </c>
      <c r="E3131">
        <v>0</v>
      </c>
    </row>
    <row r="3132" spans="3:5">
      <c r="C3132" t="s">
        <v>15</v>
      </c>
      <c r="D3132" t="s">
        <v>16</v>
      </c>
      <c r="E3132">
        <v>0</v>
      </c>
    </row>
    <row r="3133" spans="3:5">
      <c r="C3133" t="s">
        <v>17</v>
      </c>
      <c r="D3133" t="s">
        <v>18</v>
      </c>
      <c r="E3133">
        <v>1</v>
      </c>
    </row>
    <row r="3134" spans="3:5">
      <c r="C3134" t="s">
        <v>17</v>
      </c>
      <c r="D3134" t="s">
        <v>18</v>
      </c>
      <c r="E3134">
        <v>0</v>
      </c>
    </row>
    <row r="3135" spans="3:5">
      <c r="C3135" t="s">
        <v>17</v>
      </c>
      <c r="D3135" t="s">
        <v>18</v>
      </c>
      <c r="E3135">
        <v>0</v>
      </c>
    </row>
    <row r="3136" spans="3:5">
      <c r="C3136" t="s">
        <v>17</v>
      </c>
      <c r="D3136" t="s">
        <v>18</v>
      </c>
      <c r="E3136">
        <v>1</v>
      </c>
    </row>
    <row r="3137" spans="3:5">
      <c r="C3137" t="s">
        <v>17</v>
      </c>
      <c r="D3137" t="s">
        <v>18</v>
      </c>
      <c r="E3137">
        <v>0</v>
      </c>
    </row>
    <row r="3138" spans="3:5">
      <c r="C3138" t="s">
        <v>17</v>
      </c>
      <c r="D3138" t="s">
        <v>18</v>
      </c>
      <c r="E3138">
        <v>1</v>
      </c>
    </row>
    <row r="3139" spans="3:5">
      <c r="C3139" t="s">
        <v>15</v>
      </c>
      <c r="D3139" t="s">
        <v>16</v>
      </c>
      <c r="E3139">
        <v>0</v>
      </c>
    </row>
    <row r="3140" spans="3:5">
      <c r="C3140" t="s">
        <v>15</v>
      </c>
      <c r="D3140" t="s">
        <v>16</v>
      </c>
      <c r="E3140">
        <v>0</v>
      </c>
    </row>
    <row r="3141" spans="3:5">
      <c r="C3141" t="s">
        <v>15</v>
      </c>
      <c r="D3141" t="s">
        <v>16</v>
      </c>
      <c r="E3141">
        <v>0</v>
      </c>
    </row>
    <row r="3142" spans="3:5">
      <c r="C3142" t="s">
        <v>17</v>
      </c>
      <c r="D3142" t="s">
        <v>18</v>
      </c>
      <c r="E3142">
        <v>0</v>
      </c>
    </row>
    <row r="3143" spans="3:5">
      <c r="C3143" t="s">
        <v>17</v>
      </c>
      <c r="D3143" t="s">
        <v>18</v>
      </c>
      <c r="E3143">
        <v>0</v>
      </c>
    </row>
    <row r="3144" spans="3:5">
      <c r="C3144" t="s">
        <v>17</v>
      </c>
      <c r="D3144" t="s">
        <v>18</v>
      </c>
      <c r="E3144">
        <v>0</v>
      </c>
    </row>
    <row r="3145" spans="3:5">
      <c r="C3145" t="s">
        <v>17</v>
      </c>
      <c r="D3145" t="s">
        <v>18</v>
      </c>
      <c r="E3145">
        <v>0</v>
      </c>
    </row>
    <row r="3146" spans="3:5">
      <c r="C3146" t="s">
        <v>15</v>
      </c>
      <c r="D3146" t="s">
        <v>16</v>
      </c>
      <c r="E3146">
        <v>0</v>
      </c>
    </row>
    <row r="3147" spans="3:5">
      <c r="C3147" t="s">
        <v>15</v>
      </c>
      <c r="D3147" t="s">
        <v>16</v>
      </c>
      <c r="E3147">
        <v>0</v>
      </c>
    </row>
    <row r="3148" spans="3:5">
      <c r="C3148" t="s">
        <v>15</v>
      </c>
      <c r="D3148" t="s">
        <v>16</v>
      </c>
      <c r="E3148">
        <v>0</v>
      </c>
    </row>
    <row r="3149" spans="3:5">
      <c r="C3149" t="s">
        <v>17</v>
      </c>
      <c r="D3149" t="s">
        <v>18</v>
      </c>
      <c r="E3149">
        <v>0</v>
      </c>
    </row>
    <row r="3150" spans="3:5">
      <c r="C3150" t="s">
        <v>17</v>
      </c>
      <c r="D3150" t="s">
        <v>18</v>
      </c>
      <c r="E3150">
        <v>0</v>
      </c>
    </row>
    <row r="3151" spans="3:5">
      <c r="C3151" t="s">
        <v>15</v>
      </c>
      <c r="D3151" t="s">
        <v>16</v>
      </c>
      <c r="E3151">
        <v>0</v>
      </c>
    </row>
    <row r="3152" spans="3:5">
      <c r="C3152" t="s">
        <v>15</v>
      </c>
      <c r="D3152" t="s">
        <v>16</v>
      </c>
      <c r="E3152">
        <v>0</v>
      </c>
    </row>
    <row r="3153" spans="3:5">
      <c r="C3153" t="s">
        <v>15</v>
      </c>
      <c r="D3153" t="s">
        <v>16</v>
      </c>
      <c r="E3153">
        <v>0</v>
      </c>
    </row>
    <row r="3154" spans="3:5">
      <c r="C3154" t="s">
        <v>17</v>
      </c>
      <c r="D3154" t="s">
        <v>18</v>
      </c>
      <c r="E3154">
        <v>0</v>
      </c>
    </row>
    <row r="3155" spans="3:5">
      <c r="C3155" t="s">
        <v>17</v>
      </c>
      <c r="D3155" t="s">
        <v>18</v>
      </c>
      <c r="E3155">
        <v>0</v>
      </c>
    </row>
    <row r="3156" spans="3:5">
      <c r="C3156" t="s">
        <v>17</v>
      </c>
      <c r="D3156" t="s">
        <v>18</v>
      </c>
      <c r="E3156">
        <v>0</v>
      </c>
    </row>
    <row r="3157" spans="3:5">
      <c r="C3157" t="s">
        <v>17</v>
      </c>
      <c r="D3157" t="s">
        <v>18</v>
      </c>
      <c r="E3157">
        <v>0</v>
      </c>
    </row>
    <row r="3158" spans="3:5">
      <c r="C3158" t="s">
        <v>15</v>
      </c>
      <c r="D3158" t="s">
        <v>16</v>
      </c>
      <c r="E3158">
        <v>0</v>
      </c>
    </row>
    <row r="3159" spans="3:5">
      <c r="C3159" t="s">
        <v>15</v>
      </c>
      <c r="D3159" t="s">
        <v>16</v>
      </c>
      <c r="E3159">
        <v>0</v>
      </c>
    </row>
    <row r="3160" spans="3:5">
      <c r="C3160" t="s">
        <v>15</v>
      </c>
      <c r="D3160" t="s">
        <v>16</v>
      </c>
      <c r="E3160">
        <v>0</v>
      </c>
    </row>
    <row r="3161" spans="3:5">
      <c r="C3161" t="s">
        <v>17</v>
      </c>
      <c r="D3161" t="s">
        <v>18</v>
      </c>
      <c r="E3161">
        <v>0</v>
      </c>
    </row>
    <row r="3162" spans="3:5">
      <c r="C3162" t="s">
        <v>17</v>
      </c>
      <c r="D3162" t="s">
        <v>18</v>
      </c>
      <c r="E3162">
        <v>0</v>
      </c>
    </row>
    <row r="3163" spans="3:5">
      <c r="C3163" t="s">
        <v>15</v>
      </c>
      <c r="D3163" t="s">
        <v>16</v>
      </c>
      <c r="E3163">
        <v>0</v>
      </c>
    </row>
    <row r="3164" spans="3:5">
      <c r="C3164" t="s">
        <v>15</v>
      </c>
      <c r="D3164" t="s">
        <v>16</v>
      </c>
      <c r="E3164">
        <v>0</v>
      </c>
    </row>
    <row r="3165" spans="3:5">
      <c r="C3165" t="s">
        <v>15</v>
      </c>
      <c r="D3165" t="s">
        <v>16</v>
      </c>
      <c r="E3165">
        <v>0</v>
      </c>
    </row>
    <row r="3166" spans="3:5">
      <c r="C3166" t="s">
        <v>17</v>
      </c>
      <c r="D3166" t="s">
        <v>18</v>
      </c>
      <c r="E3166">
        <v>0</v>
      </c>
    </row>
    <row r="3167" spans="3:5">
      <c r="C3167" t="s">
        <v>17</v>
      </c>
      <c r="D3167" t="s">
        <v>18</v>
      </c>
      <c r="E3167">
        <v>0</v>
      </c>
    </row>
    <row r="3168" spans="3:5">
      <c r="C3168" t="s">
        <v>17</v>
      </c>
      <c r="D3168" t="s">
        <v>18</v>
      </c>
      <c r="E3168">
        <v>0</v>
      </c>
    </row>
    <row r="3169" spans="3:5">
      <c r="C3169" t="s">
        <v>15</v>
      </c>
      <c r="D3169" t="s">
        <v>16</v>
      </c>
      <c r="E3169">
        <v>0</v>
      </c>
    </row>
    <row r="3170" spans="3:5">
      <c r="C3170" t="s">
        <v>17</v>
      </c>
      <c r="D3170" t="s">
        <v>18</v>
      </c>
      <c r="E3170">
        <v>0</v>
      </c>
    </row>
    <row r="3171" spans="3:5">
      <c r="C3171" t="s">
        <v>15</v>
      </c>
      <c r="D3171" t="s">
        <v>16</v>
      </c>
      <c r="E3171">
        <v>0</v>
      </c>
    </row>
    <row r="3172" spans="3:5">
      <c r="C3172" t="s">
        <v>17</v>
      </c>
      <c r="D3172" t="s">
        <v>18</v>
      </c>
      <c r="E3172">
        <v>0</v>
      </c>
    </row>
    <row r="3173" spans="3:5">
      <c r="C3173" t="s">
        <v>17</v>
      </c>
      <c r="D3173" t="s">
        <v>18</v>
      </c>
      <c r="E3173">
        <v>0</v>
      </c>
    </row>
    <row r="3174" spans="3:5">
      <c r="C3174" t="s">
        <v>17</v>
      </c>
      <c r="D3174" t="s">
        <v>18</v>
      </c>
      <c r="E3174">
        <v>0</v>
      </c>
    </row>
    <row r="3175" spans="3:5">
      <c r="C3175" t="s">
        <v>15</v>
      </c>
      <c r="D3175" t="s">
        <v>16</v>
      </c>
      <c r="E3175">
        <v>0</v>
      </c>
    </row>
    <row r="3176" spans="3:5">
      <c r="C3176" t="s">
        <v>15</v>
      </c>
      <c r="D3176" t="s">
        <v>16</v>
      </c>
      <c r="E3176">
        <v>0</v>
      </c>
    </row>
    <row r="3177" spans="3:5">
      <c r="C3177" t="s">
        <v>15</v>
      </c>
      <c r="D3177" t="s">
        <v>16</v>
      </c>
      <c r="E3177">
        <v>0</v>
      </c>
    </row>
    <row r="3178" spans="3:5">
      <c r="C3178" t="s">
        <v>15</v>
      </c>
      <c r="D3178" t="s">
        <v>16</v>
      </c>
      <c r="E3178">
        <v>0</v>
      </c>
    </row>
    <row r="3179" spans="3:5">
      <c r="C3179" t="s">
        <v>15</v>
      </c>
      <c r="D3179" t="s">
        <v>16</v>
      </c>
      <c r="E3179">
        <v>0</v>
      </c>
    </row>
    <row r="3180" spans="3:5">
      <c r="C3180" t="s">
        <v>17</v>
      </c>
      <c r="D3180" t="s">
        <v>18</v>
      </c>
      <c r="E3180">
        <v>0</v>
      </c>
    </row>
    <row r="3181" spans="3:5">
      <c r="C3181" t="s">
        <v>17</v>
      </c>
      <c r="D3181" t="s">
        <v>18</v>
      </c>
      <c r="E3181">
        <v>0</v>
      </c>
    </row>
    <row r="3182" spans="3:5">
      <c r="C3182" t="s">
        <v>17</v>
      </c>
      <c r="D3182" t="s">
        <v>18</v>
      </c>
      <c r="E3182">
        <v>0</v>
      </c>
    </row>
    <row r="3183" spans="3:5">
      <c r="C3183" t="s">
        <v>15</v>
      </c>
      <c r="D3183" t="s">
        <v>16</v>
      </c>
      <c r="E3183">
        <v>0</v>
      </c>
    </row>
    <row r="3184" spans="3:5">
      <c r="C3184" t="s">
        <v>15</v>
      </c>
      <c r="D3184" t="s">
        <v>16</v>
      </c>
      <c r="E3184">
        <v>0</v>
      </c>
    </row>
    <row r="3185" spans="3:5">
      <c r="C3185" t="s">
        <v>15</v>
      </c>
      <c r="D3185" t="s">
        <v>16</v>
      </c>
      <c r="E3185">
        <v>0</v>
      </c>
    </row>
    <row r="3186" spans="3:5">
      <c r="C3186" t="s">
        <v>15</v>
      </c>
      <c r="D3186" t="s">
        <v>16</v>
      </c>
      <c r="E3186">
        <v>0</v>
      </c>
    </row>
    <row r="3187" spans="3:5">
      <c r="C3187" t="s">
        <v>15</v>
      </c>
      <c r="D3187" t="s">
        <v>16</v>
      </c>
      <c r="E3187">
        <v>0</v>
      </c>
    </row>
    <row r="3188" spans="3:5">
      <c r="C3188" t="s">
        <v>17</v>
      </c>
      <c r="D3188" t="s">
        <v>18</v>
      </c>
      <c r="E3188">
        <v>0</v>
      </c>
    </row>
    <row r="3189" spans="3:5">
      <c r="C3189" t="s">
        <v>17</v>
      </c>
      <c r="D3189" t="s">
        <v>18</v>
      </c>
      <c r="E3189">
        <v>0</v>
      </c>
    </row>
    <row r="3190" spans="3:5">
      <c r="C3190" t="s">
        <v>17</v>
      </c>
      <c r="D3190" t="s">
        <v>18</v>
      </c>
      <c r="E3190">
        <v>0</v>
      </c>
    </row>
    <row r="3191" spans="3:5">
      <c r="C3191" t="s">
        <v>15</v>
      </c>
      <c r="D3191" t="s">
        <v>16</v>
      </c>
      <c r="E3191">
        <v>0</v>
      </c>
    </row>
    <row r="3192" spans="3:5">
      <c r="C3192" t="s">
        <v>17</v>
      </c>
      <c r="D3192" t="s">
        <v>18</v>
      </c>
      <c r="E3192">
        <v>0</v>
      </c>
    </row>
    <row r="3193" spans="3:5">
      <c r="C3193" t="s">
        <v>15</v>
      </c>
      <c r="D3193" t="s">
        <v>16</v>
      </c>
      <c r="E3193">
        <v>0</v>
      </c>
    </row>
    <row r="3194" spans="3:5">
      <c r="C3194" t="s">
        <v>17</v>
      </c>
      <c r="D3194" t="s">
        <v>18</v>
      </c>
      <c r="E3194">
        <v>0</v>
      </c>
    </row>
    <row r="3195" spans="3:5">
      <c r="C3195" t="s">
        <v>15</v>
      </c>
      <c r="D3195" t="s">
        <v>16</v>
      </c>
      <c r="E3195">
        <v>0</v>
      </c>
    </row>
    <row r="3196" spans="3:5">
      <c r="C3196" t="s">
        <v>17</v>
      </c>
      <c r="D3196" t="s">
        <v>18</v>
      </c>
      <c r="E3196">
        <v>0</v>
      </c>
    </row>
    <row r="3197" spans="3:5">
      <c r="C3197" t="s">
        <v>17</v>
      </c>
      <c r="D3197" t="s">
        <v>18</v>
      </c>
      <c r="E3197">
        <v>0</v>
      </c>
    </row>
    <row r="3198" spans="3:5">
      <c r="C3198" t="s">
        <v>15</v>
      </c>
      <c r="D3198" t="s">
        <v>16</v>
      </c>
      <c r="E3198">
        <v>0</v>
      </c>
    </row>
    <row r="3199" spans="3:5">
      <c r="C3199" t="s">
        <v>17</v>
      </c>
      <c r="D3199" t="s">
        <v>18</v>
      </c>
      <c r="E3199">
        <v>0</v>
      </c>
    </row>
    <row r="3200" spans="3:5">
      <c r="C3200" t="s">
        <v>17</v>
      </c>
      <c r="D3200" t="s">
        <v>18</v>
      </c>
      <c r="E3200">
        <v>0</v>
      </c>
    </row>
    <row r="3201" spans="3:5">
      <c r="C3201" t="s">
        <v>15</v>
      </c>
      <c r="D3201" t="s">
        <v>16</v>
      </c>
      <c r="E3201">
        <v>0</v>
      </c>
    </row>
    <row r="3202" spans="3:5">
      <c r="C3202" t="s">
        <v>15</v>
      </c>
      <c r="D3202" t="s">
        <v>16</v>
      </c>
      <c r="E3202">
        <v>0</v>
      </c>
    </row>
    <row r="3203" spans="3:5">
      <c r="C3203" t="s">
        <v>15</v>
      </c>
      <c r="D3203" t="s">
        <v>16</v>
      </c>
      <c r="E3203">
        <v>0</v>
      </c>
    </row>
    <row r="3204" spans="3:5">
      <c r="C3204" t="s">
        <v>17</v>
      </c>
      <c r="D3204" t="s">
        <v>18</v>
      </c>
      <c r="E3204">
        <v>0</v>
      </c>
    </row>
    <row r="3205" spans="3:5">
      <c r="C3205" t="s">
        <v>17</v>
      </c>
      <c r="D3205" t="s">
        <v>18</v>
      </c>
      <c r="E3205">
        <v>0</v>
      </c>
    </row>
    <row r="3206" spans="3:5">
      <c r="C3206" t="s">
        <v>15</v>
      </c>
      <c r="D3206" t="s">
        <v>16</v>
      </c>
      <c r="E3206">
        <v>0</v>
      </c>
    </row>
    <row r="3207" spans="3:5">
      <c r="C3207" t="s">
        <v>17</v>
      </c>
      <c r="D3207" t="s">
        <v>18</v>
      </c>
      <c r="E3207">
        <v>0</v>
      </c>
    </row>
    <row r="3208" spans="3:5">
      <c r="C3208" t="s">
        <v>17</v>
      </c>
      <c r="D3208" t="s">
        <v>18</v>
      </c>
      <c r="E3208">
        <v>0</v>
      </c>
    </row>
    <row r="3209" spans="3:5">
      <c r="C3209" t="s">
        <v>15</v>
      </c>
      <c r="D3209" t="s">
        <v>16</v>
      </c>
      <c r="E3209">
        <v>0</v>
      </c>
    </row>
    <row r="3210" spans="3:5">
      <c r="C3210" t="s">
        <v>15</v>
      </c>
      <c r="D3210" t="s">
        <v>16</v>
      </c>
      <c r="E3210">
        <v>1</v>
      </c>
    </row>
    <row r="3211" spans="3:5">
      <c r="C3211" t="s">
        <v>17</v>
      </c>
      <c r="D3211" t="s">
        <v>18</v>
      </c>
      <c r="E3211">
        <v>0</v>
      </c>
    </row>
    <row r="3212" spans="3:5">
      <c r="C3212" t="s">
        <v>17</v>
      </c>
      <c r="D3212" t="s">
        <v>18</v>
      </c>
      <c r="E3212">
        <v>0</v>
      </c>
    </row>
    <row r="3213" spans="3:5">
      <c r="C3213" t="s">
        <v>15</v>
      </c>
      <c r="D3213" t="s">
        <v>16</v>
      </c>
      <c r="E3213">
        <v>0</v>
      </c>
    </row>
    <row r="3214" spans="3:5">
      <c r="C3214" t="s">
        <v>15</v>
      </c>
      <c r="D3214" t="s">
        <v>16</v>
      </c>
      <c r="E3214">
        <v>0</v>
      </c>
    </row>
    <row r="3215" spans="3:5">
      <c r="C3215" t="s">
        <v>17</v>
      </c>
      <c r="D3215" t="s">
        <v>18</v>
      </c>
      <c r="E3215">
        <v>0</v>
      </c>
    </row>
    <row r="3216" spans="3:5">
      <c r="C3216" t="s">
        <v>15</v>
      </c>
      <c r="D3216" t="s">
        <v>16</v>
      </c>
      <c r="E3216">
        <v>0</v>
      </c>
    </row>
    <row r="3217" spans="3:5">
      <c r="C3217" t="s">
        <v>17</v>
      </c>
      <c r="D3217" t="s">
        <v>18</v>
      </c>
      <c r="E3217">
        <v>0</v>
      </c>
    </row>
    <row r="3218" spans="3:5">
      <c r="C3218" t="s">
        <v>17</v>
      </c>
      <c r="D3218" t="s">
        <v>18</v>
      </c>
      <c r="E3218">
        <v>0</v>
      </c>
    </row>
    <row r="3219" spans="3:5">
      <c r="C3219" t="s">
        <v>15</v>
      </c>
      <c r="D3219" t="s">
        <v>16</v>
      </c>
      <c r="E3219">
        <v>0</v>
      </c>
    </row>
    <row r="3220" spans="3:5">
      <c r="C3220" t="s">
        <v>15</v>
      </c>
      <c r="D3220" t="s">
        <v>16</v>
      </c>
      <c r="E3220">
        <v>0</v>
      </c>
    </row>
    <row r="3221" spans="3:5">
      <c r="C3221" t="s">
        <v>17</v>
      </c>
      <c r="D3221" t="s">
        <v>18</v>
      </c>
      <c r="E3221">
        <v>0</v>
      </c>
    </row>
    <row r="3222" spans="3:5">
      <c r="C3222" t="s">
        <v>15</v>
      </c>
      <c r="D3222" t="s">
        <v>16</v>
      </c>
      <c r="E3222">
        <v>0</v>
      </c>
    </row>
    <row r="3223" spans="3:5">
      <c r="C3223" t="s">
        <v>17</v>
      </c>
      <c r="D3223" t="s">
        <v>18</v>
      </c>
      <c r="E3223">
        <v>0</v>
      </c>
    </row>
    <row r="3224" spans="3:5">
      <c r="C3224" t="s">
        <v>15</v>
      </c>
      <c r="D3224" t="s">
        <v>16</v>
      </c>
      <c r="E3224">
        <v>0</v>
      </c>
    </row>
    <row r="3225" spans="3:5">
      <c r="C3225" t="s">
        <v>17</v>
      </c>
      <c r="D3225" t="s">
        <v>18</v>
      </c>
      <c r="E3225">
        <v>0</v>
      </c>
    </row>
    <row r="3226" spans="3:5">
      <c r="C3226" t="s">
        <v>17</v>
      </c>
      <c r="D3226" t="s">
        <v>18</v>
      </c>
      <c r="E3226">
        <v>0</v>
      </c>
    </row>
    <row r="3227" spans="3:5">
      <c r="C3227" t="s">
        <v>17</v>
      </c>
      <c r="D3227" t="s">
        <v>18</v>
      </c>
      <c r="E3227">
        <v>0</v>
      </c>
    </row>
    <row r="3228" spans="3:5">
      <c r="C3228" t="s">
        <v>15</v>
      </c>
      <c r="D3228" t="s">
        <v>16</v>
      </c>
      <c r="E3228">
        <v>0</v>
      </c>
    </row>
    <row r="3229" spans="3:5">
      <c r="C3229" t="s">
        <v>17</v>
      </c>
      <c r="D3229" t="s">
        <v>18</v>
      </c>
      <c r="E3229">
        <v>0</v>
      </c>
    </row>
    <row r="3230" spans="3:5">
      <c r="C3230" t="s">
        <v>17</v>
      </c>
      <c r="D3230" t="s">
        <v>18</v>
      </c>
      <c r="E3230">
        <v>0</v>
      </c>
    </row>
    <row r="3231" spans="3:5">
      <c r="C3231" t="s">
        <v>15</v>
      </c>
      <c r="D3231" t="s">
        <v>16</v>
      </c>
      <c r="E3231">
        <v>0</v>
      </c>
    </row>
    <row r="3232" spans="3:5">
      <c r="C3232" t="s">
        <v>17</v>
      </c>
      <c r="D3232" t="s">
        <v>18</v>
      </c>
      <c r="E3232">
        <v>0</v>
      </c>
    </row>
    <row r="3233" spans="3:5">
      <c r="C3233" t="s">
        <v>15</v>
      </c>
      <c r="D3233" t="s">
        <v>16</v>
      </c>
      <c r="E3233">
        <v>0</v>
      </c>
    </row>
    <row r="3234" spans="3:5">
      <c r="C3234" t="s">
        <v>17</v>
      </c>
      <c r="D3234" t="s">
        <v>18</v>
      </c>
      <c r="E3234">
        <v>0</v>
      </c>
    </row>
    <row r="3235" spans="3:5">
      <c r="C3235" t="s">
        <v>17</v>
      </c>
      <c r="D3235" t="s">
        <v>18</v>
      </c>
      <c r="E3235">
        <v>0</v>
      </c>
    </row>
    <row r="3236" spans="3:5">
      <c r="C3236" t="s">
        <v>15</v>
      </c>
      <c r="D3236" t="s">
        <v>16</v>
      </c>
      <c r="E3236">
        <v>0</v>
      </c>
    </row>
    <row r="3237" spans="3:5">
      <c r="C3237" t="s">
        <v>15</v>
      </c>
      <c r="D3237" t="s">
        <v>16</v>
      </c>
      <c r="E3237">
        <v>0</v>
      </c>
    </row>
    <row r="3238" spans="3:5">
      <c r="C3238" t="s">
        <v>17</v>
      </c>
      <c r="D3238" t="s">
        <v>18</v>
      </c>
      <c r="E3238">
        <v>0</v>
      </c>
    </row>
    <row r="3239" spans="3:5">
      <c r="C3239" t="s">
        <v>17</v>
      </c>
      <c r="D3239" t="s">
        <v>18</v>
      </c>
      <c r="E3239">
        <v>0</v>
      </c>
    </row>
    <row r="3240" spans="3:5">
      <c r="C3240" t="s">
        <v>17</v>
      </c>
      <c r="D3240" t="s">
        <v>18</v>
      </c>
      <c r="E3240">
        <v>0</v>
      </c>
    </row>
    <row r="3241" spans="3:5">
      <c r="C3241" t="s">
        <v>17</v>
      </c>
      <c r="D3241" t="s">
        <v>18</v>
      </c>
      <c r="E3241">
        <v>1</v>
      </c>
    </row>
    <row r="3242" spans="3:5">
      <c r="C3242" t="s">
        <v>17</v>
      </c>
      <c r="D3242" t="s">
        <v>18</v>
      </c>
      <c r="E3242">
        <v>0</v>
      </c>
    </row>
    <row r="3243" spans="3:5">
      <c r="C3243" t="s">
        <v>17</v>
      </c>
      <c r="D3243" t="s">
        <v>18</v>
      </c>
      <c r="E3243">
        <v>0</v>
      </c>
    </row>
    <row r="3244" spans="3:5">
      <c r="C3244" t="s">
        <v>15</v>
      </c>
      <c r="D3244" t="s">
        <v>16</v>
      </c>
      <c r="E3244">
        <v>0</v>
      </c>
    </row>
    <row r="3245" spans="3:5">
      <c r="C3245" t="s">
        <v>15</v>
      </c>
      <c r="D3245" t="s">
        <v>16</v>
      </c>
      <c r="E3245">
        <v>0</v>
      </c>
    </row>
    <row r="3246" spans="3:5">
      <c r="C3246" t="s">
        <v>17</v>
      </c>
      <c r="D3246" t="s">
        <v>18</v>
      </c>
      <c r="E3246">
        <v>0</v>
      </c>
    </row>
    <row r="3247" spans="3:5">
      <c r="C3247" t="s">
        <v>17</v>
      </c>
      <c r="D3247" t="s">
        <v>18</v>
      </c>
      <c r="E3247">
        <v>0</v>
      </c>
    </row>
    <row r="3248" spans="3:5">
      <c r="C3248" t="s">
        <v>17</v>
      </c>
      <c r="D3248" t="s">
        <v>18</v>
      </c>
      <c r="E3248">
        <v>0</v>
      </c>
    </row>
    <row r="3249" spans="3:5">
      <c r="C3249" t="s">
        <v>17</v>
      </c>
      <c r="D3249" t="s">
        <v>18</v>
      </c>
      <c r="E3249">
        <v>0</v>
      </c>
    </row>
    <row r="3250" spans="3:5">
      <c r="C3250" t="s">
        <v>15</v>
      </c>
      <c r="D3250" t="s">
        <v>16</v>
      </c>
      <c r="E3250">
        <v>0</v>
      </c>
    </row>
    <row r="3251" spans="3:5">
      <c r="C3251" t="s">
        <v>17</v>
      </c>
      <c r="D3251" t="s">
        <v>18</v>
      </c>
      <c r="E3251">
        <v>0</v>
      </c>
    </row>
    <row r="3252" spans="3:5">
      <c r="C3252" t="s">
        <v>15</v>
      </c>
      <c r="D3252" t="s">
        <v>16</v>
      </c>
      <c r="E3252">
        <v>0</v>
      </c>
    </row>
    <row r="3253" spans="3:5">
      <c r="C3253" t="s">
        <v>17</v>
      </c>
      <c r="D3253" t="s">
        <v>18</v>
      </c>
      <c r="E3253">
        <v>0</v>
      </c>
    </row>
    <row r="3254" spans="3:5">
      <c r="C3254" t="s">
        <v>17</v>
      </c>
      <c r="D3254" t="s">
        <v>18</v>
      </c>
      <c r="E3254">
        <v>0</v>
      </c>
    </row>
    <row r="3255" spans="3:5">
      <c r="C3255" t="s">
        <v>17</v>
      </c>
      <c r="D3255" t="s">
        <v>18</v>
      </c>
      <c r="E3255">
        <v>0</v>
      </c>
    </row>
    <row r="3256" spans="3:5">
      <c r="C3256" t="s">
        <v>15</v>
      </c>
      <c r="D3256" t="s">
        <v>16</v>
      </c>
      <c r="E3256">
        <v>0</v>
      </c>
    </row>
    <row r="3257" spans="3:5">
      <c r="C3257" t="s">
        <v>17</v>
      </c>
      <c r="D3257" t="s">
        <v>18</v>
      </c>
      <c r="E3257">
        <v>0</v>
      </c>
    </row>
    <row r="3258" spans="3:5">
      <c r="C3258" t="s">
        <v>15</v>
      </c>
      <c r="D3258" t="s">
        <v>16</v>
      </c>
      <c r="E3258">
        <v>0</v>
      </c>
    </row>
    <row r="3259" spans="3:5">
      <c r="C3259" t="s">
        <v>17</v>
      </c>
      <c r="D3259" t="s">
        <v>18</v>
      </c>
      <c r="E3259">
        <v>0</v>
      </c>
    </row>
    <row r="3260" spans="3:5">
      <c r="C3260" t="s">
        <v>15</v>
      </c>
      <c r="D3260" t="s">
        <v>16</v>
      </c>
      <c r="E3260">
        <v>0</v>
      </c>
    </row>
    <row r="3261" spans="3:5">
      <c r="C3261" t="s">
        <v>17</v>
      </c>
      <c r="D3261" t="s">
        <v>18</v>
      </c>
      <c r="E3261">
        <v>0</v>
      </c>
    </row>
    <row r="3262" spans="3:5">
      <c r="C3262" t="s">
        <v>15</v>
      </c>
      <c r="D3262" t="s">
        <v>16</v>
      </c>
      <c r="E3262">
        <v>0</v>
      </c>
    </row>
    <row r="3263" spans="3:5">
      <c r="C3263" t="s">
        <v>15</v>
      </c>
      <c r="D3263" t="s">
        <v>16</v>
      </c>
      <c r="E3263">
        <v>0</v>
      </c>
    </row>
    <row r="3264" spans="3:5">
      <c r="C3264" t="s">
        <v>15</v>
      </c>
      <c r="D3264" t="s">
        <v>16</v>
      </c>
      <c r="E3264">
        <v>0</v>
      </c>
    </row>
    <row r="3265" spans="3:5">
      <c r="C3265" t="s">
        <v>15</v>
      </c>
      <c r="D3265" t="s">
        <v>16</v>
      </c>
      <c r="E3265">
        <v>0</v>
      </c>
    </row>
    <row r="3266" spans="3:5">
      <c r="C3266" t="s">
        <v>15</v>
      </c>
      <c r="D3266" t="s">
        <v>16</v>
      </c>
      <c r="E3266">
        <v>0</v>
      </c>
    </row>
    <row r="3267" spans="3:5">
      <c r="C3267" t="s">
        <v>15</v>
      </c>
      <c r="D3267" t="s">
        <v>16</v>
      </c>
      <c r="E3267">
        <v>0</v>
      </c>
    </row>
    <row r="3268" spans="3:5">
      <c r="C3268" t="s">
        <v>17</v>
      </c>
      <c r="D3268" t="s">
        <v>18</v>
      </c>
      <c r="E3268">
        <v>0</v>
      </c>
    </row>
    <row r="3269" spans="3:5">
      <c r="C3269" t="s">
        <v>15</v>
      </c>
      <c r="D3269" t="s">
        <v>16</v>
      </c>
      <c r="E3269">
        <v>0</v>
      </c>
    </row>
    <row r="3270" spans="3:5">
      <c r="C3270" t="s">
        <v>17</v>
      </c>
      <c r="D3270" t="s">
        <v>18</v>
      </c>
      <c r="E3270">
        <v>0</v>
      </c>
    </row>
    <row r="3271" spans="3:5">
      <c r="C3271" t="s">
        <v>15</v>
      </c>
      <c r="D3271" t="s">
        <v>16</v>
      </c>
      <c r="E3271">
        <v>0</v>
      </c>
    </row>
    <row r="3272" spans="3:5">
      <c r="C3272" t="s">
        <v>17</v>
      </c>
      <c r="D3272" t="s">
        <v>18</v>
      </c>
      <c r="E3272">
        <v>0</v>
      </c>
    </row>
    <row r="3273" spans="3:5">
      <c r="C3273" t="s">
        <v>15</v>
      </c>
      <c r="D3273" t="s">
        <v>16</v>
      </c>
      <c r="E3273">
        <v>0</v>
      </c>
    </row>
    <row r="3274" spans="3:5">
      <c r="C3274" t="s">
        <v>15</v>
      </c>
      <c r="D3274" t="s">
        <v>16</v>
      </c>
      <c r="E3274">
        <v>0</v>
      </c>
    </row>
    <row r="3275" spans="3:5">
      <c r="C3275" t="s">
        <v>17</v>
      </c>
      <c r="D3275" t="s">
        <v>18</v>
      </c>
      <c r="E3275">
        <v>0</v>
      </c>
    </row>
    <row r="3276" spans="3:5">
      <c r="C3276" t="s">
        <v>15</v>
      </c>
      <c r="D3276" t="s">
        <v>16</v>
      </c>
      <c r="E3276">
        <v>0</v>
      </c>
    </row>
    <row r="3277" spans="3:5">
      <c r="C3277" t="s">
        <v>15</v>
      </c>
      <c r="D3277" t="s">
        <v>16</v>
      </c>
      <c r="E3277">
        <v>0</v>
      </c>
    </row>
    <row r="3278" spans="3:5">
      <c r="C3278" t="s">
        <v>15</v>
      </c>
      <c r="D3278" t="s">
        <v>16</v>
      </c>
      <c r="E3278">
        <v>0</v>
      </c>
    </row>
    <row r="3279" spans="3:5">
      <c r="C3279" t="s">
        <v>15</v>
      </c>
      <c r="D3279" t="s">
        <v>16</v>
      </c>
      <c r="E3279">
        <v>0</v>
      </c>
    </row>
    <row r="3280" spans="3:5">
      <c r="C3280" t="s">
        <v>15</v>
      </c>
      <c r="D3280" t="s">
        <v>16</v>
      </c>
      <c r="E3280">
        <v>0</v>
      </c>
    </row>
    <row r="3281" spans="3:5">
      <c r="C3281" t="s">
        <v>17</v>
      </c>
      <c r="D3281" t="s">
        <v>18</v>
      </c>
      <c r="E3281">
        <v>0</v>
      </c>
    </row>
    <row r="3282" spans="3:5">
      <c r="C3282" t="s">
        <v>17</v>
      </c>
      <c r="D3282" t="s">
        <v>18</v>
      </c>
      <c r="E3282">
        <v>0</v>
      </c>
    </row>
    <row r="3283" spans="3:5">
      <c r="C3283" t="s">
        <v>15</v>
      </c>
      <c r="D3283" t="s">
        <v>16</v>
      </c>
      <c r="E3283">
        <v>0</v>
      </c>
    </row>
    <row r="3284" spans="3:5">
      <c r="C3284" t="s">
        <v>17</v>
      </c>
      <c r="D3284" t="s">
        <v>18</v>
      </c>
      <c r="E3284">
        <v>0</v>
      </c>
    </row>
    <row r="3285" spans="3:5">
      <c r="C3285" t="s">
        <v>17</v>
      </c>
      <c r="D3285" t="s">
        <v>18</v>
      </c>
      <c r="E3285">
        <v>0</v>
      </c>
    </row>
    <row r="3286" spans="3:5">
      <c r="C3286" t="s">
        <v>17</v>
      </c>
      <c r="D3286" t="s">
        <v>18</v>
      </c>
      <c r="E3286">
        <v>0</v>
      </c>
    </row>
    <row r="3287" spans="3:5">
      <c r="C3287" t="s">
        <v>15</v>
      </c>
      <c r="D3287" t="s">
        <v>16</v>
      </c>
      <c r="E3287">
        <v>0</v>
      </c>
    </row>
    <row r="3288" spans="3:5">
      <c r="C3288" t="s">
        <v>15</v>
      </c>
      <c r="D3288" t="s">
        <v>16</v>
      </c>
      <c r="E3288">
        <v>0</v>
      </c>
    </row>
    <row r="3289" spans="3:5">
      <c r="C3289" t="s">
        <v>17</v>
      </c>
      <c r="D3289" t="s">
        <v>18</v>
      </c>
      <c r="E3289">
        <v>0</v>
      </c>
    </row>
    <row r="3290" spans="3:5">
      <c r="C3290" t="s">
        <v>17</v>
      </c>
      <c r="D3290" t="s">
        <v>18</v>
      </c>
      <c r="E3290">
        <v>0</v>
      </c>
    </row>
    <row r="3291" spans="3:5">
      <c r="C3291" t="s">
        <v>17</v>
      </c>
      <c r="D3291" t="s">
        <v>18</v>
      </c>
      <c r="E3291">
        <v>0</v>
      </c>
    </row>
    <row r="3292" spans="3:5">
      <c r="C3292" t="s">
        <v>17</v>
      </c>
      <c r="D3292" t="s">
        <v>18</v>
      </c>
      <c r="E3292">
        <v>0</v>
      </c>
    </row>
    <row r="3293" spans="3:5">
      <c r="C3293" t="s">
        <v>15</v>
      </c>
      <c r="D3293" t="s">
        <v>16</v>
      </c>
      <c r="E3293">
        <v>0</v>
      </c>
    </row>
    <row r="3294" spans="3:5">
      <c r="C3294" t="s">
        <v>15</v>
      </c>
      <c r="D3294" t="s">
        <v>16</v>
      </c>
      <c r="E3294">
        <v>0</v>
      </c>
    </row>
    <row r="3295" spans="3:5">
      <c r="C3295" t="s">
        <v>15</v>
      </c>
      <c r="D3295" t="s">
        <v>16</v>
      </c>
      <c r="E3295">
        <v>0</v>
      </c>
    </row>
    <row r="3296" spans="3:5">
      <c r="C3296" t="s">
        <v>15</v>
      </c>
      <c r="D3296" t="s">
        <v>16</v>
      </c>
      <c r="E3296">
        <v>0</v>
      </c>
    </row>
    <row r="3297" spans="3:5">
      <c r="C3297" t="s">
        <v>15</v>
      </c>
      <c r="D3297" t="s">
        <v>16</v>
      </c>
      <c r="E3297">
        <v>0</v>
      </c>
    </row>
    <row r="3298" spans="3:5">
      <c r="C3298" t="s">
        <v>15</v>
      </c>
      <c r="D3298" t="s">
        <v>16</v>
      </c>
      <c r="E3298">
        <v>0</v>
      </c>
    </row>
    <row r="3299" spans="3:5">
      <c r="C3299" t="s">
        <v>15</v>
      </c>
      <c r="D3299" t="s">
        <v>16</v>
      </c>
      <c r="E3299">
        <v>0</v>
      </c>
    </row>
    <row r="3300" spans="3:5">
      <c r="C3300" t="s">
        <v>17</v>
      </c>
      <c r="D3300" t="s">
        <v>18</v>
      </c>
      <c r="E3300">
        <v>1</v>
      </c>
    </row>
    <row r="3301" spans="3:5">
      <c r="C3301" t="s">
        <v>15</v>
      </c>
      <c r="D3301" t="s">
        <v>16</v>
      </c>
      <c r="E3301">
        <v>0</v>
      </c>
    </row>
    <row r="3302" spans="3:5">
      <c r="C3302" t="s">
        <v>15</v>
      </c>
      <c r="D3302" t="s">
        <v>16</v>
      </c>
      <c r="E3302">
        <v>0</v>
      </c>
    </row>
    <row r="3303" spans="3:5">
      <c r="C3303" t="s">
        <v>15</v>
      </c>
      <c r="D3303" t="s">
        <v>16</v>
      </c>
      <c r="E3303">
        <v>0</v>
      </c>
    </row>
    <row r="3304" spans="3:5">
      <c r="C3304" t="s">
        <v>17</v>
      </c>
      <c r="D3304" t="s">
        <v>18</v>
      </c>
      <c r="E3304">
        <v>0</v>
      </c>
    </row>
    <row r="3305" spans="3:5">
      <c r="C3305" t="s">
        <v>17</v>
      </c>
      <c r="D3305" t="s">
        <v>18</v>
      </c>
      <c r="E3305">
        <v>0</v>
      </c>
    </row>
    <row r="3306" spans="3:5">
      <c r="C3306" t="s">
        <v>17</v>
      </c>
      <c r="D3306" t="s">
        <v>18</v>
      </c>
      <c r="E3306">
        <v>0</v>
      </c>
    </row>
    <row r="3307" spans="3:5">
      <c r="C3307" t="s">
        <v>15</v>
      </c>
      <c r="D3307" t="s">
        <v>16</v>
      </c>
      <c r="E3307">
        <v>0</v>
      </c>
    </row>
    <row r="3308" spans="3:5">
      <c r="C3308" t="s">
        <v>15</v>
      </c>
      <c r="D3308" t="s">
        <v>16</v>
      </c>
      <c r="E3308">
        <v>0</v>
      </c>
    </row>
    <row r="3309" spans="3:5">
      <c r="C3309" t="s">
        <v>17</v>
      </c>
      <c r="D3309" t="s">
        <v>18</v>
      </c>
      <c r="E3309">
        <v>0</v>
      </c>
    </row>
    <row r="3310" spans="3:5">
      <c r="C3310" t="s">
        <v>17</v>
      </c>
      <c r="D3310" t="s">
        <v>18</v>
      </c>
      <c r="E3310">
        <v>0</v>
      </c>
    </row>
    <row r="3311" spans="3:5">
      <c r="C3311" t="s">
        <v>15</v>
      </c>
      <c r="D3311" t="s">
        <v>16</v>
      </c>
      <c r="E3311">
        <v>0</v>
      </c>
    </row>
    <row r="3312" spans="3:5">
      <c r="C3312" t="s">
        <v>15</v>
      </c>
      <c r="D3312" t="s">
        <v>16</v>
      </c>
      <c r="E3312">
        <v>0</v>
      </c>
    </row>
    <row r="3313" spans="3:5">
      <c r="C3313" t="s">
        <v>15</v>
      </c>
      <c r="D3313" t="s">
        <v>16</v>
      </c>
      <c r="E3313">
        <v>0</v>
      </c>
    </row>
    <row r="3314" spans="3:5">
      <c r="C3314" t="s">
        <v>17</v>
      </c>
      <c r="D3314" t="s">
        <v>18</v>
      </c>
      <c r="E3314">
        <v>1</v>
      </c>
    </row>
    <row r="3315" spans="3:5">
      <c r="C3315" t="s">
        <v>17</v>
      </c>
      <c r="D3315" t="s">
        <v>18</v>
      </c>
      <c r="E3315">
        <v>0</v>
      </c>
    </row>
    <row r="3316" spans="3:5">
      <c r="C3316" t="s">
        <v>17</v>
      </c>
      <c r="D3316" t="s">
        <v>18</v>
      </c>
      <c r="E3316">
        <v>0</v>
      </c>
    </row>
    <row r="3317" spans="3:5">
      <c r="C3317" t="s">
        <v>17</v>
      </c>
      <c r="D3317" t="s">
        <v>18</v>
      </c>
      <c r="E3317">
        <v>0</v>
      </c>
    </row>
    <row r="3318" spans="3:5">
      <c r="C3318" t="s">
        <v>17</v>
      </c>
      <c r="D3318" t="s">
        <v>18</v>
      </c>
      <c r="E3318">
        <v>0</v>
      </c>
    </row>
    <row r="3319" spans="3:5">
      <c r="C3319" t="s">
        <v>17</v>
      </c>
      <c r="D3319" t="s">
        <v>18</v>
      </c>
      <c r="E3319">
        <v>0</v>
      </c>
    </row>
    <row r="3320" spans="3:5">
      <c r="C3320" t="s">
        <v>15</v>
      </c>
      <c r="D3320" t="s">
        <v>16</v>
      </c>
      <c r="E3320">
        <v>0</v>
      </c>
    </row>
    <row r="3321" spans="3:5">
      <c r="C3321" t="s">
        <v>17</v>
      </c>
      <c r="D3321" t="s">
        <v>18</v>
      </c>
      <c r="E3321">
        <v>0</v>
      </c>
    </row>
    <row r="3322" spans="3:5">
      <c r="C3322" t="s">
        <v>15</v>
      </c>
      <c r="D3322" t="s">
        <v>16</v>
      </c>
      <c r="E3322">
        <v>0</v>
      </c>
    </row>
    <row r="3323" spans="3:5">
      <c r="C3323" t="s">
        <v>15</v>
      </c>
      <c r="D3323" t="s">
        <v>16</v>
      </c>
      <c r="E3323">
        <v>0</v>
      </c>
    </row>
    <row r="3324" spans="3:5">
      <c r="C3324" t="s">
        <v>17</v>
      </c>
      <c r="D3324" t="s">
        <v>18</v>
      </c>
      <c r="E3324">
        <v>0</v>
      </c>
    </row>
    <row r="3325" spans="3:5">
      <c r="C3325" t="s">
        <v>15</v>
      </c>
      <c r="D3325" t="s">
        <v>16</v>
      </c>
      <c r="E3325">
        <v>0</v>
      </c>
    </row>
    <row r="3326" spans="3:5">
      <c r="C3326" t="s">
        <v>15</v>
      </c>
      <c r="D3326" t="s">
        <v>16</v>
      </c>
      <c r="E3326">
        <v>0</v>
      </c>
    </row>
    <row r="3327" spans="3:5">
      <c r="C3327" t="s">
        <v>17</v>
      </c>
      <c r="D3327" t="s">
        <v>18</v>
      </c>
      <c r="E3327">
        <v>0</v>
      </c>
    </row>
    <row r="3328" spans="3:5">
      <c r="C3328" t="s">
        <v>15</v>
      </c>
      <c r="D3328" t="s">
        <v>16</v>
      </c>
      <c r="E3328">
        <v>0</v>
      </c>
    </row>
    <row r="3329" spans="3:5">
      <c r="C3329" t="s">
        <v>15</v>
      </c>
      <c r="D3329" t="s">
        <v>16</v>
      </c>
      <c r="E3329">
        <v>0</v>
      </c>
    </row>
    <row r="3330" spans="3:5">
      <c r="C3330" t="s">
        <v>15</v>
      </c>
      <c r="D3330" t="s">
        <v>16</v>
      </c>
      <c r="E3330">
        <v>0</v>
      </c>
    </row>
    <row r="3331" spans="3:5">
      <c r="C3331" t="s">
        <v>15</v>
      </c>
      <c r="D3331" t="s">
        <v>16</v>
      </c>
      <c r="E3331">
        <v>0</v>
      </c>
    </row>
    <row r="3332" spans="3:5">
      <c r="C3332" t="s">
        <v>17</v>
      </c>
      <c r="D3332" t="s">
        <v>18</v>
      </c>
      <c r="E3332">
        <v>0</v>
      </c>
    </row>
    <row r="3333" spans="3:5">
      <c r="C3333" t="s">
        <v>17</v>
      </c>
      <c r="D3333" t="s">
        <v>18</v>
      </c>
      <c r="E3333">
        <v>0</v>
      </c>
    </row>
    <row r="3334" spans="3:5">
      <c r="C3334" t="s">
        <v>17</v>
      </c>
      <c r="D3334" t="s">
        <v>18</v>
      </c>
      <c r="E3334">
        <v>0</v>
      </c>
    </row>
    <row r="3335" spans="3:5">
      <c r="C3335" t="s">
        <v>17</v>
      </c>
      <c r="D3335" t="s">
        <v>18</v>
      </c>
      <c r="E3335">
        <v>0</v>
      </c>
    </row>
    <row r="3336" spans="3:5">
      <c r="C3336" t="s">
        <v>15</v>
      </c>
      <c r="D3336" t="s">
        <v>16</v>
      </c>
      <c r="E3336">
        <v>0</v>
      </c>
    </row>
    <row r="3337" spans="3:5">
      <c r="C3337" t="s">
        <v>17</v>
      </c>
      <c r="D3337" t="s">
        <v>18</v>
      </c>
      <c r="E3337">
        <v>0</v>
      </c>
    </row>
    <row r="3338" spans="3:5">
      <c r="C3338" t="s">
        <v>15</v>
      </c>
      <c r="D3338" t="s">
        <v>16</v>
      </c>
      <c r="E3338">
        <v>0</v>
      </c>
    </row>
    <row r="3339" spans="3:5">
      <c r="C3339" t="s">
        <v>17</v>
      </c>
      <c r="D3339" t="s">
        <v>18</v>
      </c>
      <c r="E3339">
        <v>0</v>
      </c>
    </row>
    <row r="3340" spans="3:5">
      <c r="C3340" t="s">
        <v>17</v>
      </c>
      <c r="D3340" t="s">
        <v>18</v>
      </c>
      <c r="E3340">
        <v>0</v>
      </c>
    </row>
    <row r="3341" spans="3:5">
      <c r="C3341" t="s">
        <v>15</v>
      </c>
      <c r="D3341" t="s">
        <v>16</v>
      </c>
      <c r="E3341">
        <v>0</v>
      </c>
    </row>
    <row r="3342" spans="3:5">
      <c r="C3342" t="s">
        <v>17</v>
      </c>
      <c r="D3342" t="s">
        <v>18</v>
      </c>
      <c r="E3342">
        <v>0</v>
      </c>
    </row>
    <row r="3343" spans="3:5">
      <c r="C3343" t="s">
        <v>15</v>
      </c>
      <c r="D3343" t="s">
        <v>16</v>
      </c>
      <c r="E3343">
        <v>0</v>
      </c>
    </row>
    <row r="3344" spans="3:5">
      <c r="C3344" t="s">
        <v>17</v>
      </c>
      <c r="D3344" t="s">
        <v>18</v>
      </c>
      <c r="E3344">
        <v>0</v>
      </c>
    </row>
    <row r="3345" spans="3:5">
      <c r="C3345" t="s">
        <v>15</v>
      </c>
      <c r="D3345" t="s">
        <v>16</v>
      </c>
      <c r="E3345">
        <v>0</v>
      </c>
    </row>
    <row r="3346" spans="3:5">
      <c r="C3346" t="s">
        <v>17</v>
      </c>
      <c r="D3346" t="s">
        <v>18</v>
      </c>
      <c r="E3346">
        <v>0</v>
      </c>
    </row>
    <row r="3347" spans="3:5">
      <c r="C3347" t="s">
        <v>17</v>
      </c>
      <c r="D3347" t="s">
        <v>18</v>
      </c>
      <c r="E3347">
        <v>0</v>
      </c>
    </row>
    <row r="3348" spans="3:5">
      <c r="C3348" t="s">
        <v>15</v>
      </c>
      <c r="D3348" t="s">
        <v>16</v>
      </c>
      <c r="E3348">
        <v>0</v>
      </c>
    </row>
    <row r="3349" spans="3:5">
      <c r="C3349" t="s">
        <v>17</v>
      </c>
      <c r="D3349" t="s">
        <v>18</v>
      </c>
      <c r="E3349">
        <v>0</v>
      </c>
    </row>
    <row r="3350" spans="3:5">
      <c r="C3350" t="s">
        <v>15</v>
      </c>
      <c r="D3350" t="s">
        <v>16</v>
      </c>
      <c r="E3350">
        <v>0</v>
      </c>
    </row>
    <row r="3351" spans="3:5">
      <c r="C3351" t="s">
        <v>17</v>
      </c>
      <c r="D3351" t="s">
        <v>18</v>
      </c>
      <c r="E3351">
        <v>0</v>
      </c>
    </row>
    <row r="3352" spans="3:5">
      <c r="C3352" t="s">
        <v>15</v>
      </c>
      <c r="D3352" t="s">
        <v>16</v>
      </c>
      <c r="E3352">
        <v>0</v>
      </c>
    </row>
    <row r="3353" spans="3:5">
      <c r="C3353" t="s">
        <v>15</v>
      </c>
      <c r="D3353" t="s">
        <v>16</v>
      </c>
      <c r="E3353">
        <v>0</v>
      </c>
    </row>
    <row r="3354" spans="3:5">
      <c r="C3354" t="s">
        <v>17</v>
      </c>
      <c r="D3354" t="s">
        <v>18</v>
      </c>
      <c r="E3354">
        <v>0</v>
      </c>
    </row>
    <row r="3355" spans="3:5">
      <c r="C3355" t="s">
        <v>15</v>
      </c>
      <c r="D3355" t="s">
        <v>16</v>
      </c>
      <c r="E3355">
        <v>0</v>
      </c>
    </row>
    <row r="3356" spans="3:5">
      <c r="C3356" t="s">
        <v>15</v>
      </c>
      <c r="D3356" t="s">
        <v>16</v>
      </c>
      <c r="E3356">
        <v>0</v>
      </c>
    </row>
    <row r="3357" spans="3:5">
      <c r="C3357" t="s">
        <v>17</v>
      </c>
      <c r="D3357" t="s">
        <v>18</v>
      </c>
      <c r="E3357">
        <v>0</v>
      </c>
    </row>
    <row r="3358" spans="3:5">
      <c r="C3358" t="s">
        <v>17</v>
      </c>
      <c r="D3358" t="s">
        <v>18</v>
      </c>
      <c r="E3358">
        <v>0</v>
      </c>
    </row>
    <row r="3359" spans="3:5">
      <c r="C3359" t="s">
        <v>15</v>
      </c>
      <c r="D3359" t="s">
        <v>16</v>
      </c>
      <c r="E3359">
        <v>0</v>
      </c>
    </row>
    <row r="3360" spans="3:5">
      <c r="C3360" t="s">
        <v>17</v>
      </c>
      <c r="D3360" t="s">
        <v>18</v>
      </c>
      <c r="E3360">
        <v>0</v>
      </c>
    </row>
    <row r="3361" spans="3:5">
      <c r="C3361" t="s">
        <v>15</v>
      </c>
      <c r="D3361" t="s">
        <v>16</v>
      </c>
      <c r="E3361">
        <v>0</v>
      </c>
    </row>
    <row r="3362" spans="3:5">
      <c r="C3362" t="s">
        <v>17</v>
      </c>
      <c r="D3362" t="s">
        <v>18</v>
      </c>
      <c r="E3362">
        <v>0</v>
      </c>
    </row>
    <row r="3363" spans="3:5">
      <c r="C3363" t="s">
        <v>17</v>
      </c>
      <c r="D3363" t="s">
        <v>18</v>
      </c>
      <c r="E3363">
        <v>0</v>
      </c>
    </row>
    <row r="3364" spans="3:5">
      <c r="C3364" t="s">
        <v>15</v>
      </c>
      <c r="D3364" t="s">
        <v>16</v>
      </c>
      <c r="E3364">
        <v>0</v>
      </c>
    </row>
    <row r="3365" spans="3:5">
      <c r="C3365" t="s">
        <v>15</v>
      </c>
      <c r="D3365" t="s">
        <v>16</v>
      </c>
      <c r="E3365">
        <v>0</v>
      </c>
    </row>
    <row r="3366" spans="3:5">
      <c r="C3366" t="s">
        <v>17</v>
      </c>
      <c r="D3366" t="s">
        <v>18</v>
      </c>
      <c r="E3366">
        <v>0</v>
      </c>
    </row>
    <row r="3367" spans="3:5">
      <c r="C3367" t="s">
        <v>15</v>
      </c>
      <c r="D3367" t="s">
        <v>16</v>
      </c>
      <c r="E3367">
        <v>0</v>
      </c>
    </row>
    <row r="3368" spans="3:5">
      <c r="C3368" t="s">
        <v>17</v>
      </c>
      <c r="D3368" t="s">
        <v>18</v>
      </c>
      <c r="E3368">
        <v>0</v>
      </c>
    </row>
    <row r="3369" spans="3:5">
      <c r="C3369" t="s">
        <v>15</v>
      </c>
      <c r="D3369" t="s">
        <v>16</v>
      </c>
      <c r="E3369">
        <v>0</v>
      </c>
    </row>
    <row r="3370" spans="3:5">
      <c r="C3370" t="s">
        <v>15</v>
      </c>
      <c r="D3370" t="s">
        <v>16</v>
      </c>
      <c r="E3370">
        <v>0</v>
      </c>
    </row>
    <row r="3371" spans="3:5">
      <c r="C3371" t="s">
        <v>15</v>
      </c>
      <c r="D3371" t="s">
        <v>16</v>
      </c>
      <c r="E3371">
        <v>0</v>
      </c>
    </row>
    <row r="3372" spans="3:5">
      <c r="C3372" t="s">
        <v>15</v>
      </c>
      <c r="D3372" t="s">
        <v>16</v>
      </c>
      <c r="E3372">
        <v>0</v>
      </c>
    </row>
    <row r="3373" spans="3:5">
      <c r="C3373" t="s">
        <v>17</v>
      </c>
      <c r="D3373" t="s">
        <v>18</v>
      </c>
      <c r="E3373">
        <v>0</v>
      </c>
    </row>
    <row r="3374" spans="3:5">
      <c r="C3374" t="s">
        <v>15</v>
      </c>
      <c r="D3374" t="s">
        <v>16</v>
      </c>
      <c r="E3374">
        <v>0</v>
      </c>
    </row>
    <row r="3375" spans="3:5">
      <c r="C3375" t="s">
        <v>15</v>
      </c>
      <c r="D3375" t="s">
        <v>16</v>
      </c>
      <c r="E3375">
        <v>0</v>
      </c>
    </row>
    <row r="3376" spans="3:5">
      <c r="C3376" t="s">
        <v>17</v>
      </c>
      <c r="D3376" t="s">
        <v>18</v>
      </c>
      <c r="E3376">
        <v>0</v>
      </c>
    </row>
    <row r="3377" spans="3:5">
      <c r="C3377" t="s">
        <v>17</v>
      </c>
      <c r="D3377" t="s">
        <v>18</v>
      </c>
      <c r="E3377">
        <v>0</v>
      </c>
    </row>
    <row r="3378" spans="3:5">
      <c r="C3378" t="s">
        <v>17</v>
      </c>
      <c r="D3378" t="s">
        <v>18</v>
      </c>
      <c r="E3378">
        <v>0</v>
      </c>
    </row>
    <row r="3379" spans="3:5">
      <c r="C3379" t="s">
        <v>15</v>
      </c>
      <c r="D3379" t="s">
        <v>16</v>
      </c>
      <c r="E3379">
        <v>0</v>
      </c>
    </row>
    <row r="3380" spans="3:5">
      <c r="C3380" t="s">
        <v>15</v>
      </c>
      <c r="D3380" t="s">
        <v>16</v>
      </c>
      <c r="E3380">
        <v>0</v>
      </c>
    </row>
    <row r="3381" spans="3:5">
      <c r="C3381" t="s">
        <v>15</v>
      </c>
      <c r="D3381" t="s">
        <v>16</v>
      </c>
      <c r="E3381">
        <v>0</v>
      </c>
    </row>
    <row r="3382" spans="3:5">
      <c r="C3382" t="s">
        <v>15</v>
      </c>
      <c r="D3382" t="s">
        <v>16</v>
      </c>
      <c r="E3382">
        <v>0</v>
      </c>
    </row>
    <row r="3383" spans="3:5">
      <c r="C3383" t="s">
        <v>17</v>
      </c>
      <c r="D3383" t="s">
        <v>18</v>
      </c>
      <c r="E3383">
        <v>0</v>
      </c>
    </row>
    <row r="3384" spans="3:5">
      <c r="C3384" t="s">
        <v>15</v>
      </c>
      <c r="D3384" t="s">
        <v>16</v>
      </c>
      <c r="E3384">
        <v>0</v>
      </c>
    </row>
    <row r="3385" spans="3:5">
      <c r="C3385" t="s">
        <v>15</v>
      </c>
      <c r="D3385" t="s">
        <v>16</v>
      </c>
      <c r="E3385">
        <v>0</v>
      </c>
    </row>
    <row r="3386" spans="3:5">
      <c r="C3386" t="s">
        <v>15</v>
      </c>
      <c r="D3386" t="s">
        <v>16</v>
      </c>
      <c r="E3386">
        <v>0</v>
      </c>
    </row>
    <row r="3387" spans="3:5">
      <c r="C3387" t="s">
        <v>15</v>
      </c>
      <c r="D3387" t="s">
        <v>16</v>
      </c>
      <c r="E3387">
        <v>0</v>
      </c>
    </row>
    <row r="3388" spans="3:5">
      <c r="C3388" t="s">
        <v>15</v>
      </c>
      <c r="D3388" t="s">
        <v>16</v>
      </c>
      <c r="E3388">
        <v>0</v>
      </c>
    </row>
    <row r="3389" spans="3:5">
      <c r="C3389" t="s">
        <v>15</v>
      </c>
      <c r="D3389" t="s">
        <v>16</v>
      </c>
      <c r="E3389">
        <v>0</v>
      </c>
    </row>
    <row r="3390" spans="3:5">
      <c r="C3390" t="s">
        <v>17</v>
      </c>
      <c r="D3390" t="s">
        <v>18</v>
      </c>
      <c r="E3390">
        <v>0</v>
      </c>
    </row>
    <row r="3391" spans="3:5">
      <c r="C3391" t="s">
        <v>15</v>
      </c>
      <c r="D3391" t="s">
        <v>16</v>
      </c>
      <c r="E3391">
        <v>0</v>
      </c>
    </row>
    <row r="3392" spans="3:5">
      <c r="C3392" t="s">
        <v>15</v>
      </c>
      <c r="D3392" t="s">
        <v>16</v>
      </c>
      <c r="E3392">
        <v>0</v>
      </c>
    </row>
    <row r="3393" spans="3:5">
      <c r="C3393" t="s">
        <v>15</v>
      </c>
      <c r="D3393" t="s">
        <v>16</v>
      </c>
      <c r="E3393">
        <v>0</v>
      </c>
    </row>
    <row r="3394" spans="3:5">
      <c r="C3394" t="s">
        <v>17</v>
      </c>
      <c r="D3394" t="s">
        <v>18</v>
      </c>
      <c r="E3394">
        <v>0</v>
      </c>
    </row>
    <row r="3395" spans="3:5">
      <c r="C3395" t="s">
        <v>15</v>
      </c>
      <c r="D3395" t="s">
        <v>16</v>
      </c>
      <c r="E3395">
        <v>0</v>
      </c>
    </row>
    <row r="3396" spans="3:5">
      <c r="C3396" t="s">
        <v>17</v>
      </c>
      <c r="D3396" t="s">
        <v>18</v>
      </c>
      <c r="E3396">
        <v>0</v>
      </c>
    </row>
    <row r="3397" spans="3:5">
      <c r="C3397" t="s">
        <v>17</v>
      </c>
      <c r="D3397" t="s">
        <v>18</v>
      </c>
      <c r="E3397">
        <v>0</v>
      </c>
    </row>
    <row r="3398" spans="3:5">
      <c r="C3398" t="s">
        <v>17</v>
      </c>
      <c r="D3398" t="s">
        <v>18</v>
      </c>
      <c r="E3398">
        <v>0</v>
      </c>
    </row>
    <row r="3399" spans="3:5">
      <c r="C3399" t="s">
        <v>17</v>
      </c>
      <c r="D3399" t="s">
        <v>18</v>
      </c>
      <c r="E3399">
        <v>0</v>
      </c>
    </row>
    <row r="3400" spans="3:5">
      <c r="C3400" t="s">
        <v>15</v>
      </c>
      <c r="D3400" t="s">
        <v>16</v>
      </c>
      <c r="E3400">
        <v>0</v>
      </c>
    </row>
    <row r="3401" spans="3:5">
      <c r="C3401" t="s">
        <v>17</v>
      </c>
      <c r="D3401" t="s">
        <v>18</v>
      </c>
      <c r="E3401">
        <v>0</v>
      </c>
    </row>
    <row r="3402" spans="3:5">
      <c r="C3402" t="s">
        <v>17</v>
      </c>
      <c r="D3402" t="s">
        <v>18</v>
      </c>
      <c r="E3402">
        <v>0</v>
      </c>
    </row>
    <row r="3403" spans="3:5">
      <c r="C3403" t="s">
        <v>15</v>
      </c>
      <c r="D3403" t="s">
        <v>16</v>
      </c>
      <c r="E3403">
        <v>0</v>
      </c>
    </row>
    <row r="3404" spans="3:5">
      <c r="C3404" t="s">
        <v>15</v>
      </c>
      <c r="D3404" t="s">
        <v>16</v>
      </c>
      <c r="E3404">
        <v>0</v>
      </c>
    </row>
    <row r="3405" spans="3:5">
      <c r="C3405" t="s">
        <v>15</v>
      </c>
      <c r="D3405" t="s">
        <v>16</v>
      </c>
      <c r="E3405">
        <v>0</v>
      </c>
    </row>
    <row r="3406" spans="3:5">
      <c r="C3406" t="s">
        <v>17</v>
      </c>
      <c r="D3406" t="s">
        <v>18</v>
      </c>
      <c r="E3406">
        <v>0</v>
      </c>
    </row>
    <row r="3407" spans="3:5">
      <c r="C3407" t="s">
        <v>15</v>
      </c>
      <c r="D3407" t="s">
        <v>16</v>
      </c>
      <c r="E3407">
        <v>0</v>
      </c>
    </row>
    <row r="3408" spans="3:5">
      <c r="C3408" t="s">
        <v>15</v>
      </c>
      <c r="D3408" t="s">
        <v>16</v>
      </c>
      <c r="E3408">
        <v>0</v>
      </c>
    </row>
    <row r="3409" spans="3:5">
      <c r="C3409" t="s">
        <v>15</v>
      </c>
      <c r="D3409" t="s">
        <v>16</v>
      </c>
      <c r="E3409">
        <v>0</v>
      </c>
    </row>
    <row r="3410" spans="3:5">
      <c r="C3410" t="s">
        <v>17</v>
      </c>
      <c r="D3410" t="s">
        <v>18</v>
      </c>
      <c r="E3410">
        <v>0</v>
      </c>
    </row>
    <row r="3411" spans="3:5">
      <c r="C3411" t="s">
        <v>15</v>
      </c>
      <c r="D3411" t="s">
        <v>16</v>
      </c>
      <c r="E3411">
        <v>0</v>
      </c>
    </row>
    <row r="3412" spans="3:5">
      <c r="C3412" t="s">
        <v>15</v>
      </c>
      <c r="D3412" t="s">
        <v>16</v>
      </c>
      <c r="E3412">
        <v>0</v>
      </c>
    </row>
    <row r="3413" spans="3:5">
      <c r="C3413" t="s">
        <v>15</v>
      </c>
      <c r="D3413" t="s">
        <v>16</v>
      </c>
      <c r="E3413">
        <v>0</v>
      </c>
    </row>
    <row r="3414" spans="3:5">
      <c r="C3414" t="s">
        <v>17</v>
      </c>
      <c r="D3414" t="s">
        <v>18</v>
      </c>
      <c r="E3414">
        <v>0</v>
      </c>
    </row>
    <row r="3415" spans="3:5">
      <c r="C3415" t="s">
        <v>17</v>
      </c>
      <c r="D3415" t="s">
        <v>18</v>
      </c>
      <c r="E3415">
        <v>0</v>
      </c>
    </row>
    <row r="3416" spans="3:5">
      <c r="C3416" t="s">
        <v>15</v>
      </c>
      <c r="D3416" t="s">
        <v>16</v>
      </c>
      <c r="E3416">
        <v>0</v>
      </c>
    </row>
    <row r="3417" spans="3:5">
      <c r="C3417" t="s">
        <v>15</v>
      </c>
      <c r="D3417" t="s">
        <v>16</v>
      </c>
      <c r="E3417">
        <v>0</v>
      </c>
    </row>
    <row r="3418" spans="3:5">
      <c r="C3418" t="s">
        <v>15</v>
      </c>
      <c r="D3418" t="s">
        <v>16</v>
      </c>
      <c r="E3418">
        <v>0</v>
      </c>
    </row>
    <row r="3419" spans="3:5">
      <c r="C3419" t="s">
        <v>15</v>
      </c>
      <c r="D3419" t="s">
        <v>16</v>
      </c>
      <c r="E3419">
        <v>0</v>
      </c>
    </row>
    <row r="3420" spans="3:5">
      <c r="C3420" t="s">
        <v>15</v>
      </c>
      <c r="D3420" t="s">
        <v>16</v>
      </c>
      <c r="E3420">
        <v>0</v>
      </c>
    </row>
    <row r="3421" spans="3:5">
      <c r="C3421" t="s">
        <v>15</v>
      </c>
      <c r="D3421" t="s">
        <v>16</v>
      </c>
      <c r="E3421">
        <v>0</v>
      </c>
    </row>
    <row r="3422" spans="3:5">
      <c r="C3422" t="s">
        <v>15</v>
      </c>
      <c r="D3422" t="s">
        <v>16</v>
      </c>
      <c r="E3422">
        <v>0</v>
      </c>
    </row>
    <row r="3423" spans="3:5">
      <c r="C3423" t="s">
        <v>15</v>
      </c>
      <c r="D3423" t="s">
        <v>16</v>
      </c>
      <c r="E3423">
        <v>0</v>
      </c>
    </row>
    <row r="3424" spans="3:5">
      <c r="C3424" t="s">
        <v>17</v>
      </c>
      <c r="D3424" t="s">
        <v>18</v>
      </c>
      <c r="E3424">
        <v>0</v>
      </c>
    </row>
    <row r="3425" spans="3:5">
      <c r="C3425" t="s">
        <v>15</v>
      </c>
      <c r="D3425" t="s">
        <v>16</v>
      </c>
      <c r="E3425">
        <v>0</v>
      </c>
    </row>
    <row r="3426" spans="3:5">
      <c r="C3426" t="s">
        <v>17</v>
      </c>
      <c r="D3426" t="s">
        <v>18</v>
      </c>
      <c r="E3426">
        <v>0</v>
      </c>
    </row>
    <row r="3427" spans="3:5">
      <c r="C3427" t="s">
        <v>15</v>
      </c>
      <c r="D3427" t="s">
        <v>16</v>
      </c>
      <c r="E3427">
        <v>0</v>
      </c>
    </row>
    <row r="3428" spans="3:5">
      <c r="C3428" t="s">
        <v>15</v>
      </c>
      <c r="D3428" t="s">
        <v>16</v>
      </c>
      <c r="E3428">
        <v>0</v>
      </c>
    </row>
    <row r="3429" spans="3:5">
      <c r="C3429" t="s">
        <v>17</v>
      </c>
      <c r="D3429" t="s">
        <v>18</v>
      </c>
      <c r="E3429">
        <v>0</v>
      </c>
    </row>
    <row r="3430" spans="3:5">
      <c r="C3430" t="s">
        <v>17</v>
      </c>
      <c r="D3430" t="s">
        <v>18</v>
      </c>
      <c r="E3430">
        <v>0</v>
      </c>
    </row>
    <row r="3431" spans="3:5">
      <c r="C3431" t="s">
        <v>15</v>
      </c>
      <c r="D3431" t="s">
        <v>16</v>
      </c>
      <c r="E3431">
        <v>0</v>
      </c>
    </row>
    <row r="3432" spans="3:5">
      <c r="C3432" t="s">
        <v>17</v>
      </c>
      <c r="D3432" t="s">
        <v>18</v>
      </c>
      <c r="E3432">
        <v>0</v>
      </c>
    </row>
    <row r="3433" spans="3:5">
      <c r="C3433" t="s">
        <v>15</v>
      </c>
      <c r="D3433" t="s">
        <v>16</v>
      </c>
      <c r="E3433">
        <v>0</v>
      </c>
    </row>
    <row r="3434" spans="3:5">
      <c r="C3434" t="s">
        <v>17</v>
      </c>
      <c r="D3434" t="s">
        <v>18</v>
      </c>
      <c r="E3434">
        <v>0</v>
      </c>
    </row>
    <row r="3435" spans="3:5">
      <c r="C3435" t="s">
        <v>15</v>
      </c>
      <c r="D3435" t="s">
        <v>16</v>
      </c>
      <c r="E3435">
        <v>0</v>
      </c>
    </row>
    <row r="3436" spans="3:5">
      <c r="C3436" t="s">
        <v>15</v>
      </c>
      <c r="D3436" t="s">
        <v>16</v>
      </c>
      <c r="E3436">
        <v>0</v>
      </c>
    </row>
    <row r="3437" spans="3:5">
      <c r="C3437" t="s">
        <v>15</v>
      </c>
      <c r="D3437" t="s">
        <v>16</v>
      </c>
      <c r="E3437">
        <v>0</v>
      </c>
    </row>
    <row r="3438" spans="3:5">
      <c r="C3438" t="s">
        <v>15</v>
      </c>
      <c r="D3438" t="s">
        <v>16</v>
      </c>
      <c r="E3438">
        <v>0</v>
      </c>
    </row>
    <row r="3439" spans="3:5">
      <c r="C3439" t="s">
        <v>15</v>
      </c>
      <c r="D3439" t="s">
        <v>16</v>
      </c>
      <c r="E3439">
        <v>0</v>
      </c>
    </row>
    <row r="3440" spans="3:5">
      <c r="C3440" t="s">
        <v>17</v>
      </c>
      <c r="D3440" t="s">
        <v>18</v>
      </c>
      <c r="E3440">
        <v>0</v>
      </c>
    </row>
    <row r="3441" spans="3:5">
      <c r="C3441" t="s">
        <v>15</v>
      </c>
      <c r="D3441" t="s">
        <v>16</v>
      </c>
      <c r="E3441">
        <v>0</v>
      </c>
    </row>
    <row r="3442" spans="3:5">
      <c r="C3442" t="s">
        <v>15</v>
      </c>
      <c r="D3442" t="s">
        <v>16</v>
      </c>
      <c r="E3442">
        <v>0</v>
      </c>
    </row>
    <row r="3443" spans="3:5">
      <c r="C3443" t="s">
        <v>15</v>
      </c>
      <c r="D3443" t="s">
        <v>16</v>
      </c>
      <c r="E3443">
        <v>0</v>
      </c>
    </row>
    <row r="3444" spans="3:5">
      <c r="C3444" t="s">
        <v>15</v>
      </c>
      <c r="D3444" t="s">
        <v>16</v>
      </c>
      <c r="E3444">
        <v>0</v>
      </c>
    </row>
    <row r="3445" spans="3:5">
      <c r="C3445" t="s">
        <v>17</v>
      </c>
      <c r="D3445" t="s">
        <v>18</v>
      </c>
      <c r="E3445">
        <v>0</v>
      </c>
    </row>
    <row r="3446" spans="3:5">
      <c r="C3446" t="s">
        <v>15</v>
      </c>
      <c r="D3446" t="s">
        <v>16</v>
      </c>
      <c r="E3446">
        <v>0</v>
      </c>
    </row>
    <row r="3447" spans="3:5">
      <c r="C3447" t="s">
        <v>17</v>
      </c>
      <c r="D3447" t="s">
        <v>18</v>
      </c>
      <c r="E3447">
        <v>0</v>
      </c>
    </row>
    <row r="3448" spans="3:5">
      <c r="C3448" t="s">
        <v>17</v>
      </c>
      <c r="D3448" t="s">
        <v>18</v>
      </c>
      <c r="E3448">
        <v>0</v>
      </c>
    </row>
    <row r="3449" spans="3:5">
      <c r="C3449" t="s">
        <v>15</v>
      </c>
      <c r="D3449" t="s">
        <v>16</v>
      </c>
      <c r="E3449">
        <v>0</v>
      </c>
    </row>
    <row r="3450" spans="3:5">
      <c r="C3450" t="s">
        <v>17</v>
      </c>
      <c r="D3450" t="s">
        <v>18</v>
      </c>
      <c r="E3450">
        <v>0</v>
      </c>
    </row>
    <row r="3451" spans="3:5">
      <c r="C3451" t="s">
        <v>17</v>
      </c>
      <c r="D3451" t="s">
        <v>18</v>
      </c>
      <c r="E3451">
        <v>0</v>
      </c>
    </row>
    <row r="3452" spans="3:5">
      <c r="C3452" t="s">
        <v>15</v>
      </c>
      <c r="D3452" t="s">
        <v>16</v>
      </c>
      <c r="E3452">
        <v>0</v>
      </c>
    </row>
    <row r="3453" spans="3:5">
      <c r="C3453" t="s">
        <v>17</v>
      </c>
      <c r="D3453" t="s">
        <v>18</v>
      </c>
      <c r="E3453">
        <v>0</v>
      </c>
    </row>
    <row r="3454" spans="3:5">
      <c r="C3454" t="s">
        <v>15</v>
      </c>
      <c r="D3454" t="s">
        <v>16</v>
      </c>
      <c r="E3454">
        <v>0</v>
      </c>
    </row>
    <row r="3455" spans="3:5">
      <c r="C3455" t="s">
        <v>15</v>
      </c>
      <c r="D3455" t="s">
        <v>16</v>
      </c>
      <c r="E3455">
        <v>0</v>
      </c>
    </row>
    <row r="3456" spans="3:5">
      <c r="C3456" t="s">
        <v>17</v>
      </c>
      <c r="D3456" t="s">
        <v>18</v>
      </c>
      <c r="E3456">
        <v>0</v>
      </c>
    </row>
    <row r="3457" spans="3:5">
      <c r="C3457" t="s">
        <v>15</v>
      </c>
      <c r="D3457" t="s">
        <v>16</v>
      </c>
      <c r="E3457">
        <v>0</v>
      </c>
    </row>
    <row r="3458" spans="3:5">
      <c r="C3458" t="s">
        <v>15</v>
      </c>
      <c r="D3458" t="s">
        <v>16</v>
      </c>
      <c r="E3458">
        <v>0</v>
      </c>
    </row>
    <row r="3459" spans="3:5">
      <c r="C3459" t="s">
        <v>17</v>
      </c>
      <c r="D3459" t="s">
        <v>18</v>
      </c>
      <c r="E3459">
        <v>0</v>
      </c>
    </row>
    <row r="3460" spans="3:5">
      <c r="C3460" t="s">
        <v>17</v>
      </c>
      <c r="D3460" t="s">
        <v>18</v>
      </c>
      <c r="E3460">
        <v>0</v>
      </c>
    </row>
    <row r="3461" spans="3:5">
      <c r="C3461" t="s">
        <v>17</v>
      </c>
      <c r="D3461" t="s">
        <v>18</v>
      </c>
      <c r="E3461">
        <v>0</v>
      </c>
    </row>
    <row r="3462" spans="3:5">
      <c r="C3462" t="s">
        <v>15</v>
      </c>
      <c r="D3462" t="s">
        <v>16</v>
      </c>
      <c r="E3462">
        <v>0</v>
      </c>
    </row>
    <row r="3463" spans="3:5">
      <c r="C3463" t="s">
        <v>17</v>
      </c>
      <c r="D3463" t="s">
        <v>18</v>
      </c>
      <c r="E3463">
        <v>0</v>
      </c>
    </row>
    <row r="3464" spans="3:5">
      <c r="C3464" t="s">
        <v>15</v>
      </c>
      <c r="D3464" t="s">
        <v>16</v>
      </c>
      <c r="E3464">
        <v>0</v>
      </c>
    </row>
    <row r="3465" spans="3:5">
      <c r="C3465" t="s">
        <v>15</v>
      </c>
      <c r="D3465" t="s">
        <v>16</v>
      </c>
      <c r="E3465">
        <v>0</v>
      </c>
    </row>
    <row r="3466" spans="3:5">
      <c r="C3466" t="s">
        <v>17</v>
      </c>
      <c r="D3466" t="s">
        <v>18</v>
      </c>
      <c r="E3466">
        <v>0</v>
      </c>
    </row>
    <row r="3467" spans="3:5">
      <c r="C3467" t="s">
        <v>15</v>
      </c>
      <c r="D3467" t="s">
        <v>16</v>
      </c>
      <c r="E3467">
        <v>0</v>
      </c>
    </row>
    <row r="3468" spans="3:5">
      <c r="C3468" t="s">
        <v>15</v>
      </c>
      <c r="D3468" t="s">
        <v>16</v>
      </c>
      <c r="E3468">
        <v>0</v>
      </c>
    </row>
    <row r="3469" spans="3:5">
      <c r="C3469" t="s">
        <v>15</v>
      </c>
      <c r="D3469" t="s">
        <v>16</v>
      </c>
      <c r="E3469">
        <v>0</v>
      </c>
    </row>
    <row r="3470" spans="3:5">
      <c r="C3470" t="s">
        <v>17</v>
      </c>
      <c r="D3470" t="s">
        <v>18</v>
      </c>
      <c r="E3470">
        <v>0</v>
      </c>
    </row>
    <row r="3471" spans="3:5">
      <c r="C3471" t="s">
        <v>17</v>
      </c>
      <c r="D3471" t="s">
        <v>18</v>
      </c>
      <c r="E3471">
        <v>0</v>
      </c>
    </row>
    <row r="3472" spans="3:5">
      <c r="C3472" t="s">
        <v>17</v>
      </c>
      <c r="D3472" t="s">
        <v>18</v>
      </c>
      <c r="E3472">
        <v>0</v>
      </c>
    </row>
    <row r="3473" spans="3:5">
      <c r="C3473" t="s">
        <v>17</v>
      </c>
      <c r="D3473" t="s">
        <v>18</v>
      </c>
      <c r="E3473">
        <v>0</v>
      </c>
    </row>
    <row r="3474" spans="3:5">
      <c r="C3474" t="s">
        <v>17</v>
      </c>
      <c r="D3474" t="s">
        <v>18</v>
      </c>
      <c r="E3474">
        <v>0</v>
      </c>
    </row>
    <row r="3475" spans="3:5">
      <c r="C3475" t="s">
        <v>15</v>
      </c>
      <c r="D3475" t="s">
        <v>16</v>
      </c>
      <c r="E3475">
        <v>0</v>
      </c>
    </row>
    <row r="3476" spans="3:5">
      <c r="C3476" t="s">
        <v>15</v>
      </c>
      <c r="D3476" t="s">
        <v>16</v>
      </c>
      <c r="E3476">
        <v>0</v>
      </c>
    </row>
    <row r="3477" spans="3:5">
      <c r="C3477" t="s">
        <v>15</v>
      </c>
      <c r="D3477" t="s">
        <v>16</v>
      </c>
      <c r="E3477">
        <v>0</v>
      </c>
    </row>
    <row r="3478" spans="3:5">
      <c r="C3478" t="s">
        <v>15</v>
      </c>
      <c r="D3478" t="s">
        <v>16</v>
      </c>
      <c r="E3478">
        <v>0</v>
      </c>
    </row>
    <row r="3479" spans="3:5">
      <c r="C3479" t="s">
        <v>17</v>
      </c>
      <c r="D3479" t="s">
        <v>18</v>
      </c>
      <c r="E3479">
        <v>0</v>
      </c>
    </row>
    <row r="3480" spans="3:5">
      <c r="C3480" t="s">
        <v>17</v>
      </c>
      <c r="D3480" t="s">
        <v>18</v>
      </c>
      <c r="E3480">
        <v>0</v>
      </c>
    </row>
    <row r="3481" spans="3:5">
      <c r="C3481" t="s">
        <v>17</v>
      </c>
      <c r="D3481" t="s">
        <v>18</v>
      </c>
      <c r="E3481">
        <v>0</v>
      </c>
    </row>
    <row r="3482" spans="3:5">
      <c r="C3482" t="s">
        <v>15</v>
      </c>
      <c r="D3482" t="s">
        <v>16</v>
      </c>
      <c r="E3482">
        <v>0</v>
      </c>
    </row>
    <row r="3483" spans="3:5">
      <c r="C3483" t="s">
        <v>15</v>
      </c>
      <c r="D3483" t="s">
        <v>16</v>
      </c>
      <c r="E3483">
        <v>0</v>
      </c>
    </row>
    <row r="3484" spans="3:5">
      <c r="C3484" t="s">
        <v>17</v>
      </c>
      <c r="D3484" t="s">
        <v>18</v>
      </c>
      <c r="E3484">
        <v>0</v>
      </c>
    </row>
    <row r="3485" spans="3:5">
      <c r="C3485" t="s">
        <v>17</v>
      </c>
      <c r="D3485" t="s">
        <v>18</v>
      </c>
      <c r="E3485">
        <v>0</v>
      </c>
    </row>
    <row r="3486" spans="3:5">
      <c r="C3486" t="s">
        <v>15</v>
      </c>
      <c r="D3486" t="s">
        <v>16</v>
      </c>
      <c r="E3486">
        <v>0</v>
      </c>
    </row>
    <row r="3487" spans="3:5">
      <c r="C3487" t="s">
        <v>15</v>
      </c>
      <c r="D3487" t="s">
        <v>16</v>
      </c>
      <c r="E3487">
        <v>0</v>
      </c>
    </row>
    <row r="3488" spans="3:5">
      <c r="C3488" t="s">
        <v>15</v>
      </c>
      <c r="D3488" t="s">
        <v>16</v>
      </c>
      <c r="E3488">
        <v>0</v>
      </c>
    </row>
    <row r="3489" spans="3:5">
      <c r="C3489" t="s">
        <v>17</v>
      </c>
      <c r="D3489" t="s">
        <v>18</v>
      </c>
      <c r="E3489">
        <v>0</v>
      </c>
    </row>
    <row r="3490" spans="3:5">
      <c r="C3490" t="s">
        <v>17</v>
      </c>
      <c r="D3490" t="s">
        <v>18</v>
      </c>
      <c r="E3490">
        <v>0</v>
      </c>
    </row>
    <row r="3491" spans="3:5">
      <c r="C3491" t="s">
        <v>15</v>
      </c>
      <c r="D3491" t="s">
        <v>16</v>
      </c>
      <c r="E3491">
        <v>0</v>
      </c>
    </row>
    <row r="3492" spans="3:5">
      <c r="C3492" t="s">
        <v>17</v>
      </c>
      <c r="D3492" t="s">
        <v>18</v>
      </c>
      <c r="E3492">
        <v>0</v>
      </c>
    </row>
    <row r="3493" spans="3:5">
      <c r="C3493" t="s">
        <v>17</v>
      </c>
      <c r="D3493" t="s">
        <v>18</v>
      </c>
      <c r="E3493">
        <v>0</v>
      </c>
    </row>
    <row r="3494" spans="3:5">
      <c r="C3494" t="s">
        <v>15</v>
      </c>
      <c r="D3494" t="s">
        <v>16</v>
      </c>
      <c r="E3494">
        <v>0</v>
      </c>
    </row>
    <row r="3495" spans="3:5">
      <c r="C3495" t="s">
        <v>15</v>
      </c>
      <c r="D3495" t="s">
        <v>16</v>
      </c>
      <c r="E3495">
        <v>0</v>
      </c>
    </row>
    <row r="3496" spans="3:5">
      <c r="C3496" t="s">
        <v>17</v>
      </c>
      <c r="D3496" t="s">
        <v>18</v>
      </c>
      <c r="E3496">
        <v>0</v>
      </c>
    </row>
    <row r="3497" spans="3:5">
      <c r="C3497" t="s">
        <v>17</v>
      </c>
      <c r="D3497" t="s">
        <v>18</v>
      </c>
      <c r="E3497">
        <v>0</v>
      </c>
    </row>
    <row r="3498" spans="3:5">
      <c r="C3498" t="s">
        <v>17</v>
      </c>
      <c r="D3498" t="s">
        <v>18</v>
      </c>
      <c r="E3498">
        <v>0</v>
      </c>
    </row>
    <row r="3499" spans="3:5">
      <c r="C3499" t="s">
        <v>15</v>
      </c>
      <c r="D3499" t="s">
        <v>16</v>
      </c>
      <c r="E3499">
        <v>0</v>
      </c>
    </row>
    <row r="3500" spans="3:5">
      <c r="C3500" t="s">
        <v>17</v>
      </c>
      <c r="D3500" t="s">
        <v>18</v>
      </c>
      <c r="E3500">
        <v>0</v>
      </c>
    </row>
    <row r="3501" spans="3:5">
      <c r="C3501" t="s">
        <v>15</v>
      </c>
      <c r="D3501" t="s">
        <v>16</v>
      </c>
      <c r="E3501">
        <v>0</v>
      </c>
    </row>
    <row r="3502" spans="3:5">
      <c r="C3502" t="s">
        <v>15</v>
      </c>
      <c r="D3502" t="s">
        <v>16</v>
      </c>
      <c r="E3502">
        <v>0</v>
      </c>
    </row>
    <row r="3503" spans="3:5">
      <c r="C3503" t="s">
        <v>15</v>
      </c>
      <c r="D3503" t="s">
        <v>16</v>
      </c>
      <c r="E3503">
        <v>0</v>
      </c>
    </row>
    <row r="3504" spans="3:5">
      <c r="C3504" t="s">
        <v>15</v>
      </c>
      <c r="D3504" t="s">
        <v>16</v>
      </c>
      <c r="E3504">
        <v>0</v>
      </c>
    </row>
    <row r="3505" spans="3:5">
      <c r="C3505" t="s">
        <v>17</v>
      </c>
      <c r="D3505" t="s">
        <v>18</v>
      </c>
      <c r="E3505">
        <v>0</v>
      </c>
    </row>
    <row r="3506" spans="3:5">
      <c r="C3506" t="s">
        <v>17</v>
      </c>
      <c r="D3506" t="s">
        <v>18</v>
      </c>
      <c r="E3506">
        <v>0</v>
      </c>
    </row>
    <row r="3507" spans="3:5">
      <c r="C3507" t="s">
        <v>15</v>
      </c>
      <c r="D3507" t="s">
        <v>16</v>
      </c>
      <c r="E3507">
        <v>0</v>
      </c>
    </row>
    <row r="3508" spans="3:5">
      <c r="C3508" t="s">
        <v>17</v>
      </c>
      <c r="D3508" t="s">
        <v>18</v>
      </c>
      <c r="E3508">
        <v>0</v>
      </c>
    </row>
    <row r="3509" spans="3:5">
      <c r="C3509" t="s">
        <v>15</v>
      </c>
      <c r="D3509" t="s">
        <v>16</v>
      </c>
      <c r="E3509">
        <v>0</v>
      </c>
    </row>
    <row r="3510" spans="3:5">
      <c r="C3510" t="s">
        <v>15</v>
      </c>
      <c r="D3510" t="s">
        <v>16</v>
      </c>
      <c r="E3510">
        <v>0</v>
      </c>
    </row>
    <row r="3511" spans="3:5">
      <c r="C3511" t="s">
        <v>17</v>
      </c>
      <c r="D3511" t="s">
        <v>18</v>
      </c>
      <c r="E3511">
        <v>0</v>
      </c>
    </row>
    <row r="3512" spans="3:5">
      <c r="C3512" t="s">
        <v>17</v>
      </c>
      <c r="D3512" t="s">
        <v>18</v>
      </c>
      <c r="E3512">
        <v>0</v>
      </c>
    </row>
    <row r="3513" spans="3:5">
      <c r="C3513" t="s">
        <v>17</v>
      </c>
      <c r="D3513" t="s">
        <v>18</v>
      </c>
      <c r="E3513">
        <v>0</v>
      </c>
    </row>
    <row r="3514" spans="3:5">
      <c r="C3514" t="s">
        <v>15</v>
      </c>
      <c r="D3514" t="s">
        <v>16</v>
      </c>
      <c r="E3514">
        <v>1</v>
      </c>
    </row>
    <row r="3515" spans="3:5">
      <c r="C3515" t="s">
        <v>15</v>
      </c>
      <c r="D3515" t="s">
        <v>16</v>
      </c>
      <c r="E3515">
        <v>0</v>
      </c>
    </row>
    <row r="3516" spans="3:5">
      <c r="C3516" t="s">
        <v>15</v>
      </c>
      <c r="D3516" t="s">
        <v>16</v>
      </c>
      <c r="E3516">
        <v>0</v>
      </c>
    </row>
    <row r="3517" spans="3:5">
      <c r="C3517" t="s">
        <v>17</v>
      </c>
      <c r="D3517" t="s">
        <v>18</v>
      </c>
      <c r="E3517">
        <v>0</v>
      </c>
    </row>
    <row r="3518" spans="3:5">
      <c r="C3518" t="s">
        <v>17</v>
      </c>
      <c r="D3518" t="s">
        <v>18</v>
      </c>
      <c r="E3518">
        <v>0</v>
      </c>
    </row>
    <row r="3519" spans="3:5">
      <c r="C3519" t="s">
        <v>15</v>
      </c>
      <c r="D3519" t="s">
        <v>16</v>
      </c>
      <c r="E3519">
        <v>0</v>
      </c>
    </row>
    <row r="3520" spans="3:5">
      <c r="C3520" t="s">
        <v>15</v>
      </c>
      <c r="D3520" t="s">
        <v>16</v>
      </c>
      <c r="E3520">
        <v>0</v>
      </c>
    </row>
    <row r="3521" spans="3:5">
      <c r="C3521" t="s">
        <v>17</v>
      </c>
      <c r="D3521" t="s">
        <v>18</v>
      </c>
      <c r="E3521">
        <v>0</v>
      </c>
    </row>
    <row r="3522" spans="3:5">
      <c r="C3522" t="s">
        <v>15</v>
      </c>
      <c r="D3522" t="s">
        <v>16</v>
      </c>
      <c r="E3522">
        <v>0</v>
      </c>
    </row>
    <row r="3523" spans="3:5">
      <c r="C3523" t="s">
        <v>17</v>
      </c>
      <c r="D3523" t="s">
        <v>18</v>
      </c>
      <c r="E3523">
        <v>0</v>
      </c>
    </row>
    <row r="3524" spans="3:5">
      <c r="C3524" t="s">
        <v>15</v>
      </c>
      <c r="D3524" t="s">
        <v>16</v>
      </c>
      <c r="E3524">
        <v>0</v>
      </c>
    </row>
    <row r="3525" spans="3:5">
      <c r="C3525" t="s">
        <v>15</v>
      </c>
      <c r="D3525" t="s">
        <v>16</v>
      </c>
      <c r="E3525">
        <v>0</v>
      </c>
    </row>
    <row r="3526" spans="3:5">
      <c r="C3526" t="s">
        <v>17</v>
      </c>
      <c r="D3526" t="s">
        <v>18</v>
      </c>
      <c r="E3526">
        <v>0</v>
      </c>
    </row>
    <row r="3527" spans="3:5">
      <c r="C3527" t="s">
        <v>17</v>
      </c>
      <c r="D3527" t="s">
        <v>18</v>
      </c>
      <c r="E3527">
        <v>0</v>
      </c>
    </row>
    <row r="3528" spans="3:5">
      <c r="C3528" t="s">
        <v>17</v>
      </c>
      <c r="D3528" t="s">
        <v>18</v>
      </c>
      <c r="E3528">
        <v>0</v>
      </c>
    </row>
    <row r="3529" spans="3:5">
      <c r="C3529" t="s">
        <v>17</v>
      </c>
      <c r="D3529" t="s">
        <v>18</v>
      </c>
      <c r="E3529">
        <v>0</v>
      </c>
    </row>
    <row r="3530" spans="3:5">
      <c r="C3530" t="s">
        <v>15</v>
      </c>
      <c r="D3530" t="s">
        <v>16</v>
      </c>
      <c r="E3530">
        <v>0</v>
      </c>
    </row>
    <row r="3531" spans="3:5">
      <c r="C3531" t="s">
        <v>15</v>
      </c>
      <c r="D3531" t="s">
        <v>16</v>
      </c>
      <c r="E3531">
        <v>0</v>
      </c>
    </row>
    <row r="3532" spans="3:5">
      <c r="C3532" t="s">
        <v>15</v>
      </c>
      <c r="D3532" t="s">
        <v>16</v>
      </c>
      <c r="E3532">
        <v>0</v>
      </c>
    </row>
    <row r="3533" spans="3:5">
      <c r="C3533" t="s">
        <v>15</v>
      </c>
      <c r="D3533" t="s">
        <v>16</v>
      </c>
      <c r="E3533">
        <v>0</v>
      </c>
    </row>
    <row r="3534" spans="3:5">
      <c r="C3534" t="s">
        <v>17</v>
      </c>
      <c r="D3534" t="s">
        <v>18</v>
      </c>
      <c r="E3534">
        <v>0</v>
      </c>
    </row>
    <row r="3535" spans="3:5">
      <c r="C3535" t="s">
        <v>15</v>
      </c>
      <c r="D3535" t="s">
        <v>16</v>
      </c>
      <c r="E3535">
        <v>0</v>
      </c>
    </row>
    <row r="3536" spans="3:5">
      <c r="C3536" t="s">
        <v>17</v>
      </c>
      <c r="D3536" t="s">
        <v>18</v>
      </c>
      <c r="E3536">
        <v>0</v>
      </c>
    </row>
    <row r="3537" spans="3:5">
      <c r="C3537" t="s">
        <v>17</v>
      </c>
      <c r="D3537" t="s">
        <v>18</v>
      </c>
      <c r="E3537">
        <v>0</v>
      </c>
    </row>
    <row r="3538" spans="3:5">
      <c r="C3538" t="s">
        <v>15</v>
      </c>
      <c r="D3538" t="s">
        <v>16</v>
      </c>
      <c r="E3538">
        <v>0</v>
      </c>
    </row>
    <row r="3539" spans="3:5">
      <c r="C3539" t="s">
        <v>15</v>
      </c>
      <c r="D3539" t="s">
        <v>16</v>
      </c>
      <c r="E3539">
        <v>0</v>
      </c>
    </row>
    <row r="3540" spans="3:5">
      <c r="C3540" t="s">
        <v>15</v>
      </c>
      <c r="D3540" t="s">
        <v>16</v>
      </c>
      <c r="E3540">
        <v>0</v>
      </c>
    </row>
    <row r="3541" spans="3:5">
      <c r="C3541" t="s">
        <v>15</v>
      </c>
      <c r="D3541" t="s">
        <v>16</v>
      </c>
      <c r="E3541">
        <v>0</v>
      </c>
    </row>
    <row r="3542" spans="3:5">
      <c r="C3542" t="s">
        <v>15</v>
      </c>
      <c r="D3542" t="s">
        <v>16</v>
      </c>
      <c r="E3542">
        <v>0</v>
      </c>
    </row>
    <row r="3543" spans="3:5">
      <c r="C3543" t="s">
        <v>17</v>
      </c>
      <c r="D3543" t="s">
        <v>18</v>
      </c>
      <c r="E3543">
        <v>0</v>
      </c>
    </row>
    <row r="3544" spans="3:5">
      <c r="C3544" t="s">
        <v>15</v>
      </c>
      <c r="D3544" t="s">
        <v>16</v>
      </c>
      <c r="E3544">
        <v>0</v>
      </c>
    </row>
    <row r="3545" spans="3:5">
      <c r="C3545" t="s">
        <v>17</v>
      </c>
      <c r="D3545" t="s">
        <v>18</v>
      </c>
      <c r="E3545">
        <v>0</v>
      </c>
    </row>
    <row r="3546" spans="3:5">
      <c r="C3546" t="s">
        <v>15</v>
      </c>
      <c r="D3546" t="s">
        <v>16</v>
      </c>
      <c r="E3546">
        <v>0</v>
      </c>
    </row>
    <row r="3547" spans="3:5">
      <c r="C3547" t="s">
        <v>17</v>
      </c>
      <c r="D3547" t="s">
        <v>18</v>
      </c>
      <c r="E3547">
        <v>0</v>
      </c>
    </row>
    <row r="3548" spans="3:5">
      <c r="C3548" t="s">
        <v>15</v>
      </c>
      <c r="D3548" t="s">
        <v>16</v>
      </c>
      <c r="E3548">
        <v>0</v>
      </c>
    </row>
    <row r="3549" spans="3:5">
      <c r="C3549" t="s">
        <v>15</v>
      </c>
      <c r="D3549" t="s">
        <v>16</v>
      </c>
      <c r="E3549">
        <v>0</v>
      </c>
    </row>
    <row r="3550" spans="3:5">
      <c r="C3550" t="s">
        <v>17</v>
      </c>
      <c r="D3550" t="s">
        <v>18</v>
      </c>
      <c r="E3550">
        <v>0</v>
      </c>
    </row>
    <row r="3551" spans="3:5">
      <c r="C3551" t="s">
        <v>15</v>
      </c>
      <c r="D3551" t="s">
        <v>16</v>
      </c>
      <c r="E3551">
        <v>0</v>
      </c>
    </row>
    <row r="3552" spans="3:5">
      <c r="C3552" t="s">
        <v>15</v>
      </c>
      <c r="D3552" t="s">
        <v>16</v>
      </c>
      <c r="E3552">
        <v>0</v>
      </c>
    </row>
    <row r="3553" spans="3:5">
      <c r="C3553" t="s">
        <v>15</v>
      </c>
      <c r="D3553" t="s">
        <v>16</v>
      </c>
      <c r="E3553">
        <v>0</v>
      </c>
    </row>
    <row r="3554" spans="3:5">
      <c r="C3554" t="s">
        <v>17</v>
      </c>
      <c r="D3554" t="s">
        <v>18</v>
      </c>
      <c r="E3554">
        <v>0</v>
      </c>
    </row>
    <row r="3555" spans="3:5">
      <c r="C3555" t="s">
        <v>17</v>
      </c>
      <c r="D3555" t="s">
        <v>18</v>
      </c>
      <c r="E3555">
        <v>0</v>
      </c>
    </row>
    <row r="3556" spans="3:5">
      <c r="C3556" t="s">
        <v>17</v>
      </c>
      <c r="D3556" t="s">
        <v>18</v>
      </c>
      <c r="E3556">
        <v>0</v>
      </c>
    </row>
    <row r="3557" spans="3:5">
      <c r="C3557" t="s">
        <v>17</v>
      </c>
      <c r="D3557" t="s">
        <v>18</v>
      </c>
      <c r="E3557">
        <v>0</v>
      </c>
    </row>
    <row r="3558" spans="3:5">
      <c r="C3558" t="s">
        <v>15</v>
      </c>
      <c r="D3558" t="s">
        <v>16</v>
      </c>
      <c r="E3558">
        <v>0</v>
      </c>
    </row>
    <row r="3559" spans="3:5">
      <c r="C3559" t="s">
        <v>15</v>
      </c>
      <c r="D3559" t="s">
        <v>16</v>
      </c>
      <c r="E3559">
        <v>0</v>
      </c>
    </row>
    <row r="3560" spans="3:5">
      <c r="C3560" t="s">
        <v>17</v>
      </c>
      <c r="D3560" t="s">
        <v>18</v>
      </c>
      <c r="E3560">
        <v>0</v>
      </c>
    </row>
    <row r="3561" spans="3:5">
      <c r="C3561" t="s">
        <v>15</v>
      </c>
      <c r="D3561" t="s">
        <v>16</v>
      </c>
      <c r="E3561">
        <v>1</v>
      </c>
    </row>
    <row r="3562" spans="3:5">
      <c r="C3562" t="s">
        <v>15</v>
      </c>
      <c r="D3562" t="s">
        <v>16</v>
      </c>
      <c r="E3562">
        <v>0</v>
      </c>
    </row>
    <row r="3563" spans="3:5">
      <c r="C3563" t="s">
        <v>17</v>
      </c>
      <c r="D3563" t="s">
        <v>18</v>
      </c>
      <c r="E3563">
        <v>0</v>
      </c>
    </row>
    <row r="3564" spans="3:5">
      <c r="C3564" t="s">
        <v>15</v>
      </c>
      <c r="D3564" t="s">
        <v>16</v>
      </c>
      <c r="E3564">
        <v>0</v>
      </c>
    </row>
    <row r="3565" spans="3:5">
      <c r="C3565" t="s">
        <v>17</v>
      </c>
      <c r="D3565" t="s">
        <v>18</v>
      </c>
      <c r="E3565">
        <v>0</v>
      </c>
    </row>
    <row r="3566" spans="3:5">
      <c r="C3566" t="s">
        <v>15</v>
      </c>
      <c r="D3566" t="s">
        <v>16</v>
      </c>
      <c r="E3566">
        <v>0</v>
      </c>
    </row>
    <row r="3567" spans="3:5">
      <c r="C3567" t="s">
        <v>15</v>
      </c>
      <c r="D3567" t="s">
        <v>16</v>
      </c>
      <c r="E3567">
        <v>0</v>
      </c>
    </row>
    <row r="3568" spans="3:5">
      <c r="C3568" t="s">
        <v>17</v>
      </c>
      <c r="D3568" t="s">
        <v>18</v>
      </c>
      <c r="E3568">
        <v>0</v>
      </c>
    </row>
    <row r="3569" spans="3:5">
      <c r="C3569" t="s">
        <v>15</v>
      </c>
      <c r="D3569" t="s">
        <v>16</v>
      </c>
      <c r="E3569">
        <v>0</v>
      </c>
    </row>
    <row r="3570" spans="3:5">
      <c r="C3570" t="s">
        <v>15</v>
      </c>
      <c r="D3570" t="s">
        <v>16</v>
      </c>
      <c r="E3570">
        <v>0</v>
      </c>
    </row>
    <row r="3571" spans="3:5">
      <c r="C3571" t="s">
        <v>17</v>
      </c>
      <c r="D3571" t="s">
        <v>18</v>
      </c>
      <c r="E3571">
        <v>0</v>
      </c>
    </row>
    <row r="3572" spans="3:5">
      <c r="C3572" t="s">
        <v>17</v>
      </c>
      <c r="D3572" t="s">
        <v>18</v>
      </c>
      <c r="E3572">
        <v>0</v>
      </c>
    </row>
    <row r="3573" spans="3:5">
      <c r="C3573" t="s">
        <v>15</v>
      </c>
      <c r="D3573" t="s">
        <v>16</v>
      </c>
      <c r="E3573">
        <v>0</v>
      </c>
    </row>
    <row r="3574" spans="3:5">
      <c r="C3574" t="s">
        <v>15</v>
      </c>
      <c r="D3574" t="s">
        <v>16</v>
      </c>
      <c r="E3574">
        <v>0</v>
      </c>
    </row>
    <row r="3575" spans="3:5">
      <c r="C3575" t="s">
        <v>17</v>
      </c>
      <c r="D3575" t="s">
        <v>18</v>
      </c>
      <c r="E3575">
        <v>0</v>
      </c>
    </row>
    <row r="3576" spans="3:5">
      <c r="C3576" t="s">
        <v>17</v>
      </c>
      <c r="D3576" t="s">
        <v>18</v>
      </c>
      <c r="E3576">
        <v>0</v>
      </c>
    </row>
    <row r="3577" spans="3:5">
      <c r="C3577" t="s">
        <v>15</v>
      </c>
      <c r="D3577" t="s">
        <v>16</v>
      </c>
      <c r="E3577">
        <v>0</v>
      </c>
    </row>
    <row r="3578" spans="3:5">
      <c r="C3578" t="s">
        <v>17</v>
      </c>
      <c r="D3578" t="s">
        <v>18</v>
      </c>
      <c r="E3578">
        <v>0</v>
      </c>
    </row>
    <row r="3579" spans="3:5">
      <c r="C3579" t="s">
        <v>15</v>
      </c>
      <c r="D3579" t="s">
        <v>16</v>
      </c>
      <c r="E3579">
        <v>0</v>
      </c>
    </row>
    <row r="3580" spans="3:5">
      <c r="C3580" t="s">
        <v>17</v>
      </c>
      <c r="D3580" t="s">
        <v>18</v>
      </c>
      <c r="E3580">
        <v>0</v>
      </c>
    </row>
    <row r="3581" spans="3:5">
      <c r="C3581" t="s">
        <v>17</v>
      </c>
      <c r="D3581" t="s">
        <v>18</v>
      </c>
      <c r="E3581">
        <v>0</v>
      </c>
    </row>
    <row r="3582" spans="3:5">
      <c r="C3582" t="s">
        <v>15</v>
      </c>
      <c r="D3582" t="s">
        <v>16</v>
      </c>
      <c r="E3582">
        <v>0</v>
      </c>
    </row>
    <row r="3583" spans="3:5">
      <c r="C3583" t="s">
        <v>17</v>
      </c>
      <c r="D3583" t="s">
        <v>18</v>
      </c>
      <c r="E3583">
        <v>0</v>
      </c>
    </row>
    <row r="3584" spans="3:5">
      <c r="C3584" t="s">
        <v>15</v>
      </c>
      <c r="D3584" t="s">
        <v>16</v>
      </c>
      <c r="E3584">
        <v>0</v>
      </c>
    </row>
    <row r="3585" spans="3:5">
      <c r="C3585" t="s">
        <v>15</v>
      </c>
      <c r="D3585" t="s">
        <v>16</v>
      </c>
      <c r="E3585">
        <v>0</v>
      </c>
    </row>
    <row r="3586" spans="3:5">
      <c r="C3586" t="s">
        <v>17</v>
      </c>
      <c r="D3586" t="s">
        <v>18</v>
      </c>
      <c r="E3586">
        <v>0</v>
      </c>
    </row>
    <row r="3587" spans="3:5">
      <c r="C3587" t="s">
        <v>17</v>
      </c>
      <c r="D3587" t="s">
        <v>18</v>
      </c>
      <c r="E3587">
        <v>0</v>
      </c>
    </row>
    <row r="3588" spans="3:5">
      <c r="C3588" t="s">
        <v>15</v>
      </c>
      <c r="D3588" t="s">
        <v>16</v>
      </c>
      <c r="E3588">
        <v>0</v>
      </c>
    </row>
    <row r="3589" spans="3:5">
      <c r="C3589" t="s">
        <v>15</v>
      </c>
      <c r="D3589" t="s">
        <v>16</v>
      </c>
      <c r="E3589">
        <v>0</v>
      </c>
    </row>
    <row r="3590" spans="3:5">
      <c r="C3590" t="s">
        <v>15</v>
      </c>
      <c r="D3590" t="s">
        <v>16</v>
      </c>
      <c r="E3590">
        <v>0</v>
      </c>
    </row>
    <row r="3591" spans="3:5">
      <c r="C3591" t="s">
        <v>15</v>
      </c>
      <c r="D3591" t="s">
        <v>16</v>
      </c>
      <c r="E3591">
        <v>0</v>
      </c>
    </row>
    <row r="3592" spans="3:5">
      <c r="C3592" t="s">
        <v>15</v>
      </c>
      <c r="D3592" t="s">
        <v>16</v>
      </c>
      <c r="E3592">
        <v>0</v>
      </c>
    </row>
    <row r="3593" spans="3:5">
      <c r="C3593" t="s">
        <v>17</v>
      </c>
      <c r="D3593" t="s">
        <v>18</v>
      </c>
      <c r="E3593">
        <v>0</v>
      </c>
    </row>
    <row r="3594" spans="3:5">
      <c r="C3594" t="s">
        <v>15</v>
      </c>
      <c r="D3594" t="s">
        <v>16</v>
      </c>
      <c r="E3594">
        <v>0</v>
      </c>
    </row>
    <row r="3595" spans="3:5">
      <c r="C3595" t="s">
        <v>17</v>
      </c>
      <c r="D3595" t="s">
        <v>18</v>
      </c>
      <c r="E3595">
        <v>0</v>
      </c>
    </row>
    <row r="3596" spans="3:5">
      <c r="C3596" t="s">
        <v>15</v>
      </c>
      <c r="D3596" t="s">
        <v>16</v>
      </c>
      <c r="E3596">
        <v>0</v>
      </c>
    </row>
    <row r="3597" spans="3:5">
      <c r="C3597" t="s">
        <v>15</v>
      </c>
      <c r="D3597" t="s">
        <v>16</v>
      </c>
      <c r="E3597">
        <v>0</v>
      </c>
    </row>
    <row r="3598" spans="3:5">
      <c r="C3598" t="s">
        <v>15</v>
      </c>
      <c r="D3598" t="s">
        <v>16</v>
      </c>
      <c r="E3598">
        <v>0</v>
      </c>
    </row>
    <row r="3599" spans="3:5">
      <c r="C3599" t="s">
        <v>17</v>
      </c>
      <c r="D3599" t="s">
        <v>18</v>
      </c>
      <c r="E3599">
        <v>1</v>
      </c>
    </row>
    <row r="3600" spans="3:5">
      <c r="C3600" t="s">
        <v>17</v>
      </c>
      <c r="D3600" t="s">
        <v>18</v>
      </c>
      <c r="E3600">
        <v>0</v>
      </c>
    </row>
    <row r="3601" spans="3:5">
      <c r="C3601" t="s">
        <v>15</v>
      </c>
      <c r="D3601" t="s">
        <v>16</v>
      </c>
      <c r="E3601">
        <v>0</v>
      </c>
    </row>
    <row r="3602" spans="3:5">
      <c r="C3602" t="s">
        <v>17</v>
      </c>
      <c r="D3602" t="s">
        <v>18</v>
      </c>
      <c r="E3602">
        <v>0</v>
      </c>
    </row>
    <row r="3603" spans="3:5">
      <c r="C3603" t="s">
        <v>17</v>
      </c>
      <c r="D3603" t="s">
        <v>18</v>
      </c>
      <c r="E3603">
        <v>0</v>
      </c>
    </row>
    <row r="3604" spans="3:5">
      <c r="C3604" t="s">
        <v>17</v>
      </c>
      <c r="D3604" t="s">
        <v>18</v>
      </c>
      <c r="E3604">
        <v>0</v>
      </c>
    </row>
    <row r="3605" spans="3:5">
      <c r="C3605" t="s">
        <v>15</v>
      </c>
      <c r="D3605" t="s">
        <v>16</v>
      </c>
      <c r="E3605">
        <v>0</v>
      </c>
    </row>
    <row r="3606" spans="3:5">
      <c r="C3606" t="s">
        <v>17</v>
      </c>
      <c r="D3606" t="s">
        <v>18</v>
      </c>
      <c r="E3606">
        <v>0</v>
      </c>
    </row>
    <row r="3607" spans="3:5">
      <c r="C3607" t="s">
        <v>17</v>
      </c>
      <c r="D3607" t="s">
        <v>18</v>
      </c>
      <c r="E3607">
        <v>0</v>
      </c>
    </row>
    <row r="3608" spans="3:5">
      <c r="C3608" t="s">
        <v>15</v>
      </c>
      <c r="D3608" t="s">
        <v>16</v>
      </c>
      <c r="E3608">
        <v>0</v>
      </c>
    </row>
    <row r="3609" spans="3:5">
      <c r="C3609" t="s">
        <v>17</v>
      </c>
      <c r="D3609" t="s">
        <v>18</v>
      </c>
      <c r="E3609">
        <v>0</v>
      </c>
    </row>
    <row r="3610" spans="3:5">
      <c r="C3610" t="s">
        <v>15</v>
      </c>
      <c r="D3610" t="s">
        <v>16</v>
      </c>
      <c r="E3610">
        <v>0</v>
      </c>
    </row>
    <row r="3611" spans="3:5">
      <c r="C3611" t="s">
        <v>17</v>
      </c>
      <c r="D3611" t="s">
        <v>18</v>
      </c>
      <c r="E3611">
        <v>0</v>
      </c>
    </row>
    <row r="3612" spans="3:5">
      <c r="C3612" t="s">
        <v>15</v>
      </c>
      <c r="D3612" t="s">
        <v>16</v>
      </c>
      <c r="E3612">
        <v>0</v>
      </c>
    </row>
    <row r="3613" spans="3:5">
      <c r="C3613" t="s">
        <v>15</v>
      </c>
      <c r="D3613" t="s">
        <v>16</v>
      </c>
      <c r="E3613">
        <v>0</v>
      </c>
    </row>
    <row r="3614" spans="3:5">
      <c r="C3614" t="s">
        <v>17</v>
      </c>
      <c r="D3614" t="s">
        <v>18</v>
      </c>
      <c r="E3614">
        <v>0</v>
      </c>
    </row>
    <row r="3615" spans="3:5">
      <c r="C3615" t="s">
        <v>15</v>
      </c>
      <c r="D3615" t="s">
        <v>16</v>
      </c>
      <c r="E3615">
        <v>0</v>
      </c>
    </row>
    <row r="3616" spans="3:5">
      <c r="C3616" t="s">
        <v>17</v>
      </c>
      <c r="D3616" t="s">
        <v>18</v>
      </c>
      <c r="E3616">
        <v>0</v>
      </c>
    </row>
    <row r="3617" spans="3:5">
      <c r="C3617" t="s">
        <v>15</v>
      </c>
      <c r="D3617" t="s">
        <v>16</v>
      </c>
      <c r="E3617">
        <v>0</v>
      </c>
    </row>
    <row r="3618" spans="3:5">
      <c r="C3618" t="s">
        <v>17</v>
      </c>
      <c r="D3618" t="s">
        <v>18</v>
      </c>
      <c r="E3618">
        <v>0</v>
      </c>
    </row>
    <row r="3619" spans="3:5">
      <c r="C3619" t="s">
        <v>17</v>
      </c>
      <c r="D3619" t="s">
        <v>18</v>
      </c>
      <c r="E3619">
        <v>0</v>
      </c>
    </row>
    <row r="3620" spans="3:5">
      <c r="C3620" t="s">
        <v>15</v>
      </c>
      <c r="D3620" t="s">
        <v>16</v>
      </c>
      <c r="E3620">
        <v>0</v>
      </c>
    </row>
    <row r="3621" spans="3:5">
      <c r="C3621" t="s">
        <v>17</v>
      </c>
      <c r="D3621" t="s">
        <v>18</v>
      </c>
      <c r="E3621">
        <v>0</v>
      </c>
    </row>
    <row r="3622" spans="3:5">
      <c r="C3622" t="s">
        <v>17</v>
      </c>
      <c r="D3622" t="s">
        <v>18</v>
      </c>
      <c r="E3622">
        <v>0</v>
      </c>
    </row>
    <row r="3623" spans="3:5">
      <c r="C3623" t="s">
        <v>17</v>
      </c>
      <c r="D3623" t="s">
        <v>18</v>
      </c>
      <c r="E3623">
        <v>0</v>
      </c>
    </row>
    <row r="3624" spans="3:5">
      <c r="C3624" t="s">
        <v>15</v>
      </c>
      <c r="D3624" t="s">
        <v>16</v>
      </c>
      <c r="E3624">
        <v>0</v>
      </c>
    </row>
    <row r="3625" spans="3:5">
      <c r="C3625" t="s">
        <v>15</v>
      </c>
      <c r="D3625" t="s">
        <v>16</v>
      </c>
      <c r="E3625">
        <v>0</v>
      </c>
    </row>
    <row r="3626" spans="3:5">
      <c r="C3626" t="s">
        <v>15</v>
      </c>
      <c r="D3626" t="s">
        <v>16</v>
      </c>
      <c r="E3626">
        <v>0</v>
      </c>
    </row>
    <row r="3627" spans="3:5">
      <c r="C3627" t="s">
        <v>15</v>
      </c>
      <c r="D3627" t="s">
        <v>16</v>
      </c>
      <c r="E3627">
        <v>0</v>
      </c>
    </row>
    <row r="3628" spans="3:5">
      <c r="C3628" t="s">
        <v>15</v>
      </c>
      <c r="D3628" t="s">
        <v>16</v>
      </c>
      <c r="E3628">
        <v>0</v>
      </c>
    </row>
    <row r="3629" spans="3:5">
      <c r="C3629" t="s">
        <v>15</v>
      </c>
      <c r="D3629" t="s">
        <v>16</v>
      </c>
      <c r="E3629">
        <v>0</v>
      </c>
    </row>
    <row r="3630" spans="3:5">
      <c r="C3630" t="s">
        <v>17</v>
      </c>
      <c r="D3630" t="s">
        <v>18</v>
      </c>
      <c r="E3630">
        <v>0</v>
      </c>
    </row>
    <row r="3631" spans="3:5">
      <c r="C3631" t="s">
        <v>15</v>
      </c>
      <c r="D3631" t="s">
        <v>16</v>
      </c>
      <c r="E3631">
        <v>0</v>
      </c>
    </row>
    <row r="3632" spans="3:5">
      <c r="C3632" t="s">
        <v>15</v>
      </c>
      <c r="D3632" t="s">
        <v>16</v>
      </c>
      <c r="E3632">
        <v>0</v>
      </c>
    </row>
    <row r="3633" spans="3:5">
      <c r="C3633" t="s">
        <v>17</v>
      </c>
      <c r="D3633" t="s">
        <v>18</v>
      </c>
      <c r="E3633">
        <v>0</v>
      </c>
    </row>
    <row r="3634" spans="3:5">
      <c r="C3634" t="s">
        <v>15</v>
      </c>
      <c r="D3634" t="s">
        <v>16</v>
      </c>
      <c r="E3634">
        <v>0</v>
      </c>
    </row>
    <row r="3635" spans="3:5">
      <c r="C3635" t="s">
        <v>15</v>
      </c>
      <c r="D3635" t="s">
        <v>16</v>
      </c>
      <c r="E3635">
        <v>0</v>
      </c>
    </row>
    <row r="3636" spans="3:5">
      <c r="C3636" t="s">
        <v>15</v>
      </c>
      <c r="D3636" t="s">
        <v>16</v>
      </c>
      <c r="E3636">
        <v>0</v>
      </c>
    </row>
    <row r="3637" spans="3:5">
      <c r="C3637" t="s">
        <v>15</v>
      </c>
      <c r="D3637" t="s">
        <v>16</v>
      </c>
      <c r="E3637">
        <v>0</v>
      </c>
    </row>
    <row r="3638" spans="3:5">
      <c r="C3638" t="s">
        <v>15</v>
      </c>
      <c r="D3638" t="s">
        <v>16</v>
      </c>
      <c r="E3638">
        <v>0</v>
      </c>
    </row>
    <row r="3639" spans="3:5">
      <c r="C3639" t="s">
        <v>17</v>
      </c>
      <c r="D3639" t="s">
        <v>18</v>
      </c>
      <c r="E3639">
        <v>0</v>
      </c>
    </row>
    <row r="3640" spans="3:5">
      <c r="C3640" t="s">
        <v>17</v>
      </c>
      <c r="D3640" t="s">
        <v>18</v>
      </c>
      <c r="E3640">
        <v>0</v>
      </c>
    </row>
    <row r="3641" spans="3:5">
      <c r="C3641" t="s">
        <v>15</v>
      </c>
      <c r="D3641" t="s">
        <v>16</v>
      </c>
      <c r="E3641">
        <v>0</v>
      </c>
    </row>
    <row r="3642" spans="3:5">
      <c r="C3642" t="s">
        <v>17</v>
      </c>
      <c r="D3642" t="s">
        <v>18</v>
      </c>
      <c r="E3642">
        <v>0</v>
      </c>
    </row>
    <row r="3643" spans="3:5">
      <c r="C3643" t="s">
        <v>15</v>
      </c>
      <c r="D3643" t="s">
        <v>16</v>
      </c>
      <c r="E3643">
        <v>0</v>
      </c>
    </row>
    <row r="3644" spans="3:5">
      <c r="C3644" t="s">
        <v>15</v>
      </c>
      <c r="D3644" t="s">
        <v>16</v>
      </c>
      <c r="E3644">
        <v>0</v>
      </c>
    </row>
    <row r="3645" spans="3:5">
      <c r="C3645" t="s">
        <v>15</v>
      </c>
      <c r="D3645" t="s">
        <v>16</v>
      </c>
      <c r="E3645">
        <v>0</v>
      </c>
    </row>
    <row r="3646" spans="3:5">
      <c r="C3646" t="s">
        <v>17</v>
      </c>
      <c r="D3646" t="s">
        <v>18</v>
      </c>
      <c r="E3646">
        <v>0</v>
      </c>
    </row>
    <row r="3647" spans="3:5">
      <c r="C3647" t="s">
        <v>15</v>
      </c>
      <c r="D3647" t="s">
        <v>16</v>
      </c>
      <c r="E3647">
        <v>0</v>
      </c>
    </row>
    <row r="3648" spans="3:5">
      <c r="C3648" t="s">
        <v>17</v>
      </c>
      <c r="D3648" t="s">
        <v>18</v>
      </c>
      <c r="E3648">
        <v>0</v>
      </c>
    </row>
    <row r="3649" spans="3:5">
      <c r="C3649" t="s">
        <v>15</v>
      </c>
      <c r="D3649" t="s">
        <v>16</v>
      </c>
      <c r="E3649">
        <v>0</v>
      </c>
    </row>
    <row r="3650" spans="3:5">
      <c r="C3650" t="s">
        <v>15</v>
      </c>
      <c r="D3650" t="s">
        <v>16</v>
      </c>
      <c r="E3650">
        <v>0</v>
      </c>
    </row>
    <row r="3651" spans="3:5">
      <c r="C3651" t="s">
        <v>15</v>
      </c>
      <c r="D3651" t="s">
        <v>16</v>
      </c>
      <c r="E3651">
        <v>0</v>
      </c>
    </row>
    <row r="3652" spans="3:5">
      <c r="C3652" t="s">
        <v>15</v>
      </c>
      <c r="D3652" t="s">
        <v>16</v>
      </c>
      <c r="E3652">
        <v>0</v>
      </c>
    </row>
    <row r="3653" spans="3:5">
      <c r="C3653" t="s">
        <v>15</v>
      </c>
      <c r="D3653" t="s">
        <v>16</v>
      </c>
      <c r="E3653">
        <v>0</v>
      </c>
    </row>
    <row r="3654" spans="3:5">
      <c r="C3654" t="s">
        <v>17</v>
      </c>
      <c r="D3654" t="s">
        <v>18</v>
      </c>
      <c r="E3654">
        <v>0</v>
      </c>
    </row>
    <row r="3655" spans="3:5">
      <c r="C3655" t="s">
        <v>17</v>
      </c>
      <c r="D3655" t="s">
        <v>18</v>
      </c>
      <c r="E3655">
        <v>0</v>
      </c>
    </row>
    <row r="3656" spans="3:5">
      <c r="C3656" t="s">
        <v>15</v>
      </c>
      <c r="D3656" t="s">
        <v>16</v>
      </c>
      <c r="E3656">
        <v>0</v>
      </c>
    </row>
    <row r="3657" spans="3:5">
      <c r="C3657" t="s">
        <v>17</v>
      </c>
      <c r="D3657" t="s">
        <v>18</v>
      </c>
      <c r="E3657">
        <v>0</v>
      </c>
    </row>
    <row r="3658" spans="3:5">
      <c r="C3658" t="s">
        <v>15</v>
      </c>
      <c r="D3658" t="s">
        <v>16</v>
      </c>
      <c r="E3658">
        <v>0</v>
      </c>
    </row>
    <row r="3659" spans="3:5">
      <c r="C3659" t="s">
        <v>15</v>
      </c>
      <c r="D3659" t="s">
        <v>16</v>
      </c>
      <c r="E3659">
        <v>0</v>
      </c>
    </row>
    <row r="3660" spans="3:5">
      <c r="C3660" t="s">
        <v>15</v>
      </c>
      <c r="D3660" t="s">
        <v>16</v>
      </c>
      <c r="E3660">
        <v>0</v>
      </c>
    </row>
    <row r="3661" spans="3:5">
      <c r="C3661" t="s">
        <v>17</v>
      </c>
      <c r="D3661" t="s">
        <v>18</v>
      </c>
      <c r="E3661">
        <v>0</v>
      </c>
    </row>
    <row r="3662" spans="3:5">
      <c r="C3662" t="s">
        <v>15</v>
      </c>
      <c r="D3662" t="s">
        <v>16</v>
      </c>
      <c r="E3662">
        <v>0</v>
      </c>
    </row>
    <row r="3663" spans="3:5">
      <c r="C3663" t="s">
        <v>17</v>
      </c>
      <c r="D3663" t="s">
        <v>18</v>
      </c>
      <c r="E3663">
        <v>0</v>
      </c>
    </row>
    <row r="3664" spans="3:5">
      <c r="C3664" t="s">
        <v>17</v>
      </c>
      <c r="D3664" t="s">
        <v>18</v>
      </c>
      <c r="E3664">
        <v>0</v>
      </c>
    </row>
    <row r="3665" spans="3:5">
      <c r="C3665" t="s">
        <v>15</v>
      </c>
      <c r="D3665" t="s">
        <v>16</v>
      </c>
      <c r="E3665">
        <v>0</v>
      </c>
    </row>
    <row r="3666" spans="3:5">
      <c r="C3666" t="s">
        <v>15</v>
      </c>
      <c r="D3666" t="s">
        <v>16</v>
      </c>
      <c r="E3666">
        <v>0</v>
      </c>
    </row>
    <row r="3667" spans="3:5">
      <c r="C3667" t="s">
        <v>17</v>
      </c>
      <c r="D3667" t="s">
        <v>18</v>
      </c>
      <c r="E3667">
        <v>0</v>
      </c>
    </row>
    <row r="3668" spans="3:5">
      <c r="C3668" t="s">
        <v>17</v>
      </c>
      <c r="D3668" t="s">
        <v>18</v>
      </c>
      <c r="E3668">
        <v>0</v>
      </c>
    </row>
    <row r="3669" spans="3:5">
      <c r="C3669" t="s">
        <v>17</v>
      </c>
      <c r="D3669" t="s">
        <v>18</v>
      </c>
      <c r="E3669">
        <v>0</v>
      </c>
    </row>
    <row r="3670" spans="3:5">
      <c r="C3670" t="s">
        <v>15</v>
      </c>
      <c r="D3670" t="s">
        <v>16</v>
      </c>
      <c r="E3670">
        <v>0</v>
      </c>
    </row>
    <row r="3671" spans="3:5">
      <c r="C3671" t="s">
        <v>17</v>
      </c>
      <c r="D3671" t="s">
        <v>18</v>
      </c>
      <c r="E3671">
        <v>0</v>
      </c>
    </row>
    <row r="3672" spans="3:5">
      <c r="C3672" t="s">
        <v>15</v>
      </c>
      <c r="D3672" t="s">
        <v>16</v>
      </c>
      <c r="E3672">
        <v>0</v>
      </c>
    </row>
    <row r="3673" spans="3:5">
      <c r="C3673" t="s">
        <v>17</v>
      </c>
      <c r="D3673" t="s">
        <v>18</v>
      </c>
      <c r="E3673">
        <v>0</v>
      </c>
    </row>
    <row r="3674" spans="3:5">
      <c r="C3674" t="s">
        <v>17</v>
      </c>
      <c r="D3674" t="s">
        <v>18</v>
      </c>
      <c r="E3674">
        <v>0</v>
      </c>
    </row>
    <row r="3675" spans="3:5">
      <c r="C3675" t="s">
        <v>17</v>
      </c>
      <c r="D3675" t="s">
        <v>18</v>
      </c>
      <c r="E3675">
        <v>0</v>
      </c>
    </row>
    <row r="3676" spans="3:5">
      <c r="C3676" t="s">
        <v>17</v>
      </c>
      <c r="D3676" t="s">
        <v>18</v>
      </c>
      <c r="E3676">
        <v>0</v>
      </c>
    </row>
    <row r="3677" spans="3:5">
      <c r="C3677" t="s">
        <v>15</v>
      </c>
      <c r="D3677" t="s">
        <v>16</v>
      </c>
      <c r="E3677">
        <v>0</v>
      </c>
    </row>
    <row r="3678" spans="3:5">
      <c r="C3678" t="s">
        <v>15</v>
      </c>
      <c r="D3678" t="s">
        <v>16</v>
      </c>
      <c r="E3678">
        <v>0</v>
      </c>
    </row>
    <row r="3679" spans="3:5">
      <c r="C3679" t="s">
        <v>15</v>
      </c>
      <c r="D3679" t="s">
        <v>16</v>
      </c>
      <c r="E3679">
        <v>0</v>
      </c>
    </row>
    <row r="3680" spans="3:5">
      <c r="C3680" t="s">
        <v>15</v>
      </c>
      <c r="D3680" t="s">
        <v>16</v>
      </c>
      <c r="E3680">
        <v>0</v>
      </c>
    </row>
    <row r="3681" spans="3:5">
      <c r="C3681" t="s">
        <v>17</v>
      </c>
      <c r="D3681" t="s">
        <v>18</v>
      </c>
      <c r="E3681">
        <v>0</v>
      </c>
    </row>
    <row r="3682" spans="3:5">
      <c r="C3682" t="s">
        <v>17</v>
      </c>
      <c r="D3682" t="s">
        <v>18</v>
      </c>
      <c r="E3682">
        <v>0</v>
      </c>
    </row>
    <row r="3683" spans="3:5">
      <c r="C3683" t="s">
        <v>17</v>
      </c>
      <c r="D3683" t="s">
        <v>18</v>
      </c>
      <c r="E3683">
        <v>0</v>
      </c>
    </row>
    <row r="3684" spans="3:5">
      <c r="C3684" t="s">
        <v>15</v>
      </c>
      <c r="D3684" t="s">
        <v>16</v>
      </c>
      <c r="E3684">
        <v>0</v>
      </c>
    </row>
    <row r="3685" spans="3:5">
      <c r="C3685" t="s">
        <v>17</v>
      </c>
      <c r="D3685" t="s">
        <v>18</v>
      </c>
      <c r="E3685">
        <v>0</v>
      </c>
    </row>
    <row r="3686" spans="3:5">
      <c r="C3686" t="s">
        <v>17</v>
      </c>
      <c r="D3686" t="s">
        <v>18</v>
      </c>
      <c r="E3686">
        <v>1</v>
      </c>
    </row>
    <row r="3687" spans="3:5">
      <c r="C3687" t="s">
        <v>15</v>
      </c>
      <c r="D3687" t="s">
        <v>16</v>
      </c>
      <c r="E3687">
        <v>0</v>
      </c>
    </row>
    <row r="3688" spans="3:5">
      <c r="C3688" t="s">
        <v>15</v>
      </c>
      <c r="D3688" t="s">
        <v>16</v>
      </c>
      <c r="E3688">
        <v>0</v>
      </c>
    </row>
    <row r="3689" spans="3:5">
      <c r="C3689" t="s">
        <v>17</v>
      </c>
      <c r="D3689" t="s">
        <v>18</v>
      </c>
      <c r="E3689">
        <v>0</v>
      </c>
    </row>
    <row r="3690" spans="3:5">
      <c r="C3690" t="s">
        <v>17</v>
      </c>
      <c r="D3690" t="s">
        <v>18</v>
      </c>
      <c r="E3690">
        <v>0</v>
      </c>
    </row>
    <row r="3691" spans="3:5">
      <c r="C3691" t="s">
        <v>17</v>
      </c>
      <c r="D3691" t="s">
        <v>18</v>
      </c>
      <c r="E3691">
        <v>0</v>
      </c>
    </row>
    <row r="3692" spans="3:5">
      <c r="C3692" t="s">
        <v>15</v>
      </c>
      <c r="D3692" t="s">
        <v>16</v>
      </c>
      <c r="E3692">
        <v>0</v>
      </c>
    </row>
    <row r="3693" spans="3:5">
      <c r="C3693" t="s">
        <v>15</v>
      </c>
      <c r="D3693" t="s">
        <v>16</v>
      </c>
      <c r="E3693">
        <v>0</v>
      </c>
    </row>
    <row r="3694" spans="3:5">
      <c r="C3694" t="s">
        <v>17</v>
      </c>
      <c r="D3694" t="s">
        <v>18</v>
      </c>
      <c r="E3694">
        <v>1</v>
      </c>
    </row>
    <row r="3695" spans="3:5">
      <c r="C3695" t="s">
        <v>17</v>
      </c>
      <c r="D3695" t="s">
        <v>18</v>
      </c>
      <c r="E3695">
        <v>0</v>
      </c>
    </row>
    <row r="3696" spans="3:5">
      <c r="C3696" t="s">
        <v>15</v>
      </c>
      <c r="D3696" t="s">
        <v>16</v>
      </c>
      <c r="E3696">
        <v>0</v>
      </c>
    </row>
    <row r="3697" spans="3:5">
      <c r="C3697" t="s">
        <v>15</v>
      </c>
      <c r="D3697" t="s">
        <v>16</v>
      </c>
      <c r="E3697">
        <v>0</v>
      </c>
    </row>
    <row r="3698" spans="3:5">
      <c r="C3698" t="s">
        <v>17</v>
      </c>
      <c r="D3698" t="s">
        <v>18</v>
      </c>
      <c r="E3698">
        <v>0</v>
      </c>
    </row>
    <row r="3699" spans="3:5">
      <c r="C3699" t="s">
        <v>15</v>
      </c>
      <c r="D3699" t="s">
        <v>16</v>
      </c>
      <c r="E3699">
        <v>0</v>
      </c>
    </row>
    <row r="3700" spans="3:5">
      <c r="C3700" t="s">
        <v>17</v>
      </c>
      <c r="D3700" t="s">
        <v>18</v>
      </c>
      <c r="E3700">
        <v>0</v>
      </c>
    </row>
    <row r="3701" spans="3:5">
      <c r="C3701" t="s">
        <v>17</v>
      </c>
      <c r="D3701" t="s">
        <v>18</v>
      </c>
      <c r="E3701">
        <v>0</v>
      </c>
    </row>
    <row r="3702" spans="3:5">
      <c r="C3702" t="s">
        <v>17</v>
      </c>
      <c r="D3702" t="s">
        <v>18</v>
      </c>
      <c r="E3702">
        <v>0</v>
      </c>
    </row>
    <row r="3703" spans="3:5">
      <c r="C3703" t="s">
        <v>17</v>
      </c>
      <c r="D3703" t="s">
        <v>18</v>
      </c>
      <c r="E3703">
        <v>0</v>
      </c>
    </row>
    <row r="3704" spans="3:5">
      <c r="C3704" t="s">
        <v>17</v>
      </c>
      <c r="D3704" t="s">
        <v>18</v>
      </c>
      <c r="E3704">
        <v>0</v>
      </c>
    </row>
    <row r="3705" spans="3:5">
      <c r="C3705" t="s">
        <v>17</v>
      </c>
      <c r="D3705" t="s">
        <v>18</v>
      </c>
      <c r="E3705">
        <v>0</v>
      </c>
    </row>
    <row r="3706" spans="3:5">
      <c r="C3706" t="s">
        <v>17</v>
      </c>
      <c r="D3706" t="s">
        <v>18</v>
      </c>
      <c r="E3706">
        <v>0</v>
      </c>
    </row>
    <row r="3707" spans="3:5">
      <c r="C3707" t="s">
        <v>17</v>
      </c>
      <c r="D3707" t="s">
        <v>18</v>
      </c>
      <c r="E3707">
        <v>0</v>
      </c>
    </row>
    <row r="3708" spans="3:5">
      <c r="C3708" t="s">
        <v>15</v>
      </c>
      <c r="D3708" t="s">
        <v>16</v>
      </c>
      <c r="E3708">
        <v>0</v>
      </c>
    </row>
    <row r="3709" spans="3:5">
      <c r="C3709" t="s">
        <v>15</v>
      </c>
      <c r="D3709" t="s">
        <v>16</v>
      </c>
      <c r="E3709">
        <v>0</v>
      </c>
    </row>
    <row r="3710" spans="3:5">
      <c r="C3710" t="s">
        <v>17</v>
      </c>
      <c r="D3710" t="s">
        <v>18</v>
      </c>
      <c r="E3710">
        <v>0</v>
      </c>
    </row>
    <row r="3711" spans="3:5">
      <c r="C3711" t="s">
        <v>17</v>
      </c>
      <c r="D3711" t="s">
        <v>18</v>
      </c>
      <c r="E3711">
        <v>0</v>
      </c>
    </row>
    <row r="3712" spans="3:5">
      <c r="C3712" t="s">
        <v>15</v>
      </c>
      <c r="D3712" t="s">
        <v>16</v>
      </c>
      <c r="E3712">
        <v>0</v>
      </c>
    </row>
    <row r="3713" spans="3:5">
      <c r="C3713" t="s">
        <v>15</v>
      </c>
      <c r="D3713" t="s">
        <v>16</v>
      </c>
      <c r="E3713">
        <v>0</v>
      </c>
    </row>
    <row r="3714" spans="3:5">
      <c r="C3714" t="s">
        <v>17</v>
      </c>
      <c r="D3714" t="s">
        <v>18</v>
      </c>
      <c r="E3714">
        <v>0</v>
      </c>
    </row>
    <row r="3715" spans="3:5">
      <c r="C3715" t="s">
        <v>15</v>
      </c>
      <c r="D3715" t="s">
        <v>16</v>
      </c>
      <c r="E3715">
        <v>0</v>
      </c>
    </row>
    <row r="3716" spans="3:5">
      <c r="C3716" t="s">
        <v>17</v>
      </c>
      <c r="D3716" t="s">
        <v>18</v>
      </c>
      <c r="E3716">
        <v>0</v>
      </c>
    </row>
    <row r="3717" spans="3:5">
      <c r="C3717" t="s">
        <v>17</v>
      </c>
      <c r="D3717" t="s">
        <v>18</v>
      </c>
      <c r="E3717">
        <v>0</v>
      </c>
    </row>
    <row r="3718" spans="3:5">
      <c r="C3718" t="s">
        <v>15</v>
      </c>
      <c r="D3718" t="s">
        <v>16</v>
      </c>
      <c r="E3718">
        <v>0</v>
      </c>
    </row>
    <row r="3719" spans="3:5">
      <c r="C3719" t="s">
        <v>15</v>
      </c>
      <c r="D3719" t="s">
        <v>16</v>
      </c>
      <c r="E3719">
        <v>0</v>
      </c>
    </row>
    <row r="3720" spans="3:5">
      <c r="C3720" t="s">
        <v>15</v>
      </c>
      <c r="D3720" t="s">
        <v>16</v>
      </c>
      <c r="E3720">
        <v>0</v>
      </c>
    </row>
    <row r="3721" spans="3:5">
      <c r="C3721" t="s">
        <v>15</v>
      </c>
      <c r="D3721" t="s">
        <v>16</v>
      </c>
      <c r="E3721">
        <v>0</v>
      </c>
    </row>
    <row r="3722" spans="3:5">
      <c r="C3722" t="s">
        <v>17</v>
      </c>
      <c r="D3722" t="s">
        <v>18</v>
      </c>
      <c r="E3722">
        <v>0</v>
      </c>
    </row>
    <row r="3723" spans="3:5">
      <c r="C3723" t="s">
        <v>17</v>
      </c>
      <c r="D3723" t="s">
        <v>18</v>
      </c>
      <c r="E3723">
        <v>0</v>
      </c>
    </row>
    <row r="3724" spans="3:5">
      <c r="C3724" t="s">
        <v>17</v>
      </c>
      <c r="D3724" t="s">
        <v>18</v>
      </c>
      <c r="E3724">
        <v>0</v>
      </c>
    </row>
    <row r="3725" spans="3:5">
      <c r="C3725" t="s">
        <v>15</v>
      </c>
      <c r="D3725" t="s">
        <v>16</v>
      </c>
      <c r="E3725">
        <v>0</v>
      </c>
    </row>
    <row r="3726" spans="3:5">
      <c r="C3726" t="s">
        <v>17</v>
      </c>
      <c r="D3726" t="s">
        <v>18</v>
      </c>
      <c r="E3726">
        <v>0</v>
      </c>
    </row>
    <row r="3727" spans="3:5">
      <c r="C3727" t="s">
        <v>17</v>
      </c>
      <c r="D3727" t="s">
        <v>18</v>
      </c>
      <c r="E3727">
        <v>0</v>
      </c>
    </row>
    <row r="3728" spans="3:5">
      <c r="C3728" t="s">
        <v>17</v>
      </c>
      <c r="D3728" t="s">
        <v>18</v>
      </c>
      <c r="E3728">
        <v>0</v>
      </c>
    </row>
    <row r="3729" spans="3:5">
      <c r="C3729" t="s">
        <v>17</v>
      </c>
      <c r="D3729" t="s">
        <v>18</v>
      </c>
      <c r="E3729">
        <v>0</v>
      </c>
    </row>
    <row r="3730" spans="3:5">
      <c r="C3730" t="s">
        <v>17</v>
      </c>
      <c r="D3730" t="s">
        <v>18</v>
      </c>
      <c r="E3730">
        <v>0</v>
      </c>
    </row>
    <row r="3731" spans="3:5">
      <c r="C3731" t="s">
        <v>17</v>
      </c>
      <c r="D3731" t="s">
        <v>18</v>
      </c>
      <c r="E3731">
        <v>0</v>
      </c>
    </row>
    <row r="3732" spans="3:5">
      <c r="C3732" t="s">
        <v>17</v>
      </c>
      <c r="D3732" t="s">
        <v>18</v>
      </c>
      <c r="E3732">
        <v>0</v>
      </c>
    </row>
    <row r="3733" spans="3:5">
      <c r="C3733" t="s">
        <v>17</v>
      </c>
      <c r="D3733" t="s">
        <v>18</v>
      </c>
      <c r="E3733">
        <v>0</v>
      </c>
    </row>
    <row r="3734" spans="3:5">
      <c r="C3734" t="s">
        <v>17</v>
      </c>
      <c r="D3734" t="s">
        <v>18</v>
      </c>
      <c r="E3734">
        <v>0</v>
      </c>
    </row>
    <row r="3735" spans="3:5">
      <c r="C3735" t="s">
        <v>17</v>
      </c>
      <c r="D3735" t="s">
        <v>18</v>
      </c>
      <c r="E3735">
        <v>0</v>
      </c>
    </row>
    <row r="3736" spans="3:5">
      <c r="C3736" t="s">
        <v>17</v>
      </c>
      <c r="D3736" t="s">
        <v>18</v>
      </c>
      <c r="E3736">
        <v>0</v>
      </c>
    </row>
    <row r="3737" spans="3:5">
      <c r="C3737" t="s">
        <v>17</v>
      </c>
      <c r="D3737" t="s">
        <v>18</v>
      </c>
      <c r="E3737">
        <v>0</v>
      </c>
    </row>
    <row r="3738" spans="3:5">
      <c r="C3738" t="s">
        <v>17</v>
      </c>
      <c r="D3738" t="s">
        <v>18</v>
      </c>
      <c r="E3738">
        <v>0</v>
      </c>
    </row>
    <row r="3739" spans="3:5">
      <c r="C3739" t="s">
        <v>17</v>
      </c>
      <c r="D3739" t="s">
        <v>18</v>
      </c>
      <c r="E3739">
        <v>0</v>
      </c>
    </row>
    <row r="3740" spans="3:5">
      <c r="C3740" t="s">
        <v>17</v>
      </c>
      <c r="D3740" t="s">
        <v>18</v>
      </c>
      <c r="E3740">
        <v>0</v>
      </c>
    </row>
    <row r="3741" spans="3:5">
      <c r="C3741" t="s">
        <v>17</v>
      </c>
      <c r="D3741" t="s">
        <v>18</v>
      </c>
      <c r="E3741">
        <v>0</v>
      </c>
    </row>
    <row r="3742" spans="3:5">
      <c r="C3742" t="s">
        <v>17</v>
      </c>
      <c r="D3742" t="s">
        <v>18</v>
      </c>
      <c r="E3742">
        <v>0</v>
      </c>
    </row>
    <row r="3743" spans="3:5">
      <c r="C3743" t="s">
        <v>15</v>
      </c>
      <c r="D3743" t="s">
        <v>16</v>
      </c>
      <c r="E3743">
        <v>0</v>
      </c>
    </row>
    <row r="3744" spans="3:5">
      <c r="C3744" t="s">
        <v>15</v>
      </c>
      <c r="D3744" t="s">
        <v>16</v>
      </c>
      <c r="E3744">
        <v>0</v>
      </c>
    </row>
    <row r="3745" spans="3:5">
      <c r="C3745" t="s">
        <v>15</v>
      </c>
      <c r="D3745" t="s">
        <v>16</v>
      </c>
      <c r="E3745">
        <v>0</v>
      </c>
    </row>
    <row r="3746" spans="3:5">
      <c r="C3746" t="s">
        <v>15</v>
      </c>
      <c r="D3746" t="s">
        <v>16</v>
      </c>
      <c r="E3746">
        <v>0</v>
      </c>
    </row>
    <row r="3747" spans="3:5">
      <c r="C3747" t="s">
        <v>17</v>
      </c>
      <c r="D3747" t="s">
        <v>18</v>
      </c>
      <c r="E3747">
        <v>0</v>
      </c>
    </row>
    <row r="3748" spans="3:5">
      <c r="C3748" t="s">
        <v>15</v>
      </c>
      <c r="D3748" t="s">
        <v>16</v>
      </c>
      <c r="E3748">
        <v>0</v>
      </c>
    </row>
    <row r="3749" spans="3:5">
      <c r="C3749" t="s">
        <v>17</v>
      </c>
      <c r="D3749" t="s">
        <v>18</v>
      </c>
      <c r="E3749">
        <v>0</v>
      </c>
    </row>
    <row r="3750" spans="3:5">
      <c r="C3750" t="s">
        <v>17</v>
      </c>
      <c r="D3750" t="s">
        <v>18</v>
      </c>
      <c r="E3750">
        <v>0</v>
      </c>
    </row>
    <row r="3751" spans="3:5">
      <c r="C3751" t="s">
        <v>15</v>
      </c>
      <c r="D3751" t="s">
        <v>16</v>
      </c>
      <c r="E3751">
        <v>0</v>
      </c>
    </row>
    <row r="3752" spans="3:5">
      <c r="C3752" t="s">
        <v>15</v>
      </c>
      <c r="D3752" t="s">
        <v>16</v>
      </c>
      <c r="E3752">
        <v>0</v>
      </c>
    </row>
    <row r="3753" spans="3:5">
      <c r="C3753" t="s">
        <v>15</v>
      </c>
      <c r="D3753" t="s">
        <v>16</v>
      </c>
      <c r="E3753">
        <v>0</v>
      </c>
    </row>
    <row r="3754" spans="3:5">
      <c r="C3754" t="s">
        <v>15</v>
      </c>
      <c r="D3754" t="s">
        <v>16</v>
      </c>
      <c r="E3754">
        <v>0</v>
      </c>
    </row>
    <row r="3755" spans="3:5">
      <c r="C3755" t="s">
        <v>15</v>
      </c>
      <c r="D3755" t="s">
        <v>16</v>
      </c>
      <c r="E3755">
        <v>0</v>
      </c>
    </row>
    <row r="3756" spans="3:5">
      <c r="C3756" t="s">
        <v>15</v>
      </c>
      <c r="D3756" t="s">
        <v>16</v>
      </c>
      <c r="E3756">
        <v>0</v>
      </c>
    </row>
    <row r="3757" spans="3:5">
      <c r="C3757" t="s">
        <v>17</v>
      </c>
      <c r="D3757" t="s">
        <v>18</v>
      </c>
      <c r="E3757">
        <v>0</v>
      </c>
    </row>
    <row r="3758" spans="3:5">
      <c r="C3758" t="s">
        <v>17</v>
      </c>
      <c r="D3758" t="s">
        <v>18</v>
      </c>
      <c r="E3758">
        <v>0</v>
      </c>
    </row>
    <row r="3759" spans="3:5">
      <c r="C3759" t="s">
        <v>15</v>
      </c>
      <c r="D3759" t="s">
        <v>16</v>
      </c>
      <c r="E3759">
        <v>0</v>
      </c>
    </row>
    <row r="3760" spans="3:5">
      <c r="C3760" t="s">
        <v>17</v>
      </c>
      <c r="D3760" t="s">
        <v>18</v>
      </c>
      <c r="E3760">
        <v>0</v>
      </c>
    </row>
    <row r="3761" spans="3:5">
      <c r="C3761" t="s">
        <v>17</v>
      </c>
      <c r="D3761" t="s">
        <v>18</v>
      </c>
      <c r="E3761">
        <v>0</v>
      </c>
    </row>
    <row r="3762" spans="3:5">
      <c r="C3762" t="s">
        <v>17</v>
      </c>
      <c r="D3762" t="s">
        <v>18</v>
      </c>
      <c r="E3762">
        <v>0</v>
      </c>
    </row>
    <row r="3763" spans="3:5">
      <c r="C3763" t="s">
        <v>15</v>
      </c>
      <c r="D3763" t="s">
        <v>16</v>
      </c>
      <c r="E3763">
        <v>0</v>
      </c>
    </row>
    <row r="3764" spans="3:5">
      <c r="C3764" t="s">
        <v>15</v>
      </c>
      <c r="D3764" t="s">
        <v>16</v>
      </c>
      <c r="E3764">
        <v>0</v>
      </c>
    </row>
    <row r="3765" spans="3:5">
      <c r="C3765" t="s">
        <v>17</v>
      </c>
      <c r="D3765" t="s">
        <v>18</v>
      </c>
      <c r="E3765">
        <v>0</v>
      </c>
    </row>
    <row r="3766" spans="3:5">
      <c r="C3766" t="s">
        <v>17</v>
      </c>
      <c r="D3766" t="s">
        <v>18</v>
      </c>
      <c r="E3766">
        <v>0</v>
      </c>
    </row>
    <row r="3767" spans="3:5">
      <c r="C3767" t="s">
        <v>17</v>
      </c>
      <c r="D3767" t="s">
        <v>18</v>
      </c>
      <c r="E3767">
        <v>0</v>
      </c>
    </row>
    <row r="3768" spans="3:5">
      <c r="C3768" t="s">
        <v>17</v>
      </c>
      <c r="D3768" t="s">
        <v>18</v>
      </c>
      <c r="E3768">
        <v>0</v>
      </c>
    </row>
    <row r="3769" spans="3:5">
      <c r="C3769" t="s">
        <v>15</v>
      </c>
      <c r="D3769" t="s">
        <v>16</v>
      </c>
      <c r="E3769">
        <v>0</v>
      </c>
    </row>
    <row r="3770" spans="3:5">
      <c r="C3770" t="s">
        <v>17</v>
      </c>
      <c r="D3770" t="s">
        <v>18</v>
      </c>
      <c r="E3770">
        <v>0</v>
      </c>
    </row>
    <row r="3771" spans="3:5">
      <c r="C3771" t="s">
        <v>15</v>
      </c>
      <c r="D3771" t="s">
        <v>16</v>
      </c>
      <c r="E3771">
        <v>0</v>
      </c>
    </row>
    <row r="3772" spans="3:5">
      <c r="C3772" t="s">
        <v>15</v>
      </c>
      <c r="D3772" t="s">
        <v>16</v>
      </c>
      <c r="E3772">
        <v>0</v>
      </c>
    </row>
    <row r="3773" spans="3:5">
      <c r="C3773" t="s">
        <v>15</v>
      </c>
      <c r="D3773" t="s">
        <v>16</v>
      </c>
      <c r="E3773">
        <v>0</v>
      </c>
    </row>
    <row r="3774" spans="3:5">
      <c r="C3774" t="s">
        <v>15</v>
      </c>
      <c r="D3774" t="s">
        <v>16</v>
      </c>
      <c r="E3774">
        <v>0</v>
      </c>
    </row>
    <row r="3775" spans="3:5">
      <c r="C3775" t="s">
        <v>15</v>
      </c>
      <c r="D3775" t="s">
        <v>16</v>
      </c>
      <c r="E3775">
        <v>0</v>
      </c>
    </row>
    <row r="3776" spans="3:5">
      <c r="C3776" t="s">
        <v>17</v>
      </c>
      <c r="D3776" t="s">
        <v>18</v>
      </c>
      <c r="E3776">
        <v>0</v>
      </c>
    </row>
    <row r="3777" spans="3:5">
      <c r="C3777" t="s">
        <v>17</v>
      </c>
      <c r="D3777" t="s">
        <v>18</v>
      </c>
      <c r="E3777">
        <v>0</v>
      </c>
    </row>
    <row r="3778" spans="3:5">
      <c r="C3778" t="s">
        <v>15</v>
      </c>
      <c r="D3778" t="s">
        <v>16</v>
      </c>
      <c r="E3778">
        <v>0</v>
      </c>
    </row>
    <row r="3779" spans="3:5">
      <c r="C3779" t="s">
        <v>17</v>
      </c>
      <c r="D3779" t="s">
        <v>18</v>
      </c>
      <c r="E3779">
        <v>0</v>
      </c>
    </row>
    <row r="3780" spans="3:5">
      <c r="C3780" t="s">
        <v>15</v>
      </c>
      <c r="D3780" t="s">
        <v>16</v>
      </c>
      <c r="E3780">
        <v>0</v>
      </c>
    </row>
    <row r="3781" spans="3:5">
      <c r="C3781" t="s">
        <v>15</v>
      </c>
      <c r="D3781" t="s">
        <v>16</v>
      </c>
      <c r="E3781">
        <v>0</v>
      </c>
    </row>
    <row r="3782" spans="3:5">
      <c r="C3782" t="s">
        <v>17</v>
      </c>
      <c r="D3782" t="s">
        <v>18</v>
      </c>
      <c r="E3782">
        <v>0</v>
      </c>
    </row>
    <row r="3783" spans="3:5">
      <c r="C3783" t="s">
        <v>17</v>
      </c>
      <c r="D3783" t="s">
        <v>18</v>
      </c>
      <c r="E3783">
        <v>0</v>
      </c>
    </row>
    <row r="3784" spans="3:5">
      <c r="C3784" t="s">
        <v>15</v>
      </c>
      <c r="D3784" t="s">
        <v>16</v>
      </c>
      <c r="E3784">
        <v>0</v>
      </c>
    </row>
    <row r="3785" spans="3:5">
      <c r="C3785" t="s">
        <v>15</v>
      </c>
      <c r="D3785" t="s">
        <v>16</v>
      </c>
      <c r="E3785">
        <v>0</v>
      </c>
    </row>
    <row r="3786" spans="3:5">
      <c r="C3786" t="s">
        <v>17</v>
      </c>
      <c r="D3786" t="s">
        <v>18</v>
      </c>
      <c r="E3786">
        <v>0</v>
      </c>
    </row>
    <row r="3787" spans="3:5">
      <c r="C3787" t="s">
        <v>17</v>
      </c>
      <c r="D3787" t="s">
        <v>18</v>
      </c>
      <c r="E3787">
        <v>0</v>
      </c>
    </row>
    <row r="3788" spans="3:5">
      <c r="C3788" t="s">
        <v>17</v>
      </c>
      <c r="D3788" t="s">
        <v>18</v>
      </c>
      <c r="E3788">
        <v>0</v>
      </c>
    </row>
    <row r="3789" spans="3:5">
      <c r="C3789" t="s">
        <v>17</v>
      </c>
      <c r="D3789" t="s">
        <v>18</v>
      </c>
      <c r="E3789">
        <v>0</v>
      </c>
    </row>
    <row r="3790" spans="3:5">
      <c r="C3790" t="s">
        <v>17</v>
      </c>
      <c r="D3790" t="s">
        <v>18</v>
      </c>
      <c r="E3790">
        <v>0</v>
      </c>
    </row>
    <row r="3791" spans="3:5">
      <c r="C3791" t="s">
        <v>17</v>
      </c>
      <c r="D3791" t="s">
        <v>18</v>
      </c>
      <c r="E3791">
        <v>0</v>
      </c>
    </row>
    <row r="3792" spans="3:5">
      <c r="C3792" t="s">
        <v>17</v>
      </c>
      <c r="D3792" t="s">
        <v>18</v>
      </c>
      <c r="E3792">
        <v>1</v>
      </c>
    </row>
    <row r="3793" spans="3:5">
      <c r="C3793" t="s">
        <v>17</v>
      </c>
      <c r="D3793" t="s">
        <v>18</v>
      </c>
      <c r="E3793">
        <v>0</v>
      </c>
    </row>
    <row r="3794" spans="3:5">
      <c r="C3794" t="s">
        <v>17</v>
      </c>
      <c r="D3794" t="s">
        <v>18</v>
      </c>
      <c r="E3794">
        <v>0</v>
      </c>
    </row>
    <row r="3795" spans="3:5">
      <c r="C3795" t="s">
        <v>17</v>
      </c>
      <c r="D3795" t="s">
        <v>18</v>
      </c>
      <c r="E3795">
        <v>0</v>
      </c>
    </row>
    <row r="3796" spans="3:5">
      <c r="C3796" t="s">
        <v>15</v>
      </c>
      <c r="D3796" t="s">
        <v>16</v>
      </c>
      <c r="E3796">
        <v>0</v>
      </c>
    </row>
    <row r="3797" spans="3:5">
      <c r="C3797" t="s">
        <v>15</v>
      </c>
      <c r="D3797" t="s">
        <v>16</v>
      </c>
      <c r="E3797">
        <v>0</v>
      </c>
    </row>
    <row r="3798" spans="3:5">
      <c r="C3798" t="s">
        <v>17</v>
      </c>
      <c r="D3798" t="s">
        <v>18</v>
      </c>
      <c r="E3798">
        <v>0</v>
      </c>
    </row>
    <row r="3799" spans="3:5">
      <c r="C3799" t="s">
        <v>15</v>
      </c>
      <c r="D3799" t="s">
        <v>16</v>
      </c>
      <c r="E3799">
        <v>1</v>
      </c>
    </row>
    <row r="3800" spans="3:5">
      <c r="C3800" t="s">
        <v>17</v>
      </c>
      <c r="D3800" t="s">
        <v>18</v>
      </c>
      <c r="E3800">
        <v>0</v>
      </c>
    </row>
    <row r="3801" spans="3:5">
      <c r="C3801" t="s">
        <v>15</v>
      </c>
      <c r="D3801" t="s">
        <v>16</v>
      </c>
      <c r="E3801">
        <v>0</v>
      </c>
    </row>
    <row r="3802" spans="3:5">
      <c r="C3802" t="s">
        <v>17</v>
      </c>
      <c r="D3802" t="s">
        <v>18</v>
      </c>
      <c r="E3802">
        <v>0</v>
      </c>
    </row>
    <row r="3803" spans="3:5">
      <c r="C3803" t="s">
        <v>15</v>
      </c>
      <c r="D3803" t="s">
        <v>16</v>
      </c>
      <c r="E3803">
        <v>0</v>
      </c>
    </row>
    <row r="3804" spans="3:5">
      <c r="C3804" t="s">
        <v>15</v>
      </c>
      <c r="D3804" t="s">
        <v>16</v>
      </c>
      <c r="E3804">
        <v>0</v>
      </c>
    </row>
    <row r="3805" spans="3:5">
      <c r="C3805" t="s">
        <v>15</v>
      </c>
      <c r="D3805" t="s">
        <v>16</v>
      </c>
      <c r="E3805">
        <v>0</v>
      </c>
    </row>
    <row r="3806" spans="3:5">
      <c r="C3806" t="s">
        <v>17</v>
      </c>
      <c r="D3806" t="s">
        <v>18</v>
      </c>
      <c r="E3806">
        <v>0</v>
      </c>
    </row>
    <row r="3807" spans="3:5">
      <c r="C3807" t="s">
        <v>17</v>
      </c>
      <c r="D3807" t="s">
        <v>18</v>
      </c>
      <c r="E3807">
        <v>0</v>
      </c>
    </row>
    <row r="3808" spans="3:5">
      <c r="C3808" t="s">
        <v>15</v>
      </c>
      <c r="D3808" t="s">
        <v>16</v>
      </c>
      <c r="E3808">
        <v>1</v>
      </c>
    </row>
    <row r="3809" spans="3:5">
      <c r="C3809" t="s">
        <v>17</v>
      </c>
      <c r="D3809" t="s">
        <v>18</v>
      </c>
      <c r="E3809">
        <v>0</v>
      </c>
    </row>
    <row r="3810" spans="3:5">
      <c r="C3810" t="s">
        <v>15</v>
      </c>
      <c r="D3810" t="s">
        <v>16</v>
      </c>
      <c r="E3810">
        <v>0</v>
      </c>
    </row>
    <row r="3811" spans="3:5">
      <c r="C3811" t="s">
        <v>17</v>
      </c>
      <c r="D3811" t="s">
        <v>18</v>
      </c>
      <c r="E3811">
        <v>0</v>
      </c>
    </row>
    <row r="3812" spans="3:5">
      <c r="C3812" t="s">
        <v>15</v>
      </c>
      <c r="D3812" t="s">
        <v>16</v>
      </c>
      <c r="E3812">
        <v>0</v>
      </c>
    </row>
    <row r="3813" spans="3:5">
      <c r="C3813" t="s">
        <v>17</v>
      </c>
      <c r="D3813" t="s">
        <v>18</v>
      </c>
      <c r="E3813">
        <v>0</v>
      </c>
    </row>
    <row r="3814" spans="3:5">
      <c r="C3814" t="s">
        <v>17</v>
      </c>
      <c r="D3814" t="s">
        <v>18</v>
      </c>
      <c r="E3814">
        <v>0</v>
      </c>
    </row>
    <row r="3815" spans="3:5">
      <c r="C3815" t="s">
        <v>17</v>
      </c>
      <c r="D3815" t="s">
        <v>18</v>
      </c>
      <c r="E3815">
        <v>0</v>
      </c>
    </row>
    <row r="3816" spans="3:5">
      <c r="C3816" t="s">
        <v>17</v>
      </c>
      <c r="D3816" t="s">
        <v>18</v>
      </c>
      <c r="E3816">
        <v>0</v>
      </c>
    </row>
    <row r="3817" spans="3:5">
      <c r="C3817" t="s">
        <v>15</v>
      </c>
      <c r="D3817" t="s">
        <v>16</v>
      </c>
      <c r="E3817">
        <v>0</v>
      </c>
    </row>
    <row r="3818" spans="3:5">
      <c r="C3818" t="s">
        <v>17</v>
      </c>
      <c r="D3818" t="s">
        <v>18</v>
      </c>
      <c r="E3818">
        <v>0</v>
      </c>
    </row>
    <row r="3819" spans="3:5">
      <c r="C3819" t="s">
        <v>17</v>
      </c>
      <c r="D3819" t="s">
        <v>18</v>
      </c>
      <c r="E3819">
        <v>0</v>
      </c>
    </row>
    <row r="3820" spans="3:5">
      <c r="C3820" t="s">
        <v>15</v>
      </c>
      <c r="D3820" t="s">
        <v>16</v>
      </c>
      <c r="E3820">
        <v>0</v>
      </c>
    </row>
    <row r="3821" spans="3:5">
      <c r="C3821" t="s">
        <v>15</v>
      </c>
      <c r="D3821" t="s">
        <v>16</v>
      </c>
      <c r="E3821">
        <v>0</v>
      </c>
    </row>
    <row r="3822" spans="3:5">
      <c r="C3822" t="s">
        <v>15</v>
      </c>
      <c r="D3822" t="s">
        <v>16</v>
      </c>
      <c r="E3822">
        <v>0</v>
      </c>
    </row>
    <row r="3823" spans="3:5">
      <c r="C3823" t="s">
        <v>15</v>
      </c>
      <c r="D3823" t="s">
        <v>16</v>
      </c>
      <c r="E3823">
        <v>0</v>
      </c>
    </row>
    <row r="3824" spans="3:5">
      <c r="C3824" t="s">
        <v>17</v>
      </c>
      <c r="D3824" t="s">
        <v>18</v>
      </c>
      <c r="E3824">
        <v>0</v>
      </c>
    </row>
    <row r="3825" spans="3:5">
      <c r="C3825" t="s">
        <v>15</v>
      </c>
      <c r="D3825" t="s">
        <v>16</v>
      </c>
      <c r="E3825">
        <v>1</v>
      </c>
    </row>
    <row r="3826" spans="3:5">
      <c r="C3826" t="s">
        <v>17</v>
      </c>
      <c r="D3826" t="s">
        <v>18</v>
      </c>
      <c r="E3826">
        <v>0</v>
      </c>
    </row>
    <row r="3827" spans="3:5">
      <c r="C3827" t="s">
        <v>17</v>
      </c>
      <c r="D3827" t="s">
        <v>18</v>
      </c>
      <c r="E3827">
        <v>0</v>
      </c>
    </row>
    <row r="3828" spans="3:5">
      <c r="C3828" t="s">
        <v>17</v>
      </c>
      <c r="D3828" t="s">
        <v>18</v>
      </c>
      <c r="E3828">
        <v>0</v>
      </c>
    </row>
    <row r="3829" spans="3:5">
      <c r="C3829" t="s">
        <v>15</v>
      </c>
      <c r="D3829" t="s">
        <v>16</v>
      </c>
      <c r="E3829">
        <v>0</v>
      </c>
    </row>
    <row r="3830" spans="3:5">
      <c r="C3830" t="s">
        <v>17</v>
      </c>
      <c r="D3830" t="s">
        <v>18</v>
      </c>
      <c r="E3830">
        <v>0</v>
      </c>
    </row>
    <row r="3831" spans="3:5">
      <c r="C3831" t="s">
        <v>17</v>
      </c>
      <c r="D3831" t="s">
        <v>18</v>
      </c>
      <c r="E3831">
        <v>0</v>
      </c>
    </row>
    <row r="3832" spans="3:5">
      <c r="C3832" t="s">
        <v>17</v>
      </c>
      <c r="D3832" t="s">
        <v>18</v>
      </c>
      <c r="E3832">
        <v>0</v>
      </c>
    </row>
    <row r="3833" spans="3:5">
      <c r="C3833" t="s">
        <v>15</v>
      </c>
      <c r="D3833" t="s">
        <v>16</v>
      </c>
      <c r="E3833">
        <v>0</v>
      </c>
    </row>
    <row r="3834" spans="3:5">
      <c r="C3834" t="s">
        <v>17</v>
      </c>
      <c r="D3834" t="s">
        <v>18</v>
      </c>
      <c r="E3834">
        <v>0</v>
      </c>
    </row>
    <row r="3835" spans="3:5">
      <c r="C3835" t="s">
        <v>15</v>
      </c>
      <c r="D3835" t="s">
        <v>16</v>
      </c>
      <c r="E3835">
        <v>0</v>
      </c>
    </row>
    <row r="3836" spans="3:5">
      <c r="C3836" t="s">
        <v>15</v>
      </c>
      <c r="D3836" t="s">
        <v>16</v>
      </c>
      <c r="E3836">
        <v>0</v>
      </c>
    </row>
    <row r="3837" spans="3:5">
      <c r="C3837" t="s">
        <v>17</v>
      </c>
      <c r="D3837" t="s">
        <v>18</v>
      </c>
      <c r="E3837">
        <v>0</v>
      </c>
    </row>
    <row r="3838" spans="3:5">
      <c r="C3838" t="s">
        <v>15</v>
      </c>
      <c r="D3838" t="s">
        <v>16</v>
      </c>
      <c r="E3838">
        <v>0</v>
      </c>
    </row>
    <row r="3839" spans="3:5">
      <c r="C3839" t="s">
        <v>17</v>
      </c>
      <c r="D3839" t="s">
        <v>18</v>
      </c>
      <c r="E3839">
        <v>0</v>
      </c>
    </row>
    <row r="3840" spans="3:5">
      <c r="C3840" t="s">
        <v>17</v>
      </c>
      <c r="D3840" t="s">
        <v>18</v>
      </c>
      <c r="E3840">
        <v>0</v>
      </c>
    </row>
    <row r="3841" spans="3:5">
      <c r="C3841" t="s">
        <v>17</v>
      </c>
      <c r="D3841" t="s">
        <v>18</v>
      </c>
      <c r="E3841">
        <v>0</v>
      </c>
    </row>
    <row r="3842" spans="3:5">
      <c r="C3842" t="s">
        <v>17</v>
      </c>
      <c r="D3842" t="s">
        <v>18</v>
      </c>
      <c r="E3842">
        <v>0</v>
      </c>
    </row>
    <row r="3843" spans="3:5">
      <c r="C3843" t="s">
        <v>17</v>
      </c>
      <c r="D3843" t="s">
        <v>18</v>
      </c>
      <c r="E3843">
        <v>0</v>
      </c>
    </row>
    <row r="3844" spans="3:5">
      <c r="C3844" t="s">
        <v>15</v>
      </c>
      <c r="D3844" t="s">
        <v>16</v>
      </c>
      <c r="E3844">
        <v>1</v>
      </c>
    </row>
    <row r="3845" spans="3:5">
      <c r="C3845" t="s">
        <v>17</v>
      </c>
      <c r="D3845" t="s">
        <v>18</v>
      </c>
      <c r="E3845">
        <v>0</v>
      </c>
    </row>
    <row r="3846" spans="3:5">
      <c r="C3846" t="s">
        <v>15</v>
      </c>
      <c r="D3846" t="s">
        <v>16</v>
      </c>
      <c r="E3846">
        <v>0</v>
      </c>
    </row>
    <row r="3847" spans="3:5">
      <c r="C3847" t="s">
        <v>15</v>
      </c>
      <c r="D3847" t="s">
        <v>16</v>
      </c>
      <c r="E3847">
        <v>0</v>
      </c>
    </row>
    <row r="3848" spans="3:5">
      <c r="C3848" t="s">
        <v>15</v>
      </c>
      <c r="D3848" t="s">
        <v>16</v>
      </c>
      <c r="E3848">
        <v>0</v>
      </c>
    </row>
    <row r="3849" spans="3:5">
      <c r="C3849" t="s">
        <v>17</v>
      </c>
      <c r="D3849" t="s">
        <v>18</v>
      </c>
      <c r="E3849">
        <v>1</v>
      </c>
    </row>
    <row r="3850" spans="3:5">
      <c r="C3850" t="s">
        <v>17</v>
      </c>
      <c r="D3850" t="s">
        <v>18</v>
      </c>
      <c r="E3850">
        <v>0</v>
      </c>
    </row>
    <row r="3851" spans="3:5">
      <c r="C3851" t="s">
        <v>15</v>
      </c>
      <c r="D3851" t="s">
        <v>16</v>
      </c>
      <c r="E3851">
        <v>0</v>
      </c>
    </row>
    <row r="3852" spans="3:5">
      <c r="C3852" t="s">
        <v>17</v>
      </c>
      <c r="D3852" t="s">
        <v>18</v>
      </c>
      <c r="E3852">
        <v>0</v>
      </c>
    </row>
    <row r="3853" spans="3:5">
      <c r="C3853" t="s">
        <v>15</v>
      </c>
      <c r="D3853" t="s">
        <v>16</v>
      </c>
      <c r="E3853">
        <v>0</v>
      </c>
    </row>
    <row r="3854" spans="3:5">
      <c r="C3854" t="s">
        <v>17</v>
      </c>
      <c r="D3854" t="s">
        <v>18</v>
      </c>
      <c r="E3854">
        <v>0</v>
      </c>
    </row>
    <row r="3855" spans="3:5">
      <c r="C3855" t="s">
        <v>17</v>
      </c>
      <c r="D3855" t="s">
        <v>18</v>
      </c>
      <c r="E3855">
        <v>0</v>
      </c>
    </row>
    <row r="3856" spans="3:5">
      <c r="C3856" t="s">
        <v>17</v>
      </c>
      <c r="D3856" t="s">
        <v>18</v>
      </c>
      <c r="E3856">
        <v>0</v>
      </c>
    </row>
    <row r="3857" spans="3:5">
      <c r="C3857" t="s">
        <v>17</v>
      </c>
      <c r="D3857" t="s">
        <v>18</v>
      </c>
      <c r="E3857">
        <v>0</v>
      </c>
    </row>
    <row r="3858" spans="3:5">
      <c r="C3858" t="s">
        <v>15</v>
      </c>
      <c r="D3858" t="s">
        <v>16</v>
      </c>
      <c r="E3858">
        <v>0</v>
      </c>
    </row>
    <row r="3859" spans="3:5">
      <c r="C3859" t="s">
        <v>17</v>
      </c>
      <c r="D3859" t="s">
        <v>18</v>
      </c>
      <c r="E3859">
        <v>0</v>
      </c>
    </row>
    <row r="3860" spans="3:5">
      <c r="C3860" t="s">
        <v>17</v>
      </c>
      <c r="D3860" t="s">
        <v>18</v>
      </c>
      <c r="E3860">
        <v>0</v>
      </c>
    </row>
    <row r="3861" spans="3:5">
      <c r="C3861" t="s">
        <v>17</v>
      </c>
      <c r="D3861" t="s">
        <v>18</v>
      </c>
      <c r="E3861">
        <v>0</v>
      </c>
    </row>
    <row r="3862" spans="3:5">
      <c r="C3862" t="s">
        <v>17</v>
      </c>
      <c r="D3862" t="s">
        <v>18</v>
      </c>
      <c r="E3862">
        <v>0</v>
      </c>
    </row>
    <row r="3863" spans="3:5">
      <c r="C3863" t="s">
        <v>15</v>
      </c>
      <c r="D3863" t="s">
        <v>16</v>
      </c>
      <c r="E3863">
        <v>0</v>
      </c>
    </row>
    <row r="3864" spans="3:5">
      <c r="C3864" t="s">
        <v>15</v>
      </c>
      <c r="D3864" t="s">
        <v>16</v>
      </c>
      <c r="E3864">
        <v>0</v>
      </c>
    </row>
    <row r="3865" spans="3:5">
      <c r="C3865" t="s">
        <v>15</v>
      </c>
      <c r="D3865" t="s">
        <v>16</v>
      </c>
      <c r="E3865">
        <v>0</v>
      </c>
    </row>
    <row r="3866" spans="3:5">
      <c r="C3866" t="s">
        <v>15</v>
      </c>
      <c r="D3866" t="s">
        <v>16</v>
      </c>
      <c r="E3866">
        <v>0</v>
      </c>
    </row>
    <row r="3867" spans="3:5">
      <c r="C3867" t="s">
        <v>15</v>
      </c>
      <c r="D3867" t="s">
        <v>16</v>
      </c>
      <c r="E3867">
        <v>0</v>
      </c>
    </row>
    <row r="3868" spans="3:5">
      <c r="C3868" t="s">
        <v>15</v>
      </c>
      <c r="D3868" t="s">
        <v>16</v>
      </c>
      <c r="E3868">
        <v>0</v>
      </c>
    </row>
    <row r="3869" spans="3:5">
      <c r="C3869" t="s">
        <v>15</v>
      </c>
      <c r="D3869" t="s">
        <v>16</v>
      </c>
      <c r="E3869">
        <v>0</v>
      </c>
    </row>
    <row r="3870" spans="3:5">
      <c r="C3870" t="s">
        <v>17</v>
      </c>
      <c r="D3870" t="s">
        <v>18</v>
      </c>
      <c r="E3870">
        <v>0</v>
      </c>
    </row>
    <row r="3871" spans="3:5">
      <c r="C3871" t="s">
        <v>15</v>
      </c>
      <c r="D3871" t="s">
        <v>16</v>
      </c>
      <c r="E3871">
        <v>0</v>
      </c>
    </row>
    <row r="3872" spans="3:5">
      <c r="C3872" t="s">
        <v>17</v>
      </c>
      <c r="D3872" t="s">
        <v>18</v>
      </c>
      <c r="E3872">
        <v>0</v>
      </c>
    </row>
    <row r="3873" spans="3:5">
      <c r="C3873" t="s">
        <v>15</v>
      </c>
      <c r="D3873" t="s">
        <v>16</v>
      </c>
      <c r="E3873">
        <v>0</v>
      </c>
    </row>
    <row r="3874" spans="3:5">
      <c r="C3874" t="s">
        <v>17</v>
      </c>
      <c r="D3874" t="s">
        <v>18</v>
      </c>
      <c r="E3874">
        <v>0</v>
      </c>
    </row>
    <row r="3875" spans="3:5">
      <c r="C3875" t="s">
        <v>15</v>
      </c>
      <c r="D3875" t="s">
        <v>16</v>
      </c>
      <c r="E3875">
        <v>0</v>
      </c>
    </row>
    <row r="3876" spans="3:5">
      <c r="C3876" t="s">
        <v>15</v>
      </c>
      <c r="D3876" t="s">
        <v>16</v>
      </c>
      <c r="E3876">
        <v>0</v>
      </c>
    </row>
    <row r="3877" spans="3:5">
      <c r="C3877" t="s">
        <v>15</v>
      </c>
      <c r="D3877" t="s">
        <v>16</v>
      </c>
      <c r="E3877">
        <v>0</v>
      </c>
    </row>
    <row r="3878" spans="3:5">
      <c r="C3878" t="s">
        <v>15</v>
      </c>
      <c r="D3878" t="s">
        <v>16</v>
      </c>
      <c r="E3878">
        <v>0</v>
      </c>
    </row>
    <row r="3879" spans="3:5">
      <c r="C3879" t="s">
        <v>17</v>
      </c>
      <c r="D3879" t="s">
        <v>18</v>
      </c>
      <c r="E3879">
        <v>0</v>
      </c>
    </row>
    <row r="3880" spans="3:5">
      <c r="C3880" t="s">
        <v>17</v>
      </c>
      <c r="D3880" t="s">
        <v>18</v>
      </c>
      <c r="E3880">
        <v>0</v>
      </c>
    </row>
    <row r="3881" spans="3:5">
      <c r="C3881" t="s">
        <v>17</v>
      </c>
      <c r="D3881" t="s">
        <v>18</v>
      </c>
      <c r="E3881">
        <v>0</v>
      </c>
    </row>
    <row r="3882" spans="3:5">
      <c r="C3882" t="s">
        <v>15</v>
      </c>
      <c r="D3882" t="s">
        <v>16</v>
      </c>
      <c r="E3882">
        <v>0</v>
      </c>
    </row>
    <row r="3883" spans="3:5">
      <c r="C3883" t="s">
        <v>17</v>
      </c>
      <c r="D3883" t="s">
        <v>18</v>
      </c>
      <c r="E3883">
        <v>1</v>
      </c>
    </row>
    <row r="3884" spans="3:5">
      <c r="C3884" t="s">
        <v>17</v>
      </c>
      <c r="D3884" t="s">
        <v>18</v>
      </c>
      <c r="E3884">
        <v>0</v>
      </c>
    </row>
    <row r="3885" spans="3:5">
      <c r="C3885" t="s">
        <v>15</v>
      </c>
      <c r="D3885" t="s">
        <v>16</v>
      </c>
      <c r="E3885">
        <v>1</v>
      </c>
    </row>
    <row r="3886" spans="3:5">
      <c r="C3886" t="s">
        <v>17</v>
      </c>
      <c r="D3886" t="s">
        <v>18</v>
      </c>
      <c r="E3886">
        <v>0</v>
      </c>
    </row>
    <row r="3887" spans="3:5">
      <c r="C3887" t="s">
        <v>17</v>
      </c>
      <c r="D3887" t="s">
        <v>18</v>
      </c>
      <c r="E3887">
        <v>0</v>
      </c>
    </row>
    <row r="3888" spans="3:5">
      <c r="C3888" t="s">
        <v>17</v>
      </c>
      <c r="D3888" t="s">
        <v>18</v>
      </c>
      <c r="E3888">
        <v>0</v>
      </c>
    </row>
    <row r="3889" spans="3:5">
      <c r="C3889" t="s">
        <v>17</v>
      </c>
      <c r="D3889" t="s">
        <v>18</v>
      </c>
      <c r="E3889">
        <v>0</v>
      </c>
    </row>
    <row r="3890" spans="3:5">
      <c r="C3890" t="s">
        <v>15</v>
      </c>
      <c r="D3890" t="s">
        <v>16</v>
      </c>
      <c r="E3890">
        <v>0</v>
      </c>
    </row>
    <row r="3891" spans="3:5">
      <c r="C3891" t="s">
        <v>15</v>
      </c>
      <c r="D3891" t="s">
        <v>16</v>
      </c>
      <c r="E3891">
        <v>0</v>
      </c>
    </row>
    <row r="3892" spans="3:5">
      <c r="C3892" t="s">
        <v>15</v>
      </c>
      <c r="D3892" t="s">
        <v>16</v>
      </c>
      <c r="E3892">
        <v>0</v>
      </c>
    </row>
    <row r="3893" spans="3:5">
      <c r="C3893" t="s">
        <v>17</v>
      </c>
      <c r="D3893" t="s">
        <v>18</v>
      </c>
      <c r="E3893">
        <v>0</v>
      </c>
    </row>
    <row r="3894" spans="3:5">
      <c r="C3894" t="s">
        <v>17</v>
      </c>
      <c r="D3894" t="s">
        <v>18</v>
      </c>
      <c r="E3894">
        <v>0</v>
      </c>
    </row>
    <row r="3895" spans="3:5">
      <c r="C3895" t="s">
        <v>17</v>
      </c>
      <c r="D3895" t="s">
        <v>18</v>
      </c>
      <c r="E3895">
        <v>0</v>
      </c>
    </row>
    <row r="3896" spans="3:5">
      <c r="C3896" t="s">
        <v>15</v>
      </c>
      <c r="D3896" t="s">
        <v>16</v>
      </c>
      <c r="E3896">
        <v>0</v>
      </c>
    </row>
    <row r="3897" spans="3:5">
      <c r="C3897" t="s">
        <v>15</v>
      </c>
      <c r="D3897" t="s">
        <v>16</v>
      </c>
      <c r="E3897">
        <v>0</v>
      </c>
    </row>
    <row r="3898" spans="3:5">
      <c r="C3898" t="s">
        <v>17</v>
      </c>
      <c r="D3898" t="s">
        <v>18</v>
      </c>
      <c r="E3898">
        <v>0</v>
      </c>
    </row>
    <row r="3899" spans="3:5">
      <c r="C3899" t="s">
        <v>15</v>
      </c>
      <c r="D3899" t="s">
        <v>16</v>
      </c>
      <c r="E3899">
        <v>0</v>
      </c>
    </row>
    <row r="3900" spans="3:5">
      <c r="C3900" t="s">
        <v>17</v>
      </c>
      <c r="D3900" t="s">
        <v>18</v>
      </c>
      <c r="E3900">
        <v>0</v>
      </c>
    </row>
    <row r="3901" spans="3:5">
      <c r="C3901" t="s">
        <v>15</v>
      </c>
      <c r="D3901" t="s">
        <v>16</v>
      </c>
      <c r="E3901">
        <v>0</v>
      </c>
    </row>
    <row r="3902" spans="3:5">
      <c r="C3902" t="s">
        <v>15</v>
      </c>
      <c r="D3902" t="s">
        <v>16</v>
      </c>
      <c r="E3902">
        <v>0</v>
      </c>
    </row>
    <row r="3903" spans="3:5">
      <c r="C3903" t="s">
        <v>15</v>
      </c>
      <c r="D3903" t="s">
        <v>16</v>
      </c>
      <c r="E3903">
        <v>0</v>
      </c>
    </row>
    <row r="3904" spans="3:5">
      <c r="C3904" t="s">
        <v>15</v>
      </c>
      <c r="D3904" t="s">
        <v>16</v>
      </c>
      <c r="E3904">
        <v>0</v>
      </c>
    </row>
    <row r="3905" spans="3:5">
      <c r="C3905" t="s">
        <v>15</v>
      </c>
      <c r="D3905" t="s">
        <v>16</v>
      </c>
      <c r="E3905">
        <v>0</v>
      </c>
    </row>
    <row r="3906" spans="3:5">
      <c r="C3906" t="s">
        <v>15</v>
      </c>
      <c r="D3906" t="s">
        <v>16</v>
      </c>
      <c r="E3906">
        <v>0</v>
      </c>
    </row>
    <row r="3907" spans="3:5">
      <c r="C3907" t="s">
        <v>17</v>
      </c>
      <c r="D3907" t="s">
        <v>18</v>
      </c>
      <c r="E3907">
        <v>0</v>
      </c>
    </row>
    <row r="3908" spans="3:5">
      <c r="C3908" t="s">
        <v>17</v>
      </c>
      <c r="D3908" t="s">
        <v>18</v>
      </c>
      <c r="E3908">
        <v>0</v>
      </c>
    </row>
    <row r="3909" spans="3:5">
      <c r="C3909" t="s">
        <v>15</v>
      </c>
      <c r="D3909" t="s">
        <v>16</v>
      </c>
      <c r="E3909">
        <v>0</v>
      </c>
    </row>
    <row r="3910" spans="3:5">
      <c r="C3910" t="s">
        <v>17</v>
      </c>
      <c r="D3910" t="s">
        <v>18</v>
      </c>
      <c r="E3910">
        <v>0</v>
      </c>
    </row>
    <row r="3911" spans="3:5">
      <c r="C3911" t="s">
        <v>17</v>
      </c>
      <c r="D3911" t="s">
        <v>18</v>
      </c>
      <c r="E3911">
        <v>0</v>
      </c>
    </row>
    <row r="3912" spans="3:5">
      <c r="C3912" t="s">
        <v>15</v>
      </c>
      <c r="D3912" t="s">
        <v>16</v>
      </c>
      <c r="E3912">
        <v>0</v>
      </c>
    </row>
    <row r="3913" spans="3:5">
      <c r="C3913" t="s">
        <v>17</v>
      </c>
      <c r="D3913" t="s">
        <v>18</v>
      </c>
      <c r="E3913">
        <v>0</v>
      </c>
    </row>
    <row r="3914" spans="3:5">
      <c r="C3914" t="s">
        <v>15</v>
      </c>
      <c r="D3914" t="s">
        <v>16</v>
      </c>
      <c r="E3914">
        <v>0</v>
      </c>
    </row>
    <row r="3915" spans="3:5">
      <c r="C3915" t="s">
        <v>15</v>
      </c>
      <c r="D3915" t="s">
        <v>16</v>
      </c>
      <c r="E3915">
        <v>0</v>
      </c>
    </row>
    <row r="3916" spans="3:5">
      <c r="C3916" t="s">
        <v>15</v>
      </c>
      <c r="D3916" t="s">
        <v>16</v>
      </c>
      <c r="E3916">
        <v>0</v>
      </c>
    </row>
    <row r="3917" spans="3:5">
      <c r="C3917" t="s">
        <v>15</v>
      </c>
      <c r="D3917" t="s">
        <v>16</v>
      </c>
      <c r="E3917">
        <v>0</v>
      </c>
    </row>
    <row r="3918" spans="3:5">
      <c r="C3918" t="s">
        <v>17</v>
      </c>
      <c r="D3918" t="s">
        <v>18</v>
      </c>
      <c r="E3918">
        <v>0</v>
      </c>
    </row>
    <row r="3919" spans="3:5">
      <c r="C3919" t="s">
        <v>15</v>
      </c>
      <c r="D3919" t="s">
        <v>16</v>
      </c>
      <c r="E3919">
        <v>0</v>
      </c>
    </row>
    <row r="3920" spans="3:5">
      <c r="C3920" t="s">
        <v>17</v>
      </c>
      <c r="D3920" t="s">
        <v>18</v>
      </c>
      <c r="E3920">
        <v>0</v>
      </c>
    </row>
    <row r="3921" spans="3:5">
      <c r="C3921" t="s">
        <v>15</v>
      </c>
      <c r="D3921" t="s">
        <v>16</v>
      </c>
      <c r="E3921">
        <v>0</v>
      </c>
    </row>
    <row r="3922" spans="3:5">
      <c r="C3922" t="s">
        <v>17</v>
      </c>
      <c r="D3922" t="s">
        <v>18</v>
      </c>
      <c r="E3922">
        <v>0</v>
      </c>
    </row>
    <row r="3923" spans="3:5">
      <c r="C3923" t="s">
        <v>17</v>
      </c>
      <c r="D3923" t="s">
        <v>18</v>
      </c>
      <c r="E3923">
        <v>0</v>
      </c>
    </row>
    <row r="3924" spans="3:5">
      <c r="C3924" t="s">
        <v>15</v>
      </c>
      <c r="D3924" t="s">
        <v>16</v>
      </c>
      <c r="E3924">
        <v>0</v>
      </c>
    </row>
    <row r="3925" spans="3:5">
      <c r="C3925" t="s">
        <v>17</v>
      </c>
      <c r="D3925" t="s">
        <v>18</v>
      </c>
      <c r="E3925">
        <v>0</v>
      </c>
    </row>
    <row r="3926" spans="3:5">
      <c r="C3926" t="s">
        <v>17</v>
      </c>
      <c r="D3926" t="s">
        <v>18</v>
      </c>
      <c r="E3926">
        <v>0</v>
      </c>
    </row>
    <row r="3927" spans="3:5">
      <c r="C3927" t="s">
        <v>17</v>
      </c>
      <c r="D3927" t="s">
        <v>18</v>
      </c>
      <c r="E3927">
        <v>0</v>
      </c>
    </row>
    <row r="3928" spans="3:5">
      <c r="C3928" t="s">
        <v>17</v>
      </c>
      <c r="D3928" t="s">
        <v>18</v>
      </c>
      <c r="E3928">
        <v>0</v>
      </c>
    </row>
    <row r="3929" spans="3:5">
      <c r="C3929" t="s">
        <v>15</v>
      </c>
      <c r="D3929" t="s">
        <v>16</v>
      </c>
      <c r="E3929">
        <v>0</v>
      </c>
    </row>
    <row r="3930" spans="3:5">
      <c r="C3930" t="s">
        <v>15</v>
      </c>
      <c r="D3930" t="s">
        <v>16</v>
      </c>
      <c r="E3930">
        <v>0</v>
      </c>
    </row>
    <row r="3931" spans="3:5">
      <c r="C3931" t="s">
        <v>17</v>
      </c>
      <c r="D3931" t="s">
        <v>18</v>
      </c>
      <c r="E3931">
        <v>0</v>
      </c>
    </row>
    <row r="3932" spans="3:5">
      <c r="C3932" t="s">
        <v>17</v>
      </c>
      <c r="D3932" t="s">
        <v>18</v>
      </c>
      <c r="E3932">
        <v>0</v>
      </c>
    </row>
    <row r="3933" spans="3:5">
      <c r="C3933" t="s">
        <v>17</v>
      </c>
      <c r="D3933" t="s">
        <v>18</v>
      </c>
      <c r="E3933">
        <v>1</v>
      </c>
    </row>
    <row r="3934" spans="3:5">
      <c r="C3934" t="s">
        <v>17</v>
      </c>
      <c r="D3934" t="s">
        <v>18</v>
      </c>
      <c r="E3934">
        <v>0</v>
      </c>
    </row>
    <row r="3935" spans="3:5">
      <c r="C3935" t="s">
        <v>15</v>
      </c>
      <c r="D3935" t="s">
        <v>16</v>
      </c>
      <c r="E3935">
        <v>0</v>
      </c>
    </row>
    <row r="3936" spans="3:5">
      <c r="C3936" t="s">
        <v>17</v>
      </c>
      <c r="D3936" t="s">
        <v>18</v>
      </c>
      <c r="E3936">
        <v>0</v>
      </c>
    </row>
    <row r="3937" spans="3:5">
      <c r="C3937" t="s">
        <v>15</v>
      </c>
      <c r="D3937" t="s">
        <v>16</v>
      </c>
      <c r="E3937">
        <v>1</v>
      </c>
    </row>
    <row r="3938" spans="3:5">
      <c r="C3938" t="s">
        <v>17</v>
      </c>
      <c r="D3938" t="s">
        <v>18</v>
      </c>
      <c r="E3938">
        <v>0</v>
      </c>
    </row>
    <row r="3939" spans="3:5">
      <c r="C3939" t="s">
        <v>15</v>
      </c>
      <c r="D3939" t="s">
        <v>16</v>
      </c>
      <c r="E3939">
        <v>0</v>
      </c>
    </row>
    <row r="3940" spans="3:5">
      <c r="C3940" t="s">
        <v>15</v>
      </c>
      <c r="D3940" t="s">
        <v>16</v>
      </c>
      <c r="E3940">
        <v>0</v>
      </c>
    </row>
    <row r="3941" spans="3:5">
      <c r="C3941" t="s">
        <v>15</v>
      </c>
      <c r="D3941" t="s">
        <v>16</v>
      </c>
      <c r="E3941">
        <v>0</v>
      </c>
    </row>
    <row r="3942" spans="3:5">
      <c r="C3942" t="s">
        <v>15</v>
      </c>
      <c r="D3942" t="s">
        <v>16</v>
      </c>
      <c r="E3942">
        <v>0</v>
      </c>
    </row>
    <row r="3943" spans="3:5">
      <c r="C3943" t="s">
        <v>17</v>
      </c>
      <c r="D3943" t="s">
        <v>18</v>
      </c>
      <c r="E3943">
        <v>0</v>
      </c>
    </row>
    <row r="3944" spans="3:5">
      <c r="C3944" t="s">
        <v>15</v>
      </c>
      <c r="D3944" t="s">
        <v>16</v>
      </c>
      <c r="E3944">
        <v>0</v>
      </c>
    </row>
    <row r="3945" spans="3:5">
      <c r="C3945" t="s">
        <v>15</v>
      </c>
      <c r="D3945" t="s">
        <v>16</v>
      </c>
      <c r="E3945">
        <v>0</v>
      </c>
    </row>
    <row r="3946" spans="3:5">
      <c r="C3946" t="s">
        <v>15</v>
      </c>
      <c r="D3946" t="s">
        <v>16</v>
      </c>
      <c r="E3946">
        <v>0</v>
      </c>
    </row>
    <row r="3947" spans="3:5">
      <c r="C3947" t="s">
        <v>15</v>
      </c>
      <c r="D3947" t="s">
        <v>16</v>
      </c>
      <c r="E3947">
        <v>0</v>
      </c>
    </row>
    <row r="3948" spans="3:5">
      <c r="C3948" t="s">
        <v>15</v>
      </c>
      <c r="D3948" t="s">
        <v>16</v>
      </c>
      <c r="E3948">
        <v>0</v>
      </c>
    </row>
    <row r="3949" spans="3:5">
      <c r="C3949" t="s">
        <v>15</v>
      </c>
      <c r="D3949" t="s">
        <v>16</v>
      </c>
      <c r="E3949">
        <v>0</v>
      </c>
    </row>
    <row r="3950" spans="3:5">
      <c r="C3950" t="s">
        <v>17</v>
      </c>
      <c r="D3950" t="s">
        <v>18</v>
      </c>
      <c r="E3950">
        <v>0</v>
      </c>
    </row>
    <row r="3951" spans="3:5">
      <c r="C3951" t="s">
        <v>17</v>
      </c>
      <c r="D3951" t="s">
        <v>18</v>
      </c>
      <c r="E3951">
        <v>0</v>
      </c>
    </row>
    <row r="3952" spans="3:5">
      <c r="C3952" t="s">
        <v>17</v>
      </c>
      <c r="D3952" t="s">
        <v>18</v>
      </c>
      <c r="E3952">
        <v>0</v>
      </c>
    </row>
    <row r="3953" spans="3:5">
      <c r="C3953" t="s">
        <v>15</v>
      </c>
      <c r="D3953" t="s">
        <v>16</v>
      </c>
      <c r="E3953">
        <v>0</v>
      </c>
    </row>
    <row r="3954" spans="3:5">
      <c r="C3954" t="s">
        <v>17</v>
      </c>
      <c r="D3954" t="s">
        <v>18</v>
      </c>
      <c r="E3954">
        <v>0</v>
      </c>
    </row>
    <row r="3955" spans="3:5">
      <c r="C3955" t="s">
        <v>15</v>
      </c>
      <c r="D3955" t="s">
        <v>16</v>
      </c>
      <c r="E3955">
        <v>0</v>
      </c>
    </row>
    <row r="3956" spans="3:5">
      <c r="C3956" t="s">
        <v>17</v>
      </c>
      <c r="D3956" t="s">
        <v>18</v>
      </c>
      <c r="E3956">
        <v>0</v>
      </c>
    </row>
    <row r="3957" spans="3:5">
      <c r="C3957" t="s">
        <v>15</v>
      </c>
      <c r="D3957" t="s">
        <v>16</v>
      </c>
      <c r="E3957">
        <v>0</v>
      </c>
    </row>
    <row r="3958" spans="3:5">
      <c r="C3958" t="s">
        <v>17</v>
      </c>
      <c r="D3958" t="s">
        <v>18</v>
      </c>
      <c r="E3958">
        <v>0</v>
      </c>
    </row>
    <row r="3959" spans="3:5">
      <c r="C3959" t="s">
        <v>17</v>
      </c>
      <c r="D3959" t="s">
        <v>18</v>
      </c>
      <c r="E3959">
        <v>0</v>
      </c>
    </row>
    <row r="3960" spans="3:5">
      <c r="C3960" t="s">
        <v>15</v>
      </c>
      <c r="D3960" t="s">
        <v>16</v>
      </c>
      <c r="E3960">
        <v>0</v>
      </c>
    </row>
    <row r="3961" spans="3:5">
      <c r="C3961" t="s">
        <v>17</v>
      </c>
      <c r="D3961" t="s">
        <v>18</v>
      </c>
      <c r="E3961">
        <v>0</v>
      </c>
    </row>
    <row r="3962" spans="3:5">
      <c r="C3962" t="s">
        <v>17</v>
      </c>
      <c r="D3962" t="s">
        <v>18</v>
      </c>
      <c r="E3962">
        <v>0</v>
      </c>
    </row>
    <row r="3963" spans="3:5">
      <c r="C3963" t="s">
        <v>17</v>
      </c>
      <c r="D3963" t="s">
        <v>18</v>
      </c>
      <c r="E3963">
        <v>0</v>
      </c>
    </row>
    <row r="3964" spans="3:5">
      <c r="C3964" t="s">
        <v>15</v>
      </c>
      <c r="D3964" t="s">
        <v>16</v>
      </c>
      <c r="E3964">
        <v>0</v>
      </c>
    </row>
    <row r="3965" spans="3:5">
      <c r="C3965" t="s">
        <v>15</v>
      </c>
      <c r="D3965" t="s">
        <v>16</v>
      </c>
      <c r="E3965">
        <v>0</v>
      </c>
    </row>
    <row r="3966" spans="3:5">
      <c r="C3966" t="s">
        <v>15</v>
      </c>
      <c r="D3966" t="s">
        <v>16</v>
      </c>
      <c r="E3966">
        <v>0</v>
      </c>
    </row>
    <row r="3967" spans="3:5">
      <c r="C3967" t="s">
        <v>15</v>
      </c>
      <c r="D3967" t="s">
        <v>16</v>
      </c>
      <c r="E3967">
        <v>0</v>
      </c>
    </row>
    <row r="3968" spans="3:5">
      <c r="C3968" t="s">
        <v>17</v>
      </c>
      <c r="D3968" t="s">
        <v>18</v>
      </c>
      <c r="E3968">
        <v>0</v>
      </c>
    </row>
    <row r="3969" spans="3:5">
      <c r="C3969" t="s">
        <v>15</v>
      </c>
      <c r="D3969" t="s">
        <v>16</v>
      </c>
      <c r="E3969">
        <v>0</v>
      </c>
    </row>
    <row r="3970" spans="3:5">
      <c r="C3970" t="s">
        <v>17</v>
      </c>
      <c r="D3970" t="s">
        <v>18</v>
      </c>
      <c r="E3970">
        <v>0</v>
      </c>
    </row>
    <row r="3971" spans="3:5">
      <c r="C3971" t="s">
        <v>17</v>
      </c>
      <c r="D3971" t="s">
        <v>18</v>
      </c>
      <c r="E3971">
        <v>0</v>
      </c>
    </row>
    <row r="3972" spans="3:5">
      <c r="C3972" t="s">
        <v>15</v>
      </c>
      <c r="D3972" t="s">
        <v>16</v>
      </c>
      <c r="E3972">
        <v>0</v>
      </c>
    </row>
    <row r="3973" spans="3:5">
      <c r="C3973" t="s">
        <v>15</v>
      </c>
      <c r="D3973" t="s">
        <v>16</v>
      </c>
      <c r="E3973">
        <v>0</v>
      </c>
    </row>
    <row r="3974" spans="3:5">
      <c r="C3974" t="s">
        <v>17</v>
      </c>
      <c r="D3974" t="s">
        <v>18</v>
      </c>
      <c r="E3974">
        <v>0</v>
      </c>
    </row>
    <row r="3975" spans="3:5">
      <c r="C3975" t="s">
        <v>15</v>
      </c>
      <c r="D3975" t="s">
        <v>16</v>
      </c>
      <c r="E3975">
        <v>0</v>
      </c>
    </row>
    <row r="3976" spans="3:5">
      <c r="C3976" t="s">
        <v>15</v>
      </c>
      <c r="D3976" t="s">
        <v>16</v>
      </c>
      <c r="E3976">
        <v>0</v>
      </c>
    </row>
    <row r="3977" spans="3:5">
      <c r="C3977" t="s">
        <v>17</v>
      </c>
      <c r="D3977" t="s">
        <v>18</v>
      </c>
      <c r="E3977">
        <v>0</v>
      </c>
    </row>
    <row r="3978" spans="3:5">
      <c r="C3978" t="s">
        <v>17</v>
      </c>
      <c r="D3978" t="s">
        <v>18</v>
      </c>
      <c r="E3978">
        <v>0</v>
      </c>
    </row>
    <row r="3979" spans="3:5">
      <c r="C3979" t="s">
        <v>15</v>
      </c>
      <c r="D3979" t="s">
        <v>16</v>
      </c>
      <c r="E3979">
        <v>0</v>
      </c>
    </row>
    <row r="3980" spans="3:5">
      <c r="C3980" t="s">
        <v>17</v>
      </c>
      <c r="D3980" t="s">
        <v>18</v>
      </c>
      <c r="E3980">
        <v>0</v>
      </c>
    </row>
    <row r="3981" spans="3:5">
      <c r="C3981" t="s">
        <v>17</v>
      </c>
      <c r="D3981" t="s">
        <v>18</v>
      </c>
      <c r="E3981">
        <v>0</v>
      </c>
    </row>
    <row r="3982" spans="3:5">
      <c r="C3982" t="s">
        <v>17</v>
      </c>
      <c r="D3982" t="s">
        <v>18</v>
      </c>
      <c r="E3982">
        <v>0</v>
      </c>
    </row>
    <row r="3983" spans="3:5">
      <c r="C3983" t="s">
        <v>15</v>
      </c>
      <c r="D3983" t="s">
        <v>16</v>
      </c>
      <c r="E3983">
        <v>0</v>
      </c>
    </row>
    <row r="3984" spans="3:5">
      <c r="C3984" t="s">
        <v>15</v>
      </c>
      <c r="D3984" t="s">
        <v>16</v>
      </c>
      <c r="E3984">
        <v>0</v>
      </c>
    </row>
    <row r="3985" spans="3:5">
      <c r="C3985" t="s">
        <v>17</v>
      </c>
      <c r="D3985" t="s">
        <v>18</v>
      </c>
      <c r="E3985">
        <v>0</v>
      </c>
    </row>
    <row r="3986" spans="3:5">
      <c r="C3986" t="s">
        <v>15</v>
      </c>
      <c r="D3986" t="s">
        <v>16</v>
      </c>
      <c r="E3986">
        <v>0</v>
      </c>
    </row>
    <row r="3987" spans="3:5">
      <c r="C3987" t="s">
        <v>15</v>
      </c>
      <c r="D3987" t="s">
        <v>16</v>
      </c>
      <c r="E3987">
        <v>0</v>
      </c>
    </row>
    <row r="3988" spans="3:5">
      <c r="C3988" t="s">
        <v>15</v>
      </c>
      <c r="D3988" t="s">
        <v>16</v>
      </c>
      <c r="E3988">
        <v>0</v>
      </c>
    </row>
    <row r="3989" spans="3:5">
      <c r="C3989" t="s">
        <v>15</v>
      </c>
      <c r="D3989" t="s">
        <v>16</v>
      </c>
      <c r="E3989">
        <v>0</v>
      </c>
    </row>
    <row r="3990" spans="3:5">
      <c r="C3990" t="s">
        <v>17</v>
      </c>
      <c r="D3990" t="s">
        <v>18</v>
      </c>
      <c r="E3990">
        <v>0</v>
      </c>
    </row>
    <row r="3991" spans="3:5">
      <c r="C3991" t="s">
        <v>15</v>
      </c>
      <c r="D3991" t="s">
        <v>16</v>
      </c>
      <c r="E3991">
        <v>0</v>
      </c>
    </row>
    <row r="3992" spans="3:5">
      <c r="C3992" t="s">
        <v>15</v>
      </c>
      <c r="D3992" t="s">
        <v>16</v>
      </c>
      <c r="E3992">
        <v>0</v>
      </c>
    </row>
    <row r="3993" spans="3:5">
      <c r="C3993" t="s">
        <v>15</v>
      </c>
      <c r="D3993" t="s">
        <v>16</v>
      </c>
      <c r="E3993">
        <v>0</v>
      </c>
    </row>
    <row r="3994" spans="3:5">
      <c r="C3994" t="s">
        <v>17</v>
      </c>
      <c r="D3994" t="s">
        <v>18</v>
      </c>
      <c r="E3994">
        <v>0</v>
      </c>
    </row>
    <row r="3995" spans="3:5">
      <c r="C3995" t="s">
        <v>15</v>
      </c>
      <c r="D3995" t="s">
        <v>16</v>
      </c>
      <c r="E3995">
        <v>0</v>
      </c>
    </row>
    <row r="3996" spans="3:5">
      <c r="C3996" t="s">
        <v>17</v>
      </c>
      <c r="D3996" t="s">
        <v>18</v>
      </c>
      <c r="E3996">
        <v>0</v>
      </c>
    </row>
    <row r="3997" spans="3:5">
      <c r="C3997" t="s">
        <v>17</v>
      </c>
      <c r="D3997" t="s">
        <v>18</v>
      </c>
      <c r="E3997">
        <v>0</v>
      </c>
    </row>
    <row r="3998" spans="3:5">
      <c r="C3998" t="s">
        <v>17</v>
      </c>
      <c r="D3998" t="s">
        <v>18</v>
      </c>
      <c r="E3998">
        <v>0</v>
      </c>
    </row>
    <row r="3999" spans="3:5">
      <c r="C3999" t="s">
        <v>15</v>
      </c>
      <c r="D3999" t="s">
        <v>16</v>
      </c>
      <c r="E3999">
        <v>0</v>
      </c>
    </row>
    <row r="4000" spans="3:5">
      <c r="C4000" t="s">
        <v>15</v>
      </c>
      <c r="D4000" t="s">
        <v>16</v>
      </c>
      <c r="E4000">
        <v>0</v>
      </c>
    </row>
    <row r="4001" spans="3:5">
      <c r="C4001" t="s">
        <v>17</v>
      </c>
      <c r="D4001" t="s">
        <v>18</v>
      </c>
      <c r="E4001">
        <v>0</v>
      </c>
    </row>
    <row r="4002" spans="3:5">
      <c r="C4002" t="s">
        <v>17</v>
      </c>
      <c r="D4002" t="s">
        <v>18</v>
      </c>
      <c r="E4002">
        <v>0</v>
      </c>
    </row>
    <row r="4003" spans="3:5">
      <c r="C4003" t="s">
        <v>15</v>
      </c>
      <c r="D4003" t="s">
        <v>16</v>
      </c>
      <c r="E4003">
        <v>0</v>
      </c>
    </row>
    <row r="4004" spans="3:5">
      <c r="C4004" t="s">
        <v>17</v>
      </c>
      <c r="D4004" t="s">
        <v>18</v>
      </c>
      <c r="E4004">
        <v>0</v>
      </c>
    </row>
    <row r="4005" spans="3:5">
      <c r="C4005" t="s">
        <v>15</v>
      </c>
      <c r="D4005" t="s">
        <v>16</v>
      </c>
      <c r="E4005">
        <v>0</v>
      </c>
    </row>
    <row r="4006" spans="3:5">
      <c r="C4006" t="s">
        <v>17</v>
      </c>
      <c r="D4006" t="s">
        <v>18</v>
      </c>
      <c r="E4006">
        <v>0</v>
      </c>
    </row>
    <row r="4007" spans="3:5">
      <c r="C4007" t="s">
        <v>15</v>
      </c>
      <c r="D4007" t="s">
        <v>16</v>
      </c>
      <c r="E4007">
        <v>0</v>
      </c>
    </row>
    <row r="4008" spans="3:5">
      <c r="C4008" t="s">
        <v>17</v>
      </c>
      <c r="D4008" t="s">
        <v>18</v>
      </c>
      <c r="E4008">
        <v>0</v>
      </c>
    </row>
    <row r="4009" spans="3:5">
      <c r="C4009" t="s">
        <v>15</v>
      </c>
      <c r="D4009" t="s">
        <v>16</v>
      </c>
      <c r="E4009">
        <v>0</v>
      </c>
    </row>
    <row r="4010" spans="3:5">
      <c r="C4010" t="s">
        <v>17</v>
      </c>
      <c r="D4010" t="s">
        <v>18</v>
      </c>
      <c r="E4010">
        <v>0</v>
      </c>
    </row>
    <row r="4011" spans="3:5">
      <c r="C4011" t="s">
        <v>17</v>
      </c>
      <c r="D4011" t="s">
        <v>18</v>
      </c>
      <c r="E4011">
        <v>0</v>
      </c>
    </row>
    <row r="4012" spans="3:5">
      <c r="C4012" t="s">
        <v>17</v>
      </c>
      <c r="D4012" t="s">
        <v>18</v>
      </c>
      <c r="E4012">
        <v>0</v>
      </c>
    </row>
    <row r="4013" spans="3:5">
      <c r="C4013" t="s">
        <v>17</v>
      </c>
      <c r="D4013" t="s">
        <v>18</v>
      </c>
      <c r="E4013">
        <v>0</v>
      </c>
    </row>
    <row r="4014" spans="3:5">
      <c r="C4014" t="s">
        <v>17</v>
      </c>
      <c r="D4014" t="s">
        <v>18</v>
      </c>
      <c r="E4014">
        <v>0</v>
      </c>
    </row>
    <row r="4015" spans="3:5">
      <c r="C4015" t="s">
        <v>15</v>
      </c>
      <c r="D4015" t="s">
        <v>16</v>
      </c>
      <c r="E4015">
        <v>0</v>
      </c>
    </row>
    <row r="4016" spans="3:5">
      <c r="C4016" t="s">
        <v>17</v>
      </c>
      <c r="D4016" t="s">
        <v>18</v>
      </c>
      <c r="E4016">
        <v>0</v>
      </c>
    </row>
    <row r="4017" spans="3:5">
      <c r="C4017" t="s">
        <v>17</v>
      </c>
      <c r="D4017" t="s">
        <v>18</v>
      </c>
      <c r="E4017">
        <v>0</v>
      </c>
    </row>
    <row r="4018" spans="3:5">
      <c r="C4018" t="s">
        <v>15</v>
      </c>
      <c r="D4018" t="s">
        <v>16</v>
      </c>
      <c r="E4018">
        <v>0</v>
      </c>
    </row>
    <row r="4019" spans="3:5">
      <c r="C4019" t="s">
        <v>17</v>
      </c>
      <c r="D4019" t="s">
        <v>18</v>
      </c>
      <c r="E4019">
        <v>0</v>
      </c>
    </row>
    <row r="4020" spans="3:5">
      <c r="C4020" t="s">
        <v>17</v>
      </c>
      <c r="D4020" t="s">
        <v>18</v>
      </c>
      <c r="E4020">
        <v>0</v>
      </c>
    </row>
    <row r="4021" spans="3:5">
      <c r="C4021" t="s">
        <v>17</v>
      </c>
      <c r="D4021" t="s">
        <v>18</v>
      </c>
      <c r="E4021">
        <v>0</v>
      </c>
    </row>
    <row r="4022" spans="3:5">
      <c r="C4022" t="s">
        <v>15</v>
      </c>
      <c r="D4022" t="s">
        <v>16</v>
      </c>
      <c r="E4022">
        <v>0</v>
      </c>
    </row>
    <row r="4023" spans="3:5">
      <c r="C4023" t="s">
        <v>15</v>
      </c>
      <c r="D4023" t="s">
        <v>16</v>
      </c>
      <c r="E4023">
        <v>0</v>
      </c>
    </row>
    <row r="4024" spans="3:5">
      <c r="C4024" t="s">
        <v>15</v>
      </c>
      <c r="D4024" t="s">
        <v>16</v>
      </c>
      <c r="E4024">
        <v>0</v>
      </c>
    </row>
    <row r="4025" spans="3:5">
      <c r="C4025" t="s">
        <v>17</v>
      </c>
      <c r="D4025" t="s">
        <v>18</v>
      </c>
      <c r="E4025">
        <v>0</v>
      </c>
    </row>
    <row r="4026" spans="3:5">
      <c r="C4026" t="s">
        <v>15</v>
      </c>
      <c r="D4026" t="s">
        <v>16</v>
      </c>
      <c r="E4026">
        <v>0</v>
      </c>
    </row>
    <row r="4027" spans="3:5">
      <c r="C4027" t="s">
        <v>17</v>
      </c>
      <c r="D4027" t="s">
        <v>18</v>
      </c>
      <c r="E4027">
        <v>0</v>
      </c>
    </row>
    <row r="4028" spans="3:5">
      <c r="C4028" t="s">
        <v>15</v>
      </c>
      <c r="D4028" t="s">
        <v>16</v>
      </c>
      <c r="E4028">
        <v>0</v>
      </c>
    </row>
    <row r="4029" spans="3:5">
      <c r="C4029" t="s">
        <v>15</v>
      </c>
      <c r="D4029" t="s">
        <v>16</v>
      </c>
      <c r="E4029">
        <v>0</v>
      </c>
    </row>
    <row r="4030" spans="3:5">
      <c r="C4030" t="s">
        <v>15</v>
      </c>
      <c r="D4030" t="s">
        <v>16</v>
      </c>
      <c r="E4030">
        <v>0</v>
      </c>
    </row>
    <row r="4031" spans="3:5">
      <c r="C4031" t="s">
        <v>15</v>
      </c>
      <c r="D4031" t="s">
        <v>16</v>
      </c>
      <c r="E4031">
        <v>0</v>
      </c>
    </row>
    <row r="4032" spans="3:5">
      <c r="C4032" t="s">
        <v>17</v>
      </c>
      <c r="D4032" t="s">
        <v>18</v>
      </c>
      <c r="E4032">
        <v>0</v>
      </c>
    </row>
    <row r="4033" spans="3:5">
      <c r="C4033" t="s">
        <v>17</v>
      </c>
      <c r="D4033" t="s">
        <v>18</v>
      </c>
      <c r="E4033">
        <v>0</v>
      </c>
    </row>
    <row r="4034" spans="3:5">
      <c r="C4034" t="s">
        <v>15</v>
      </c>
      <c r="D4034" t="s">
        <v>16</v>
      </c>
      <c r="E4034">
        <v>0</v>
      </c>
    </row>
    <row r="4035" spans="3:5">
      <c r="C4035" t="s">
        <v>17</v>
      </c>
      <c r="D4035" t="s">
        <v>18</v>
      </c>
      <c r="E4035">
        <v>0</v>
      </c>
    </row>
    <row r="4036" spans="3:5">
      <c r="C4036" t="s">
        <v>15</v>
      </c>
      <c r="D4036" t="s">
        <v>16</v>
      </c>
      <c r="E4036">
        <v>0</v>
      </c>
    </row>
    <row r="4037" spans="3:5">
      <c r="C4037" t="s">
        <v>17</v>
      </c>
      <c r="D4037" t="s">
        <v>18</v>
      </c>
      <c r="E4037">
        <v>0</v>
      </c>
    </row>
    <row r="4038" spans="3:5">
      <c r="C4038" t="s">
        <v>15</v>
      </c>
      <c r="D4038" t="s">
        <v>16</v>
      </c>
      <c r="E4038">
        <v>0</v>
      </c>
    </row>
    <row r="4039" spans="3:5">
      <c r="C4039" t="s">
        <v>15</v>
      </c>
      <c r="D4039" t="s">
        <v>16</v>
      </c>
      <c r="E4039">
        <v>0</v>
      </c>
    </row>
    <row r="4040" spans="3:5">
      <c r="C4040" t="s">
        <v>15</v>
      </c>
      <c r="D4040" t="s">
        <v>16</v>
      </c>
      <c r="E4040">
        <v>0</v>
      </c>
    </row>
    <row r="4041" spans="3:5">
      <c r="C4041" t="s">
        <v>15</v>
      </c>
      <c r="D4041" t="s">
        <v>16</v>
      </c>
      <c r="E4041">
        <v>0</v>
      </c>
    </row>
    <row r="4042" spans="3:5">
      <c r="C4042" t="s">
        <v>15</v>
      </c>
      <c r="D4042" t="s">
        <v>16</v>
      </c>
      <c r="E4042">
        <v>0</v>
      </c>
    </row>
    <row r="4043" spans="3:5">
      <c r="C4043" t="s">
        <v>15</v>
      </c>
      <c r="D4043" t="s">
        <v>16</v>
      </c>
      <c r="E4043">
        <v>0</v>
      </c>
    </row>
    <row r="4044" spans="3:5">
      <c r="C4044" t="s">
        <v>15</v>
      </c>
      <c r="D4044" t="s">
        <v>16</v>
      </c>
      <c r="E4044">
        <v>0</v>
      </c>
    </row>
    <row r="4045" spans="3:5">
      <c r="C4045" t="s">
        <v>17</v>
      </c>
      <c r="D4045" t="s">
        <v>18</v>
      </c>
      <c r="E4045">
        <v>0</v>
      </c>
    </row>
    <row r="4046" spans="3:5">
      <c r="C4046" t="s">
        <v>15</v>
      </c>
      <c r="D4046" t="s">
        <v>16</v>
      </c>
      <c r="E4046">
        <v>0</v>
      </c>
    </row>
    <row r="4047" spans="3:5">
      <c r="C4047" t="s">
        <v>15</v>
      </c>
      <c r="D4047" t="s">
        <v>16</v>
      </c>
      <c r="E4047">
        <v>0</v>
      </c>
    </row>
    <row r="4048" spans="3:5">
      <c r="C4048" t="s">
        <v>15</v>
      </c>
      <c r="D4048" t="s">
        <v>16</v>
      </c>
      <c r="E4048">
        <v>0</v>
      </c>
    </row>
    <row r="4049" spans="3:5">
      <c r="C4049" t="s">
        <v>15</v>
      </c>
      <c r="D4049" t="s">
        <v>16</v>
      </c>
      <c r="E4049">
        <v>1</v>
      </c>
    </row>
    <row r="4050" spans="3:5">
      <c r="C4050" t="s">
        <v>15</v>
      </c>
      <c r="D4050" t="s">
        <v>16</v>
      </c>
      <c r="E4050">
        <v>0</v>
      </c>
    </row>
    <row r="4051" spans="3:5">
      <c r="C4051" t="s">
        <v>15</v>
      </c>
      <c r="D4051" t="s">
        <v>16</v>
      </c>
      <c r="E4051">
        <v>0</v>
      </c>
    </row>
    <row r="4052" spans="3:5">
      <c r="C4052" t="s">
        <v>15</v>
      </c>
      <c r="D4052" t="s">
        <v>16</v>
      </c>
      <c r="E4052">
        <v>0</v>
      </c>
    </row>
    <row r="4053" spans="3:5">
      <c r="C4053" t="s">
        <v>15</v>
      </c>
      <c r="D4053" t="s">
        <v>16</v>
      </c>
      <c r="E4053">
        <v>0</v>
      </c>
    </row>
    <row r="4054" spans="3:5">
      <c r="C4054" t="s">
        <v>17</v>
      </c>
      <c r="D4054" t="s">
        <v>18</v>
      </c>
      <c r="E4054">
        <v>0</v>
      </c>
    </row>
    <row r="4055" spans="3:5">
      <c r="C4055" t="s">
        <v>15</v>
      </c>
      <c r="D4055" t="s">
        <v>16</v>
      </c>
      <c r="E4055">
        <v>0</v>
      </c>
    </row>
    <row r="4056" spans="3:5">
      <c r="C4056" t="s">
        <v>15</v>
      </c>
      <c r="D4056" t="s">
        <v>16</v>
      </c>
      <c r="E4056">
        <v>0</v>
      </c>
    </row>
    <row r="4057" spans="3:5">
      <c r="C4057" t="s">
        <v>15</v>
      </c>
      <c r="D4057" t="s">
        <v>16</v>
      </c>
      <c r="E4057">
        <v>0</v>
      </c>
    </row>
    <row r="4058" spans="3:5">
      <c r="C4058" t="s">
        <v>17</v>
      </c>
      <c r="D4058" t="s">
        <v>18</v>
      </c>
      <c r="E4058">
        <v>0</v>
      </c>
    </row>
    <row r="4059" spans="3:5">
      <c r="C4059" t="s">
        <v>17</v>
      </c>
      <c r="D4059" t="s">
        <v>18</v>
      </c>
      <c r="E4059">
        <v>0</v>
      </c>
    </row>
    <row r="4060" spans="3:5">
      <c r="C4060" t="s">
        <v>15</v>
      </c>
      <c r="D4060" t="s">
        <v>16</v>
      </c>
      <c r="E4060">
        <v>0</v>
      </c>
    </row>
    <row r="4061" spans="3:5">
      <c r="C4061" t="s">
        <v>17</v>
      </c>
      <c r="D4061" t="s">
        <v>18</v>
      </c>
      <c r="E4061">
        <v>0</v>
      </c>
    </row>
    <row r="4062" spans="3:5">
      <c r="C4062" t="s">
        <v>15</v>
      </c>
      <c r="D4062" t="s">
        <v>16</v>
      </c>
      <c r="E4062">
        <v>0</v>
      </c>
    </row>
    <row r="4063" spans="3:5">
      <c r="C4063" t="s">
        <v>17</v>
      </c>
      <c r="D4063" t="s">
        <v>18</v>
      </c>
      <c r="E4063">
        <v>0</v>
      </c>
    </row>
    <row r="4064" spans="3:5">
      <c r="C4064" t="s">
        <v>17</v>
      </c>
      <c r="D4064" t="s">
        <v>18</v>
      </c>
      <c r="E4064">
        <v>0</v>
      </c>
    </row>
    <row r="4065" spans="3:5">
      <c r="C4065" t="s">
        <v>17</v>
      </c>
      <c r="D4065" t="s">
        <v>18</v>
      </c>
      <c r="E4065">
        <v>0</v>
      </c>
    </row>
    <row r="4066" spans="3:5">
      <c r="C4066" t="s">
        <v>15</v>
      </c>
      <c r="D4066" t="s">
        <v>16</v>
      </c>
      <c r="E4066">
        <v>0</v>
      </c>
    </row>
    <row r="4067" spans="3:5">
      <c r="C4067" t="s">
        <v>15</v>
      </c>
      <c r="D4067" t="s">
        <v>16</v>
      </c>
      <c r="E4067">
        <v>0</v>
      </c>
    </row>
    <row r="4068" spans="3:5">
      <c r="C4068" t="s">
        <v>17</v>
      </c>
      <c r="D4068" t="s">
        <v>18</v>
      </c>
      <c r="E4068">
        <v>0</v>
      </c>
    </row>
    <row r="4069" spans="3:5">
      <c r="C4069" t="s">
        <v>15</v>
      </c>
      <c r="D4069" t="s">
        <v>16</v>
      </c>
      <c r="E4069">
        <v>0</v>
      </c>
    </row>
    <row r="4070" spans="3:5">
      <c r="C4070" t="s">
        <v>17</v>
      </c>
      <c r="D4070" t="s">
        <v>18</v>
      </c>
      <c r="E4070">
        <v>0</v>
      </c>
    </row>
    <row r="4071" spans="3:5">
      <c r="C4071" t="s">
        <v>17</v>
      </c>
      <c r="D4071" t="s">
        <v>18</v>
      </c>
      <c r="E4071">
        <v>0</v>
      </c>
    </row>
    <row r="4072" spans="3:5">
      <c r="C4072" t="s">
        <v>17</v>
      </c>
      <c r="D4072" t="s">
        <v>18</v>
      </c>
      <c r="E4072">
        <v>0</v>
      </c>
    </row>
    <row r="4073" spans="3:5">
      <c r="C4073" t="s">
        <v>15</v>
      </c>
      <c r="D4073" t="s">
        <v>16</v>
      </c>
      <c r="E4073">
        <v>0</v>
      </c>
    </row>
    <row r="4074" spans="3:5">
      <c r="C4074" t="s">
        <v>17</v>
      </c>
      <c r="D4074" t="s">
        <v>18</v>
      </c>
      <c r="E4074">
        <v>0</v>
      </c>
    </row>
    <row r="4075" spans="3:5">
      <c r="C4075" t="s">
        <v>17</v>
      </c>
      <c r="D4075" t="s">
        <v>18</v>
      </c>
      <c r="E4075">
        <v>0</v>
      </c>
    </row>
    <row r="4076" spans="3:5">
      <c r="C4076" t="s">
        <v>17</v>
      </c>
      <c r="D4076" t="s">
        <v>18</v>
      </c>
      <c r="E4076">
        <v>0</v>
      </c>
    </row>
    <row r="4077" spans="3:5">
      <c r="C4077" t="s">
        <v>17</v>
      </c>
      <c r="D4077" t="s">
        <v>18</v>
      </c>
      <c r="E4077">
        <v>0</v>
      </c>
    </row>
    <row r="4078" spans="3:5">
      <c r="C4078" t="s">
        <v>15</v>
      </c>
      <c r="D4078" t="s">
        <v>16</v>
      </c>
      <c r="E4078">
        <v>0</v>
      </c>
    </row>
    <row r="4079" spans="3:5">
      <c r="C4079" t="s">
        <v>15</v>
      </c>
      <c r="D4079" t="s">
        <v>16</v>
      </c>
      <c r="E4079">
        <v>0</v>
      </c>
    </row>
    <row r="4080" spans="3:5">
      <c r="C4080" t="s">
        <v>17</v>
      </c>
      <c r="D4080" t="s">
        <v>18</v>
      </c>
      <c r="E4080">
        <v>0</v>
      </c>
    </row>
    <row r="4081" spans="3:5">
      <c r="C4081" t="s">
        <v>17</v>
      </c>
      <c r="D4081" t="s">
        <v>18</v>
      </c>
      <c r="E4081">
        <v>0</v>
      </c>
    </row>
    <row r="4082" spans="3:5">
      <c r="C4082" t="s">
        <v>15</v>
      </c>
      <c r="D4082" t="s">
        <v>16</v>
      </c>
      <c r="E4082">
        <v>0</v>
      </c>
    </row>
    <row r="4083" spans="3:5">
      <c r="C4083" t="s">
        <v>17</v>
      </c>
      <c r="D4083" t="s">
        <v>18</v>
      </c>
      <c r="E4083">
        <v>0</v>
      </c>
    </row>
    <row r="4084" spans="3:5">
      <c r="C4084" t="s">
        <v>15</v>
      </c>
      <c r="D4084" t="s">
        <v>16</v>
      </c>
      <c r="E4084">
        <v>0</v>
      </c>
    </row>
    <row r="4085" spans="3:5">
      <c r="C4085" t="s">
        <v>17</v>
      </c>
      <c r="D4085" t="s">
        <v>18</v>
      </c>
      <c r="E4085">
        <v>0</v>
      </c>
    </row>
    <row r="4086" spans="3:5">
      <c r="C4086" t="s">
        <v>17</v>
      </c>
      <c r="D4086" t="s">
        <v>18</v>
      </c>
      <c r="E4086">
        <v>0</v>
      </c>
    </row>
    <row r="4087" spans="3:5">
      <c r="C4087" t="s">
        <v>15</v>
      </c>
      <c r="D4087" t="s">
        <v>16</v>
      </c>
      <c r="E4087">
        <v>0</v>
      </c>
    </row>
    <row r="4088" spans="3:5">
      <c r="C4088" t="s">
        <v>15</v>
      </c>
      <c r="D4088" t="s">
        <v>16</v>
      </c>
      <c r="E4088">
        <v>0</v>
      </c>
    </row>
    <row r="4089" spans="3:5">
      <c r="C4089" t="s">
        <v>15</v>
      </c>
      <c r="D4089" t="s">
        <v>16</v>
      </c>
      <c r="E4089">
        <v>0</v>
      </c>
    </row>
    <row r="4090" spans="3:5">
      <c r="C4090" t="s">
        <v>15</v>
      </c>
      <c r="D4090" t="s">
        <v>16</v>
      </c>
      <c r="E4090">
        <v>0</v>
      </c>
    </row>
    <row r="4091" spans="3:5">
      <c r="C4091" t="s">
        <v>17</v>
      </c>
      <c r="D4091" t="s">
        <v>18</v>
      </c>
      <c r="E4091">
        <v>0</v>
      </c>
    </row>
    <row r="4092" spans="3:5">
      <c r="C4092" t="s">
        <v>15</v>
      </c>
      <c r="D4092" t="s">
        <v>16</v>
      </c>
      <c r="E4092">
        <v>0</v>
      </c>
    </row>
    <row r="4093" spans="3:5">
      <c r="C4093" t="s">
        <v>15</v>
      </c>
      <c r="D4093" t="s">
        <v>16</v>
      </c>
      <c r="E4093">
        <v>0</v>
      </c>
    </row>
    <row r="4094" spans="3:5">
      <c r="C4094" t="s">
        <v>15</v>
      </c>
      <c r="D4094" t="s">
        <v>16</v>
      </c>
      <c r="E4094">
        <v>0</v>
      </c>
    </row>
    <row r="4095" spans="3:5">
      <c r="C4095" t="s">
        <v>15</v>
      </c>
      <c r="D4095" t="s">
        <v>16</v>
      </c>
      <c r="E4095">
        <v>0</v>
      </c>
    </row>
    <row r="4096" spans="3:5">
      <c r="C4096" t="s">
        <v>17</v>
      </c>
      <c r="D4096" t="s">
        <v>18</v>
      </c>
      <c r="E4096">
        <v>0</v>
      </c>
    </row>
    <row r="4097" spans="3:5">
      <c r="C4097" t="s">
        <v>17</v>
      </c>
      <c r="D4097" t="s">
        <v>18</v>
      </c>
      <c r="E4097">
        <v>0</v>
      </c>
    </row>
    <row r="4098" spans="3:5">
      <c r="C4098" t="s">
        <v>17</v>
      </c>
      <c r="D4098" t="s">
        <v>18</v>
      </c>
      <c r="E4098">
        <v>0</v>
      </c>
    </row>
    <row r="4099" spans="3:5">
      <c r="C4099" t="s">
        <v>15</v>
      </c>
      <c r="D4099" t="s">
        <v>16</v>
      </c>
      <c r="E4099">
        <v>0</v>
      </c>
    </row>
    <row r="4100" spans="3:5">
      <c r="C4100" t="s">
        <v>15</v>
      </c>
      <c r="D4100" t="s">
        <v>16</v>
      </c>
      <c r="E4100">
        <v>0</v>
      </c>
    </row>
    <row r="4101" spans="3:5">
      <c r="C4101" t="s">
        <v>17</v>
      </c>
      <c r="D4101" t="s">
        <v>18</v>
      </c>
      <c r="E4101">
        <v>0</v>
      </c>
    </row>
    <row r="4102" spans="3:5">
      <c r="C4102" t="s">
        <v>17</v>
      </c>
      <c r="D4102" t="s">
        <v>18</v>
      </c>
      <c r="E4102">
        <v>0</v>
      </c>
    </row>
    <row r="4103" spans="3:5">
      <c r="C4103" t="s">
        <v>17</v>
      </c>
      <c r="D4103" t="s">
        <v>18</v>
      </c>
      <c r="E4103">
        <v>0</v>
      </c>
    </row>
    <row r="4104" spans="3:5">
      <c r="C4104" t="s">
        <v>17</v>
      </c>
      <c r="D4104" t="s">
        <v>18</v>
      </c>
      <c r="E4104">
        <v>1</v>
      </c>
    </row>
    <row r="4105" spans="3:5">
      <c r="C4105" t="s">
        <v>15</v>
      </c>
      <c r="D4105" t="s">
        <v>16</v>
      </c>
      <c r="E4105">
        <v>0</v>
      </c>
    </row>
    <row r="4106" spans="3:5">
      <c r="C4106" t="s">
        <v>17</v>
      </c>
      <c r="D4106" t="s">
        <v>18</v>
      </c>
      <c r="E4106">
        <v>0</v>
      </c>
    </row>
    <row r="4107" spans="3:5">
      <c r="C4107" t="s">
        <v>17</v>
      </c>
      <c r="D4107" t="s">
        <v>18</v>
      </c>
      <c r="E4107">
        <v>0</v>
      </c>
    </row>
    <row r="4108" spans="3:5">
      <c r="C4108" t="s">
        <v>15</v>
      </c>
      <c r="D4108" t="s">
        <v>16</v>
      </c>
      <c r="E4108">
        <v>0</v>
      </c>
    </row>
    <row r="4109" spans="3:5">
      <c r="C4109" t="s">
        <v>17</v>
      </c>
      <c r="D4109" t="s">
        <v>18</v>
      </c>
      <c r="E4109">
        <v>0</v>
      </c>
    </row>
    <row r="4110" spans="3:5">
      <c r="C4110" t="s">
        <v>15</v>
      </c>
      <c r="D4110" t="s">
        <v>16</v>
      </c>
      <c r="E4110">
        <v>0</v>
      </c>
    </row>
    <row r="4111" spans="3:5">
      <c r="C4111" t="s">
        <v>15</v>
      </c>
      <c r="D4111" t="s">
        <v>16</v>
      </c>
      <c r="E4111">
        <v>0</v>
      </c>
    </row>
    <row r="4112" spans="3:5">
      <c r="C4112" t="s">
        <v>17</v>
      </c>
      <c r="D4112" t="s">
        <v>18</v>
      </c>
      <c r="E4112">
        <v>0</v>
      </c>
    </row>
    <row r="4113" spans="3:5">
      <c r="C4113" t="s">
        <v>17</v>
      </c>
      <c r="D4113" t="s">
        <v>18</v>
      </c>
      <c r="E4113">
        <v>0</v>
      </c>
    </row>
    <row r="4114" spans="3:5">
      <c r="C4114" t="s">
        <v>17</v>
      </c>
      <c r="D4114" t="s">
        <v>18</v>
      </c>
      <c r="E4114">
        <v>0</v>
      </c>
    </row>
    <row r="4115" spans="3:5">
      <c r="C4115" t="s">
        <v>17</v>
      </c>
      <c r="D4115" t="s">
        <v>18</v>
      </c>
      <c r="E4115">
        <v>0</v>
      </c>
    </row>
    <row r="4116" spans="3:5">
      <c r="C4116" t="s">
        <v>15</v>
      </c>
      <c r="D4116" t="s">
        <v>16</v>
      </c>
      <c r="E4116">
        <v>0</v>
      </c>
    </row>
    <row r="4117" spans="3:5">
      <c r="C4117" t="s">
        <v>15</v>
      </c>
      <c r="D4117" t="s">
        <v>16</v>
      </c>
      <c r="E4117">
        <v>0</v>
      </c>
    </row>
    <row r="4118" spans="3:5">
      <c r="C4118" t="s">
        <v>17</v>
      </c>
      <c r="D4118" t="s">
        <v>18</v>
      </c>
      <c r="E4118">
        <v>0</v>
      </c>
    </row>
    <row r="4119" spans="3:5">
      <c r="C4119" t="s">
        <v>15</v>
      </c>
      <c r="D4119" t="s">
        <v>16</v>
      </c>
      <c r="E4119">
        <v>0</v>
      </c>
    </row>
    <row r="4120" spans="3:5">
      <c r="C4120" t="s">
        <v>17</v>
      </c>
      <c r="D4120" t="s">
        <v>18</v>
      </c>
      <c r="E4120">
        <v>0</v>
      </c>
    </row>
    <row r="4121" spans="3:5">
      <c r="C4121" t="s">
        <v>17</v>
      </c>
      <c r="D4121" t="s">
        <v>18</v>
      </c>
      <c r="E4121">
        <v>0</v>
      </c>
    </row>
    <row r="4122" spans="3:5">
      <c r="C4122" t="s">
        <v>17</v>
      </c>
      <c r="D4122" t="s">
        <v>18</v>
      </c>
      <c r="E4122">
        <v>0</v>
      </c>
    </row>
    <row r="4123" spans="3:5">
      <c r="C4123" t="s">
        <v>17</v>
      </c>
      <c r="D4123" t="s">
        <v>18</v>
      </c>
      <c r="E4123">
        <v>0</v>
      </c>
    </row>
    <row r="4124" spans="3:5">
      <c r="C4124" t="s">
        <v>15</v>
      </c>
      <c r="D4124" t="s">
        <v>16</v>
      </c>
      <c r="E4124">
        <v>0</v>
      </c>
    </row>
    <row r="4125" spans="3:5">
      <c r="C4125" t="s">
        <v>15</v>
      </c>
      <c r="D4125" t="s">
        <v>16</v>
      </c>
      <c r="E4125">
        <v>0</v>
      </c>
    </row>
    <row r="4126" spans="3:5">
      <c r="C4126" t="s">
        <v>15</v>
      </c>
      <c r="D4126" t="s">
        <v>16</v>
      </c>
      <c r="E4126">
        <v>0</v>
      </c>
    </row>
    <row r="4127" spans="3:5">
      <c r="C4127" t="s">
        <v>17</v>
      </c>
      <c r="D4127" t="s">
        <v>18</v>
      </c>
      <c r="E4127">
        <v>0</v>
      </c>
    </row>
    <row r="4128" spans="3:5">
      <c r="C4128" t="s">
        <v>15</v>
      </c>
      <c r="D4128" t="s">
        <v>16</v>
      </c>
      <c r="E4128">
        <v>0</v>
      </c>
    </row>
    <row r="4129" spans="3:5">
      <c r="C4129" t="s">
        <v>15</v>
      </c>
      <c r="D4129" t="s">
        <v>16</v>
      </c>
      <c r="E4129">
        <v>0</v>
      </c>
    </row>
    <row r="4130" spans="3:5">
      <c r="C4130" t="s">
        <v>17</v>
      </c>
      <c r="D4130" t="s">
        <v>18</v>
      </c>
      <c r="E4130">
        <v>0</v>
      </c>
    </row>
    <row r="4131" spans="3:5">
      <c r="C4131" t="s">
        <v>15</v>
      </c>
      <c r="D4131" t="s">
        <v>16</v>
      </c>
      <c r="E4131">
        <v>0</v>
      </c>
    </row>
    <row r="4132" spans="3:5">
      <c r="C4132" t="s">
        <v>17</v>
      </c>
      <c r="D4132" t="s">
        <v>18</v>
      </c>
      <c r="E4132">
        <v>0</v>
      </c>
    </row>
    <row r="4133" spans="3:5">
      <c r="C4133" t="s">
        <v>15</v>
      </c>
      <c r="D4133" t="s">
        <v>16</v>
      </c>
      <c r="E4133">
        <v>0</v>
      </c>
    </row>
    <row r="4134" spans="3:5">
      <c r="C4134" t="s">
        <v>17</v>
      </c>
      <c r="D4134" t="s">
        <v>18</v>
      </c>
      <c r="E4134">
        <v>0</v>
      </c>
    </row>
    <row r="4135" spans="3:5">
      <c r="C4135" t="s">
        <v>15</v>
      </c>
      <c r="D4135" t="s">
        <v>16</v>
      </c>
      <c r="E4135">
        <v>0</v>
      </c>
    </row>
    <row r="4136" spans="3:5">
      <c r="C4136" t="s">
        <v>17</v>
      </c>
      <c r="D4136" t="s">
        <v>18</v>
      </c>
      <c r="E4136">
        <v>1</v>
      </c>
    </row>
    <row r="4137" spans="3:5">
      <c r="C4137" t="s">
        <v>15</v>
      </c>
      <c r="D4137" t="s">
        <v>16</v>
      </c>
      <c r="E4137">
        <v>0</v>
      </c>
    </row>
    <row r="4138" spans="3:5">
      <c r="C4138" t="s">
        <v>17</v>
      </c>
      <c r="D4138" t="s">
        <v>18</v>
      </c>
      <c r="E4138">
        <v>0</v>
      </c>
    </row>
    <row r="4139" spans="3:5">
      <c r="C4139" t="s">
        <v>15</v>
      </c>
      <c r="D4139" t="s">
        <v>16</v>
      </c>
      <c r="E4139">
        <v>0</v>
      </c>
    </row>
    <row r="4140" spans="3:5">
      <c r="C4140" t="s">
        <v>15</v>
      </c>
      <c r="D4140" t="s">
        <v>16</v>
      </c>
      <c r="E4140">
        <v>0</v>
      </c>
    </row>
    <row r="4141" spans="3:5">
      <c r="C4141" t="s">
        <v>17</v>
      </c>
      <c r="D4141" t="s">
        <v>18</v>
      </c>
      <c r="E4141">
        <v>0</v>
      </c>
    </row>
    <row r="4142" spans="3:5">
      <c r="C4142" t="s">
        <v>15</v>
      </c>
      <c r="D4142" t="s">
        <v>16</v>
      </c>
      <c r="E4142">
        <v>0</v>
      </c>
    </row>
    <row r="4143" spans="3:5">
      <c r="C4143" t="s">
        <v>17</v>
      </c>
      <c r="D4143" t="s">
        <v>18</v>
      </c>
      <c r="E4143">
        <v>0</v>
      </c>
    </row>
    <row r="4144" spans="3:5">
      <c r="C4144" t="s">
        <v>15</v>
      </c>
      <c r="D4144" t="s">
        <v>16</v>
      </c>
      <c r="E4144">
        <v>0</v>
      </c>
    </row>
    <row r="4145" spans="3:5">
      <c r="C4145" t="s">
        <v>15</v>
      </c>
      <c r="D4145" t="s">
        <v>16</v>
      </c>
      <c r="E4145">
        <v>0</v>
      </c>
    </row>
    <row r="4146" spans="3:5">
      <c r="C4146" t="s">
        <v>15</v>
      </c>
      <c r="D4146" t="s">
        <v>16</v>
      </c>
      <c r="E4146">
        <v>0</v>
      </c>
    </row>
    <row r="4147" spans="3:5">
      <c r="C4147" t="s">
        <v>15</v>
      </c>
      <c r="D4147" t="s">
        <v>16</v>
      </c>
      <c r="E4147">
        <v>0</v>
      </c>
    </row>
    <row r="4148" spans="3:5">
      <c r="C4148" t="s">
        <v>15</v>
      </c>
      <c r="D4148" t="s">
        <v>16</v>
      </c>
      <c r="E4148">
        <v>0</v>
      </c>
    </row>
    <row r="4149" spans="3:5">
      <c r="C4149" t="s">
        <v>17</v>
      </c>
      <c r="D4149" t="s">
        <v>18</v>
      </c>
      <c r="E4149">
        <v>0</v>
      </c>
    </row>
    <row r="4150" spans="3:5">
      <c r="C4150" t="s">
        <v>17</v>
      </c>
      <c r="D4150" t="s">
        <v>18</v>
      </c>
      <c r="E4150">
        <v>0</v>
      </c>
    </row>
    <row r="4151" spans="3:5">
      <c r="C4151" t="s">
        <v>15</v>
      </c>
      <c r="D4151" t="s">
        <v>16</v>
      </c>
      <c r="E4151">
        <v>0</v>
      </c>
    </row>
    <row r="4152" spans="3:5">
      <c r="C4152" t="s">
        <v>17</v>
      </c>
      <c r="D4152" t="s">
        <v>18</v>
      </c>
      <c r="E4152">
        <v>0</v>
      </c>
    </row>
    <row r="4153" spans="3:5">
      <c r="C4153" t="s">
        <v>15</v>
      </c>
      <c r="D4153" t="s">
        <v>16</v>
      </c>
      <c r="E4153">
        <v>0</v>
      </c>
    </row>
    <row r="4154" spans="3:5">
      <c r="C4154" t="s">
        <v>17</v>
      </c>
      <c r="D4154" t="s">
        <v>18</v>
      </c>
      <c r="E4154">
        <v>0</v>
      </c>
    </row>
    <row r="4155" spans="3:5">
      <c r="C4155" t="s">
        <v>15</v>
      </c>
      <c r="D4155" t="s">
        <v>16</v>
      </c>
      <c r="E4155">
        <v>0</v>
      </c>
    </row>
    <row r="4156" spans="3:5">
      <c r="C4156" t="s">
        <v>15</v>
      </c>
      <c r="D4156" t="s">
        <v>16</v>
      </c>
      <c r="E4156">
        <v>1</v>
      </c>
    </row>
    <row r="4157" spans="3:5">
      <c r="C4157" t="s">
        <v>17</v>
      </c>
      <c r="D4157" t="s">
        <v>18</v>
      </c>
      <c r="E4157">
        <v>0</v>
      </c>
    </row>
    <row r="4158" spans="3:5">
      <c r="C4158" t="s">
        <v>17</v>
      </c>
      <c r="D4158" t="s">
        <v>18</v>
      </c>
      <c r="E4158">
        <v>0</v>
      </c>
    </row>
    <row r="4159" spans="3:5">
      <c r="C4159" t="s">
        <v>15</v>
      </c>
      <c r="D4159" t="s">
        <v>16</v>
      </c>
      <c r="E4159">
        <v>0</v>
      </c>
    </row>
    <row r="4160" spans="3:5">
      <c r="C4160" t="s">
        <v>17</v>
      </c>
      <c r="D4160" t="s">
        <v>18</v>
      </c>
      <c r="E4160">
        <v>0</v>
      </c>
    </row>
    <row r="4161" spans="3:5">
      <c r="C4161" t="s">
        <v>15</v>
      </c>
      <c r="D4161" t="s">
        <v>16</v>
      </c>
      <c r="E4161">
        <v>0</v>
      </c>
    </row>
    <row r="4162" spans="3:5">
      <c r="C4162" t="s">
        <v>15</v>
      </c>
      <c r="D4162" t="s">
        <v>16</v>
      </c>
      <c r="E4162">
        <v>0</v>
      </c>
    </row>
    <row r="4163" spans="3:5">
      <c r="C4163" t="s">
        <v>15</v>
      </c>
      <c r="D4163" t="s">
        <v>16</v>
      </c>
      <c r="E4163">
        <v>0</v>
      </c>
    </row>
    <row r="4164" spans="3:5">
      <c r="C4164" t="s">
        <v>17</v>
      </c>
      <c r="D4164" t="s">
        <v>18</v>
      </c>
      <c r="E4164">
        <v>0</v>
      </c>
    </row>
    <row r="4165" spans="3:5">
      <c r="C4165" t="s">
        <v>17</v>
      </c>
      <c r="D4165" t="s">
        <v>18</v>
      </c>
      <c r="E4165">
        <v>0</v>
      </c>
    </row>
    <row r="4166" spans="3:5">
      <c r="C4166" t="s">
        <v>17</v>
      </c>
      <c r="D4166" t="s">
        <v>18</v>
      </c>
      <c r="E4166">
        <v>0</v>
      </c>
    </row>
    <row r="4167" spans="3:5">
      <c r="C4167" t="s">
        <v>17</v>
      </c>
      <c r="D4167" t="s">
        <v>18</v>
      </c>
      <c r="E4167">
        <v>0</v>
      </c>
    </row>
    <row r="4168" spans="3:5">
      <c r="C4168" t="s">
        <v>15</v>
      </c>
      <c r="D4168" t="s">
        <v>16</v>
      </c>
      <c r="E4168">
        <v>0</v>
      </c>
    </row>
    <row r="4169" spans="3:5">
      <c r="C4169" t="s">
        <v>15</v>
      </c>
      <c r="D4169" t="s">
        <v>16</v>
      </c>
      <c r="E4169">
        <v>0</v>
      </c>
    </row>
    <row r="4170" spans="3:5">
      <c r="C4170" t="s">
        <v>17</v>
      </c>
      <c r="D4170" t="s">
        <v>18</v>
      </c>
      <c r="E4170">
        <v>0</v>
      </c>
    </row>
    <row r="4171" spans="3:5">
      <c r="C4171" t="s">
        <v>17</v>
      </c>
      <c r="D4171" t="s">
        <v>18</v>
      </c>
      <c r="E4171">
        <v>0</v>
      </c>
    </row>
    <row r="4172" spans="3:5">
      <c r="C4172" t="s">
        <v>17</v>
      </c>
      <c r="D4172" t="s">
        <v>18</v>
      </c>
      <c r="E4172">
        <v>0</v>
      </c>
    </row>
    <row r="4173" spans="3:5">
      <c r="C4173" t="s">
        <v>17</v>
      </c>
      <c r="D4173" t="s">
        <v>18</v>
      </c>
      <c r="E4173">
        <v>0</v>
      </c>
    </row>
    <row r="4174" spans="3:5">
      <c r="C4174" t="s">
        <v>17</v>
      </c>
      <c r="D4174" t="s">
        <v>18</v>
      </c>
      <c r="E4174">
        <v>0</v>
      </c>
    </row>
    <row r="4175" spans="3:5">
      <c r="C4175" t="s">
        <v>17</v>
      </c>
      <c r="D4175" t="s">
        <v>18</v>
      </c>
      <c r="E4175">
        <v>0</v>
      </c>
    </row>
    <row r="4176" spans="3:5">
      <c r="C4176" t="s">
        <v>17</v>
      </c>
      <c r="D4176" t="s">
        <v>18</v>
      </c>
      <c r="E4176">
        <v>0</v>
      </c>
    </row>
    <row r="4177" spans="3:5">
      <c r="C4177" t="s">
        <v>17</v>
      </c>
      <c r="D4177" t="s">
        <v>18</v>
      </c>
      <c r="E4177">
        <v>0</v>
      </c>
    </row>
    <row r="4178" spans="3:5">
      <c r="C4178" t="s">
        <v>17</v>
      </c>
      <c r="D4178" t="s">
        <v>18</v>
      </c>
      <c r="E4178">
        <v>0</v>
      </c>
    </row>
    <row r="4179" spans="3:5">
      <c r="C4179" t="s">
        <v>17</v>
      </c>
      <c r="D4179" t="s">
        <v>18</v>
      </c>
      <c r="E4179">
        <v>0</v>
      </c>
    </row>
    <row r="4180" spans="3:5">
      <c r="C4180" t="s">
        <v>15</v>
      </c>
      <c r="D4180" t="s">
        <v>16</v>
      </c>
      <c r="E4180">
        <v>0</v>
      </c>
    </row>
    <row r="4181" spans="3:5">
      <c r="C4181" t="s">
        <v>17</v>
      </c>
      <c r="D4181" t="s">
        <v>18</v>
      </c>
      <c r="E4181">
        <v>0</v>
      </c>
    </row>
    <row r="4182" spans="3:5">
      <c r="C4182" t="s">
        <v>17</v>
      </c>
      <c r="D4182" t="s">
        <v>18</v>
      </c>
      <c r="E4182">
        <v>0</v>
      </c>
    </row>
    <row r="4183" spans="3:5">
      <c r="C4183" t="s">
        <v>15</v>
      </c>
      <c r="D4183" t="s">
        <v>16</v>
      </c>
      <c r="E4183">
        <v>0</v>
      </c>
    </row>
    <row r="4184" spans="3:5">
      <c r="C4184" t="s">
        <v>17</v>
      </c>
      <c r="D4184" t="s">
        <v>18</v>
      </c>
      <c r="E4184">
        <v>0</v>
      </c>
    </row>
    <row r="4185" spans="3:5">
      <c r="C4185" t="s">
        <v>15</v>
      </c>
      <c r="D4185" t="s">
        <v>16</v>
      </c>
      <c r="E4185">
        <v>0</v>
      </c>
    </row>
    <row r="4186" spans="3:5">
      <c r="C4186" t="s">
        <v>17</v>
      </c>
      <c r="D4186" t="s">
        <v>18</v>
      </c>
      <c r="E4186">
        <v>0</v>
      </c>
    </row>
    <row r="4187" spans="3:5">
      <c r="C4187" t="s">
        <v>15</v>
      </c>
      <c r="D4187" t="s">
        <v>16</v>
      </c>
      <c r="E4187">
        <v>0</v>
      </c>
    </row>
    <row r="4188" spans="3:5">
      <c r="C4188" t="s">
        <v>15</v>
      </c>
      <c r="D4188" t="s">
        <v>16</v>
      </c>
      <c r="E4188">
        <v>0</v>
      </c>
    </row>
    <row r="4189" spans="3:5">
      <c r="C4189" t="s">
        <v>17</v>
      </c>
      <c r="D4189" t="s">
        <v>18</v>
      </c>
      <c r="E4189">
        <v>0</v>
      </c>
    </row>
    <row r="4190" spans="3:5">
      <c r="C4190" t="s">
        <v>15</v>
      </c>
      <c r="D4190" t="s">
        <v>16</v>
      </c>
      <c r="E4190">
        <v>0</v>
      </c>
    </row>
    <row r="4191" spans="3:5">
      <c r="C4191" t="s">
        <v>15</v>
      </c>
      <c r="D4191" t="s">
        <v>16</v>
      </c>
      <c r="E4191">
        <v>0</v>
      </c>
    </row>
    <row r="4192" spans="3:5">
      <c r="C4192" t="s">
        <v>15</v>
      </c>
      <c r="D4192" t="s">
        <v>16</v>
      </c>
      <c r="E4192">
        <v>0</v>
      </c>
    </row>
    <row r="4193" spans="3:5">
      <c r="C4193" t="s">
        <v>17</v>
      </c>
      <c r="D4193" t="s">
        <v>18</v>
      </c>
      <c r="E4193">
        <v>0</v>
      </c>
    </row>
    <row r="4194" spans="3:5">
      <c r="C4194" t="s">
        <v>17</v>
      </c>
      <c r="D4194" t="s">
        <v>18</v>
      </c>
      <c r="E4194">
        <v>0</v>
      </c>
    </row>
    <row r="4195" spans="3:5">
      <c r="C4195" t="s">
        <v>15</v>
      </c>
      <c r="D4195" t="s">
        <v>16</v>
      </c>
      <c r="E4195">
        <v>0</v>
      </c>
    </row>
    <row r="4196" spans="3:5">
      <c r="C4196" t="s">
        <v>15</v>
      </c>
      <c r="D4196" t="s">
        <v>16</v>
      </c>
      <c r="E4196">
        <v>0</v>
      </c>
    </row>
    <row r="4197" spans="3:5">
      <c r="C4197" t="s">
        <v>15</v>
      </c>
      <c r="D4197" t="s">
        <v>16</v>
      </c>
      <c r="E4197">
        <v>0</v>
      </c>
    </row>
    <row r="4198" spans="3:5">
      <c r="C4198" t="s">
        <v>17</v>
      </c>
      <c r="D4198" t="s">
        <v>18</v>
      </c>
      <c r="E4198">
        <v>0</v>
      </c>
    </row>
    <row r="4199" spans="3:5">
      <c r="C4199" t="s">
        <v>17</v>
      </c>
      <c r="D4199" t="s">
        <v>18</v>
      </c>
      <c r="E4199">
        <v>1</v>
      </c>
    </row>
    <row r="4200" spans="3:5">
      <c r="C4200" t="s">
        <v>17</v>
      </c>
      <c r="D4200" t="s">
        <v>18</v>
      </c>
      <c r="E4200">
        <v>0</v>
      </c>
    </row>
    <row r="4201" spans="3:5">
      <c r="C4201" t="s">
        <v>15</v>
      </c>
      <c r="D4201" t="s">
        <v>16</v>
      </c>
      <c r="E4201">
        <v>0</v>
      </c>
    </row>
    <row r="4202" spans="3:5">
      <c r="C4202" t="s">
        <v>15</v>
      </c>
      <c r="D4202" t="s">
        <v>16</v>
      </c>
      <c r="E4202">
        <v>0</v>
      </c>
    </row>
    <row r="4203" spans="3:5">
      <c r="C4203" t="s">
        <v>17</v>
      </c>
      <c r="D4203" t="s">
        <v>18</v>
      </c>
      <c r="E4203">
        <v>0</v>
      </c>
    </row>
    <row r="4204" spans="3:5">
      <c r="C4204" t="s">
        <v>17</v>
      </c>
      <c r="D4204" t="s">
        <v>18</v>
      </c>
      <c r="E4204">
        <v>0</v>
      </c>
    </row>
    <row r="4205" spans="3:5">
      <c r="C4205" t="s">
        <v>15</v>
      </c>
      <c r="D4205" t="s">
        <v>16</v>
      </c>
      <c r="E4205">
        <v>0</v>
      </c>
    </row>
    <row r="4206" spans="3:5">
      <c r="C4206" t="s">
        <v>17</v>
      </c>
      <c r="D4206" t="s">
        <v>18</v>
      </c>
      <c r="E4206">
        <v>0</v>
      </c>
    </row>
    <row r="4207" spans="3:5">
      <c r="C4207" t="s">
        <v>15</v>
      </c>
      <c r="D4207" t="s">
        <v>16</v>
      </c>
      <c r="E4207">
        <v>0</v>
      </c>
    </row>
    <row r="4208" spans="3:5">
      <c r="C4208" t="s">
        <v>17</v>
      </c>
      <c r="D4208" t="s">
        <v>18</v>
      </c>
      <c r="E4208">
        <v>0</v>
      </c>
    </row>
    <row r="4209" spans="3:5">
      <c r="C4209" t="s">
        <v>17</v>
      </c>
      <c r="D4209" t="s">
        <v>18</v>
      </c>
      <c r="E4209">
        <v>0</v>
      </c>
    </row>
    <row r="4210" spans="3:5">
      <c r="C4210" t="s">
        <v>15</v>
      </c>
      <c r="D4210" t="s">
        <v>16</v>
      </c>
      <c r="E4210">
        <v>0</v>
      </c>
    </row>
    <row r="4211" spans="3:5">
      <c r="C4211" t="s">
        <v>17</v>
      </c>
      <c r="D4211" t="s">
        <v>18</v>
      </c>
      <c r="E4211">
        <v>0</v>
      </c>
    </row>
    <row r="4212" spans="3:5">
      <c r="C4212" t="s">
        <v>15</v>
      </c>
      <c r="D4212" t="s">
        <v>16</v>
      </c>
      <c r="E4212">
        <v>1</v>
      </c>
    </row>
    <row r="4213" spans="3:5">
      <c r="C4213" t="s">
        <v>15</v>
      </c>
      <c r="D4213" t="s">
        <v>16</v>
      </c>
      <c r="E4213">
        <v>0</v>
      </c>
    </row>
    <row r="4214" spans="3:5">
      <c r="C4214" t="s">
        <v>17</v>
      </c>
      <c r="D4214" t="s">
        <v>18</v>
      </c>
      <c r="E4214">
        <v>0</v>
      </c>
    </row>
    <row r="4215" spans="3:5">
      <c r="C4215" t="s">
        <v>15</v>
      </c>
      <c r="D4215" t="s">
        <v>16</v>
      </c>
      <c r="E4215">
        <v>0</v>
      </c>
    </row>
    <row r="4216" spans="3:5">
      <c r="C4216" t="s">
        <v>15</v>
      </c>
      <c r="D4216" t="s">
        <v>16</v>
      </c>
      <c r="E4216">
        <v>0</v>
      </c>
    </row>
    <row r="4217" spans="3:5">
      <c r="C4217" t="s">
        <v>15</v>
      </c>
      <c r="D4217" t="s">
        <v>16</v>
      </c>
      <c r="E4217">
        <v>0</v>
      </c>
    </row>
    <row r="4218" spans="3:5">
      <c r="C4218" t="s">
        <v>17</v>
      </c>
      <c r="D4218" t="s">
        <v>18</v>
      </c>
      <c r="E4218">
        <v>0</v>
      </c>
    </row>
    <row r="4219" spans="3:5">
      <c r="C4219" t="s">
        <v>17</v>
      </c>
      <c r="D4219" t="s">
        <v>18</v>
      </c>
      <c r="E4219">
        <v>0</v>
      </c>
    </row>
    <row r="4220" spans="3:5">
      <c r="C4220" t="s">
        <v>15</v>
      </c>
      <c r="D4220" t="s">
        <v>16</v>
      </c>
      <c r="E4220">
        <v>0</v>
      </c>
    </row>
    <row r="4221" spans="3:5">
      <c r="C4221" t="s">
        <v>17</v>
      </c>
      <c r="D4221" t="s">
        <v>18</v>
      </c>
      <c r="E4221">
        <v>0</v>
      </c>
    </row>
    <row r="4222" spans="3:5">
      <c r="C4222" t="s">
        <v>17</v>
      </c>
      <c r="D4222" t="s">
        <v>18</v>
      </c>
      <c r="E4222">
        <v>0</v>
      </c>
    </row>
    <row r="4223" spans="3:5">
      <c r="C4223" t="s">
        <v>17</v>
      </c>
      <c r="D4223" t="s">
        <v>18</v>
      </c>
      <c r="E4223">
        <v>0</v>
      </c>
    </row>
    <row r="4224" spans="3:5">
      <c r="C4224" t="s">
        <v>15</v>
      </c>
      <c r="D4224" t="s">
        <v>16</v>
      </c>
      <c r="E4224">
        <v>0</v>
      </c>
    </row>
    <row r="4225" spans="3:5">
      <c r="C4225" t="s">
        <v>17</v>
      </c>
      <c r="D4225" t="s">
        <v>18</v>
      </c>
      <c r="E4225">
        <v>0</v>
      </c>
    </row>
    <row r="4226" spans="3:5">
      <c r="C4226" t="s">
        <v>15</v>
      </c>
      <c r="D4226" t="s">
        <v>16</v>
      </c>
      <c r="E4226">
        <v>0</v>
      </c>
    </row>
    <row r="4227" spans="3:5">
      <c r="C4227" t="s">
        <v>15</v>
      </c>
      <c r="D4227" t="s">
        <v>16</v>
      </c>
      <c r="E4227">
        <v>0</v>
      </c>
    </row>
    <row r="4228" spans="3:5">
      <c r="C4228" t="s">
        <v>17</v>
      </c>
      <c r="D4228" t="s">
        <v>18</v>
      </c>
      <c r="E4228">
        <v>0</v>
      </c>
    </row>
    <row r="4229" spans="3:5">
      <c r="C4229" t="s">
        <v>15</v>
      </c>
      <c r="D4229" t="s">
        <v>16</v>
      </c>
      <c r="E4229">
        <v>0</v>
      </c>
    </row>
    <row r="4230" spans="3:5">
      <c r="C4230" t="s">
        <v>17</v>
      </c>
      <c r="D4230" t="s">
        <v>18</v>
      </c>
      <c r="E4230">
        <v>0</v>
      </c>
    </row>
    <row r="4231" spans="3:5">
      <c r="C4231" t="s">
        <v>15</v>
      </c>
      <c r="D4231" t="s">
        <v>16</v>
      </c>
      <c r="E4231">
        <v>0</v>
      </c>
    </row>
    <row r="4232" spans="3:5">
      <c r="C4232" t="s">
        <v>15</v>
      </c>
      <c r="D4232" t="s">
        <v>16</v>
      </c>
      <c r="E4232">
        <v>0</v>
      </c>
    </row>
    <row r="4233" spans="3:5">
      <c r="C4233" t="s">
        <v>15</v>
      </c>
      <c r="D4233" t="s">
        <v>16</v>
      </c>
      <c r="E4233">
        <v>0</v>
      </c>
    </row>
    <row r="4234" spans="3:5">
      <c r="C4234" t="s">
        <v>17</v>
      </c>
      <c r="D4234" t="s">
        <v>18</v>
      </c>
      <c r="E4234">
        <v>0</v>
      </c>
    </row>
    <row r="4235" spans="3:5">
      <c r="C4235" t="s">
        <v>15</v>
      </c>
      <c r="D4235" t="s">
        <v>16</v>
      </c>
      <c r="E4235">
        <v>0</v>
      </c>
    </row>
    <row r="4236" spans="3:5">
      <c r="C4236" t="s">
        <v>17</v>
      </c>
      <c r="D4236" t="s">
        <v>18</v>
      </c>
      <c r="E4236">
        <v>0</v>
      </c>
    </row>
    <row r="4237" spans="3:5">
      <c r="C4237" t="s">
        <v>17</v>
      </c>
      <c r="D4237" t="s">
        <v>18</v>
      </c>
      <c r="E4237">
        <v>0</v>
      </c>
    </row>
    <row r="4238" spans="3:5">
      <c r="C4238" t="s">
        <v>15</v>
      </c>
      <c r="D4238" t="s">
        <v>16</v>
      </c>
      <c r="E4238">
        <v>0</v>
      </c>
    </row>
    <row r="4239" spans="3:5">
      <c r="C4239" t="s">
        <v>17</v>
      </c>
      <c r="D4239" t="s">
        <v>18</v>
      </c>
      <c r="E4239">
        <v>0</v>
      </c>
    </row>
    <row r="4240" spans="3:5">
      <c r="C4240" t="s">
        <v>17</v>
      </c>
      <c r="D4240" t="s">
        <v>18</v>
      </c>
      <c r="E4240">
        <v>0</v>
      </c>
    </row>
    <row r="4241" spans="3:5">
      <c r="C4241" t="s">
        <v>17</v>
      </c>
      <c r="D4241" t="s">
        <v>18</v>
      </c>
      <c r="E4241">
        <v>0</v>
      </c>
    </row>
    <row r="4242" spans="3:5">
      <c r="C4242" t="s">
        <v>17</v>
      </c>
      <c r="D4242" t="s">
        <v>18</v>
      </c>
      <c r="E4242">
        <v>0</v>
      </c>
    </row>
    <row r="4243" spans="3:5">
      <c r="C4243" t="s">
        <v>17</v>
      </c>
      <c r="D4243" t="s">
        <v>18</v>
      </c>
      <c r="E4243">
        <v>0</v>
      </c>
    </row>
    <row r="4244" spans="3:5">
      <c r="C4244" t="s">
        <v>15</v>
      </c>
      <c r="D4244" t="s">
        <v>16</v>
      </c>
      <c r="E4244">
        <v>0</v>
      </c>
    </row>
    <row r="4245" spans="3:5">
      <c r="C4245" t="s">
        <v>15</v>
      </c>
      <c r="D4245" t="s">
        <v>16</v>
      </c>
      <c r="E4245">
        <v>0</v>
      </c>
    </row>
    <row r="4246" spans="3:5">
      <c r="C4246" t="s">
        <v>17</v>
      </c>
      <c r="D4246" t="s">
        <v>18</v>
      </c>
      <c r="E4246">
        <v>0</v>
      </c>
    </row>
    <row r="4247" spans="3:5">
      <c r="C4247" t="s">
        <v>17</v>
      </c>
      <c r="D4247" t="s">
        <v>18</v>
      </c>
      <c r="E4247">
        <v>0</v>
      </c>
    </row>
    <row r="4248" spans="3:5">
      <c r="C4248" t="s">
        <v>17</v>
      </c>
      <c r="D4248" t="s">
        <v>18</v>
      </c>
      <c r="E4248">
        <v>0</v>
      </c>
    </row>
    <row r="4249" spans="3:5">
      <c r="C4249" t="s">
        <v>17</v>
      </c>
      <c r="D4249" t="s">
        <v>18</v>
      </c>
      <c r="E4249">
        <v>0</v>
      </c>
    </row>
    <row r="4250" spans="3:5">
      <c r="C4250" t="s">
        <v>17</v>
      </c>
      <c r="D4250" t="s">
        <v>18</v>
      </c>
      <c r="E4250">
        <v>0</v>
      </c>
    </row>
    <row r="4251" spans="3:5">
      <c r="C4251" t="s">
        <v>17</v>
      </c>
      <c r="D4251" t="s">
        <v>18</v>
      </c>
      <c r="E4251">
        <v>0</v>
      </c>
    </row>
    <row r="4252" spans="3:5">
      <c r="C4252" t="s">
        <v>17</v>
      </c>
      <c r="D4252" t="s">
        <v>18</v>
      </c>
      <c r="E4252">
        <v>0</v>
      </c>
    </row>
    <row r="4253" spans="3:5">
      <c r="C4253" t="s">
        <v>15</v>
      </c>
      <c r="D4253" t="s">
        <v>16</v>
      </c>
      <c r="E4253">
        <v>0</v>
      </c>
    </row>
    <row r="4254" spans="3:5">
      <c r="C4254" t="s">
        <v>15</v>
      </c>
      <c r="D4254" t="s">
        <v>16</v>
      </c>
      <c r="E4254">
        <v>0</v>
      </c>
    </row>
    <row r="4255" spans="3:5">
      <c r="C4255" t="s">
        <v>17</v>
      </c>
      <c r="D4255" t="s">
        <v>18</v>
      </c>
      <c r="E4255">
        <v>0</v>
      </c>
    </row>
    <row r="4256" spans="3:5">
      <c r="C4256" t="s">
        <v>15</v>
      </c>
      <c r="D4256" t="s">
        <v>16</v>
      </c>
      <c r="E4256">
        <v>0</v>
      </c>
    </row>
    <row r="4257" spans="3:5">
      <c r="C4257" t="s">
        <v>15</v>
      </c>
      <c r="D4257" t="s">
        <v>16</v>
      </c>
      <c r="E4257">
        <v>0</v>
      </c>
    </row>
    <row r="4258" spans="3:5">
      <c r="C4258" t="s">
        <v>17</v>
      </c>
      <c r="D4258" t="s">
        <v>18</v>
      </c>
      <c r="E4258">
        <v>0</v>
      </c>
    </row>
    <row r="4259" spans="3:5">
      <c r="C4259" t="s">
        <v>15</v>
      </c>
      <c r="D4259" t="s">
        <v>16</v>
      </c>
      <c r="E4259">
        <v>0</v>
      </c>
    </row>
    <row r="4260" spans="3:5">
      <c r="C4260" t="s">
        <v>15</v>
      </c>
      <c r="D4260" t="s">
        <v>16</v>
      </c>
      <c r="E4260">
        <v>0</v>
      </c>
    </row>
    <row r="4261" spans="3:5">
      <c r="C4261" t="s">
        <v>15</v>
      </c>
      <c r="D4261" t="s">
        <v>16</v>
      </c>
      <c r="E4261">
        <v>0</v>
      </c>
    </row>
    <row r="4262" spans="3:5">
      <c r="C4262" t="s">
        <v>17</v>
      </c>
      <c r="D4262" t="s">
        <v>18</v>
      </c>
      <c r="E4262">
        <v>0</v>
      </c>
    </row>
    <row r="4263" spans="3:5">
      <c r="C4263" t="s">
        <v>17</v>
      </c>
      <c r="D4263" t="s">
        <v>18</v>
      </c>
      <c r="E4263">
        <v>0</v>
      </c>
    </row>
    <row r="4264" spans="3:5">
      <c r="C4264" t="s">
        <v>17</v>
      </c>
      <c r="D4264" t="s">
        <v>18</v>
      </c>
      <c r="E4264">
        <v>0</v>
      </c>
    </row>
    <row r="4265" spans="3:5">
      <c r="C4265" t="s">
        <v>17</v>
      </c>
      <c r="D4265" t="s">
        <v>18</v>
      </c>
      <c r="E4265">
        <v>0</v>
      </c>
    </row>
    <row r="4266" spans="3:5">
      <c r="C4266" t="s">
        <v>17</v>
      </c>
      <c r="D4266" t="s">
        <v>18</v>
      </c>
      <c r="E4266">
        <v>0</v>
      </c>
    </row>
    <row r="4267" spans="3:5">
      <c r="C4267" t="s">
        <v>17</v>
      </c>
      <c r="D4267" t="s">
        <v>18</v>
      </c>
      <c r="E4267">
        <v>1</v>
      </c>
    </row>
    <row r="4268" spans="3:5">
      <c r="C4268" t="s">
        <v>15</v>
      </c>
      <c r="D4268" t="s">
        <v>16</v>
      </c>
      <c r="E4268">
        <v>0</v>
      </c>
    </row>
    <row r="4269" spans="3:5">
      <c r="C4269" t="s">
        <v>15</v>
      </c>
      <c r="D4269" t="s">
        <v>16</v>
      </c>
      <c r="E4269">
        <v>0</v>
      </c>
    </row>
    <row r="4270" spans="3:5">
      <c r="C4270" t="s">
        <v>15</v>
      </c>
      <c r="D4270" t="s">
        <v>16</v>
      </c>
      <c r="E4270">
        <v>0</v>
      </c>
    </row>
    <row r="4271" spans="3:5">
      <c r="C4271" t="s">
        <v>15</v>
      </c>
      <c r="D4271" t="s">
        <v>16</v>
      </c>
      <c r="E4271">
        <v>0</v>
      </c>
    </row>
    <row r="4272" spans="3:5">
      <c r="C4272" t="s">
        <v>17</v>
      </c>
      <c r="D4272" t="s">
        <v>18</v>
      </c>
      <c r="E4272">
        <v>0</v>
      </c>
    </row>
    <row r="4273" spans="3:5">
      <c r="C4273" t="s">
        <v>17</v>
      </c>
      <c r="D4273" t="s">
        <v>18</v>
      </c>
      <c r="E4273">
        <v>0</v>
      </c>
    </row>
    <row r="4274" spans="3:5">
      <c r="C4274" t="s">
        <v>17</v>
      </c>
      <c r="D4274" t="s">
        <v>18</v>
      </c>
      <c r="E4274">
        <v>0</v>
      </c>
    </row>
    <row r="4275" spans="3:5">
      <c r="C4275" t="s">
        <v>17</v>
      </c>
      <c r="D4275" t="s">
        <v>18</v>
      </c>
      <c r="E4275">
        <v>0</v>
      </c>
    </row>
    <row r="4276" spans="3:5">
      <c r="C4276" t="s">
        <v>17</v>
      </c>
      <c r="D4276" t="s">
        <v>18</v>
      </c>
      <c r="E4276">
        <v>0</v>
      </c>
    </row>
    <row r="4277" spans="3:5">
      <c r="C4277" t="s">
        <v>17</v>
      </c>
      <c r="D4277" t="s">
        <v>18</v>
      </c>
      <c r="E4277">
        <v>0</v>
      </c>
    </row>
    <row r="4278" spans="3:5">
      <c r="C4278" t="s">
        <v>15</v>
      </c>
      <c r="D4278" t="s">
        <v>16</v>
      </c>
      <c r="E4278">
        <v>1</v>
      </c>
    </row>
    <row r="4279" spans="3:5">
      <c r="C4279" t="s">
        <v>17</v>
      </c>
      <c r="D4279" t="s">
        <v>18</v>
      </c>
      <c r="E4279">
        <v>0</v>
      </c>
    </row>
    <row r="4280" spans="3:5">
      <c r="C4280" t="s">
        <v>15</v>
      </c>
      <c r="D4280" t="s">
        <v>16</v>
      </c>
      <c r="E4280">
        <v>0</v>
      </c>
    </row>
    <row r="4281" spans="3:5">
      <c r="C4281" t="s">
        <v>17</v>
      </c>
      <c r="D4281" t="s">
        <v>18</v>
      </c>
      <c r="E4281">
        <v>0</v>
      </c>
    </row>
    <row r="4282" spans="3:5">
      <c r="C4282" t="s">
        <v>17</v>
      </c>
      <c r="D4282" t="s">
        <v>18</v>
      </c>
      <c r="E4282">
        <v>0</v>
      </c>
    </row>
    <row r="4283" spans="3:5">
      <c r="C4283" t="s">
        <v>15</v>
      </c>
      <c r="D4283" t="s">
        <v>16</v>
      </c>
      <c r="E4283">
        <v>0</v>
      </c>
    </row>
    <row r="4284" spans="3:5">
      <c r="C4284" t="s">
        <v>17</v>
      </c>
      <c r="D4284" t="s">
        <v>18</v>
      </c>
      <c r="E4284">
        <v>0</v>
      </c>
    </row>
    <row r="4285" spans="3:5">
      <c r="C4285" t="s">
        <v>17</v>
      </c>
      <c r="D4285" t="s">
        <v>18</v>
      </c>
      <c r="E4285">
        <v>0</v>
      </c>
    </row>
    <row r="4286" spans="3:5">
      <c r="C4286" t="s">
        <v>17</v>
      </c>
      <c r="D4286" t="s">
        <v>18</v>
      </c>
      <c r="E4286">
        <v>1</v>
      </c>
    </row>
    <row r="4287" spans="3:5">
      <c r="C4287" t="s">
        <v>17</v>
      </c>
      <c r="D4287" t="s">
        <v>18</v>
      </c>
      <c r="E4287">
        <v>0</v>
      </c>
    </row>
    <row r="4288" spans="3:5">
      <c r="C4288" t="s">
        <v>17</v>
      </c>
      <c r="D4288" t="s">
        <v>18</v>
      </c>
      <c r="E4288">
        <v>0</v>
      </c>
    </row>
    <row r="4289" spans="3:5">
      <c r="C4289" t="s">
        <v>17</v>
      </c>
      <c r="D4289" t="s">
        <v>18</v>
      </c>
      <c r="E4289">
        <v>0</v>
      </c>
    </row>
    <row r="4290" spans="3:5">
      <c r="C4290" t="s">
        <v>15</v>
      </c>
      <c r="D4290" t="s">
        <v>16</v>
      </c>
      <c r="E4290">
        <v>0</v>
      </c>
    </row>
    <row r="4291" spans="3:5">
      <c r="C4291" t="s">
        <v>17</v>
      </c>
      <c r="D4291" t="s">
        <v>18</v>
      </c>
      <c r="E4291">
        <v>0</v>
      </c>
    </row>
    <row r="4292" spans="3:5">
      <c r="C4292" t="s">
        <v>17</v>
      </c>
      <c r="D4292" t="s">
        <v>18</v>
      </c>
      <c r="E4292">
        <v>0</v>
      </c>
    </row>
    <row r="4293" spans="3:5">
      <c r="C4293" t="s">
        <v>15</v>
      </c>
      <c r="D4293" t="s">
        <v>16</v>
      </c>
      <c r="E4293">
        <v>0</v>
      </c>
    </row>
    <row r="4294" spans="3:5">
      <c r="C4294" t="s">
        <v>17</v>
      </c>
      <c r="D4294" t="s">
        <v>18</v>
      </c>
      <c r="E4294">
        <v>0</v>
      </c>
    </row>
    <row r="4295" spans="3:5">
      <c r="C4295" t="s">
        <v>15</v>
      </c>
      <c r="D4295" t="s">
        <v>16</v>
      </c>
      <c r="E4295">
        <v>0</v>
      </c>
    </row>
    <row r="4296" spans="3:5">
      <c r="C4296" t="s">
        <v>17</v>
      </c>
      <c r="D4296" t="s">
        <v>18</v>
      </c>
      <c r="E4296">
        <v>0</v>
      </c>
    </row>
    <row r="4297" spans="3:5">
      <c r="C4297" t="s">
        <v>15</v>
      </c>
      <c r="D4297" t="s">
        <v>16</v>
      </c>
      <c r="E4297">
        <v>0</v>
      </c>
    </row>
    <row r="4298" spans="3:5">
      <c r="C4298" t="s">
        <v>15</v>
      </c>
      <c r="D4298" t="s">
        <v>16</v>
      </c>
      <c r="E4298">
        <v>0</v>
      </c>
    </row>
    <row r="4299" spans="3:5">
      <c r="C4299" t="s">
        <v>17</v>
      </c>
      <c r="D4299" t="s">
        <v>18</v>
      </c>
      <c r="E4299">
        <v>0</v>
      </c>
    </row>
    <row r="4300" spans="3:5">
      <c r="C4300" t="s">
        <v>15</v>
      </c>
      <c r="D4300" t="s">
        <v>16</v>
      </c>
      <c r="E4300">
        <v>0</v>
      </c>
    </row>
    <row r="4301" spans="3:5">
      <c r="C4301" t="s">
        <v>17</v>
      </c>
      <c r="D4301" t="s">
        <v>18</v>
      </c>
      <c r="E4301">
        <v>0</v>
      </c>
    </row>
    <row r="4302" spans="3:5">
      <c r="C4302" t="s">
        <v>17</v>
      </c>
      <c r="D4302" t="s">
        <v>18</v>
      </c>
      <c r="E4302">
        <v>0</v>
      </c>
    </row>
    <row r="4303" spans="3:5">
      <c r="C4303" t="s">
        <v>17</v>
      </c>
      <c r="D4303" t="s">
        <v>18</v>
      </c>
      <c r="E4303">
        <v>0</v>
      </c>
    </row>
    <row r="4304" spans="3:5">
      <c r="C4304" t="s">
        <v>17</v>
      </c>
      <c r="D4304" t="s">
        <v>18</v>
      </c>
      <c r="E4304">
        <v>0</v>
      </c>
    </row>
    <row r="4305" spans="3:5">
      <c r="C4305" t="s">
        <v>17</v>
      </c>
      <c r="D4305" t="s">
        <v>18</v>
      </c>
      <c r="E4305">
        <v>0</v>
      </c>
    </row>
    <row r="4306" spans="3:5">
      <c r="C4306" t="s">
        <v>17</v>
      </c>
      <c r="D4306" t="s">
        <v>18</v>
      </c>
      <c r="E4306">
        <v>0</v>
      </c>
    </row>
    <row r="4307" spans="3:5">
      <c r="C4307" t="s">
        <v>17</v>
      </c>
      <c r="D4307" t="s">
        <v>18</v>
      </c>
      <c r="E4307">
        <v>0</v>
      </c>
    </row>
    <row r="4308" spans="3:5">
      <c r="C4308" t="s">
        <v>17</v>
      </c>
      <c r="D4308" t="s">
        <v>18</v>
      </c>
      <c r="E4308">
        <v>0</v>
      </c>
    </row>
    <row r="4309" spans="3:5">
      <c r="C4309" t="s">
        <v>17</v>
      </c>
      <c r="D4309" t="s">
        <v>18</v>
      </c>
      <c r="E4309">
        <v>0</v>
      </c>
    </row>
    <row r="4310" spans="3:5">
      <c r="C4310" t="s">
        <v>17</v>
      </c>
      <c r="D4310" t="s">
        <v>18</v>
      </c>
      <c r="E4310">
        <v>0</v>
      </c>
    </row>
    <row r="4311" spans="3:5">
      <c r="C4311" t="s">
        <v>15</v>
      </c>
      <c r="D4311" t="s">
        <v>16</v>
      </c>
      <c r="E4311">
        <v>0</v>
      </c>
    </row>
    <row r="4312" spans="3:5">
      <c r="C4312" t="s">
        <v>17</v>
      </c>
      <c r="D4312" t="s">
        <v>18</v>
      </c>
      <c r="E4312">
        <v>0</v>
      </c>
    </row>
    <row r="4313" spans="3:5">
      <c r="C4313" t="s">
        <v>17</v>
      </c>
      <c r="D4313" t="s">
        <v>18</v>
      </c>
      <c r="E4313">
        <v>0</v>
      </c>
    </row>
    <row r="4314" spans="3:5">
      <c r="C4314" t="s">
        <v>15</v>
      </c>
      <c r="D4314" t="s">
        <v>16</v>
      </c>
      <c r="E4314">
        <v>0</v>
      </c>
    </row>
    <row r="4315" spans="3:5">
      <c r="C4315" t="s">
        <v>15</v>
      </c>
      <c r="D4315" t="s">
        <v>16</v>
      </c>
      <c r="E4315">
        <v>0</v>
      </c>
    </row>
    <row r="4316" spans="3:5">
      <c r="C4316" t="s">
        <v>17</v>
      </c>
      <c r="D4316" t="s">
        <v>18</v>
      </c>
      <c r="E4316">
        <v>0</v>
      </c>
    </row>
    <row r="4317" spans="3:5">
      <c r="C4317" t="s">
        <v>15</v>
      </c>
      <c r="D4317" t="s">
        <v>16</v>
      </c>
      <c r="E4317">
        <v>0</v>
      </c>
    </row>
    <row r="4318" spans="3:5">
      <c r="C4318" t="s">
        <v>17</v>
      </c>
      <c r="D4318" t="s">
        <v>18</v>
      </c>
      <c r="E4318">
        <v>0</v>
      </c>
    </row>
    <row r="4319" spans="3:5">
      <c r="C4319" t="s">
        <v>15</v>
      </c>
      <c r="D4319" t="s">
        <v>16</v>
      </c>
      <c r="E4319">
        <v>0</v>
      </c>
    </row>
    <row r="4320" spans="3:5">
      <c r="C4320" t="s">
        <v>15</v>
      </c>
      <c r="D4320" t="s">
        <v>16</v>
      </c>
      <c r="E4320">
        <v>0</v>
      </c>
    </row>
    <row r="4321" spans="3:5">
      <c r="C4321" t="s">
        <v>17</v>
      </c>
      <c r="D4321" t="s">
        <v>18</v>
      </c>
      <c r="E4321">
        <v>0</v>
      </c>
    </row>
    <row r="4322" spans="3:5">
      <c r="C4322" t="s">
        <v>15</v>
      </c>
      <c r="D4322" t="s">
        <v>16</v>
      </c>
      <c r="E4322">
        <v>0</v>
      </c>
    </row>
    <row r="4323" spans="3:5">
      <c r="C4323" t="s">
        <v>15</v>
      </c>
      <c r="D4323" t="s">
        <v>16</v>
      </c>
      <c r="E4323">
        <v>0</v>
      </c>
    </row>
    <row r="4324" spans="3:5">
      <c r="C4324" t="s">
        <v>15</v>
      </c>
      <c r="D4324" t="s">
        <v>16</v>
      </c>
      <c r="E4324">
        <v>0</v>
      </c>
    </row>
    <row r="4325" spans="3:5">
      <c r="C4325" t="s">
        <v>15</v>
      </c>
      <c r="D4325" t="s">
        <v>16</v>
      </c>
      <c r="E4325">
        <v>0</v>
      </c>
    </row>
    <row r="4326" spans="3:5">
      <c r="C4326" t="s">
        <v>17</v>
      </c>
      <c r="D4326" t="s">
        <v>18</v>
      </c>
      <c r="E4326">
        <v>0</v>
      </c>
    </row>
    <row r="4327" spans="3:5">
      <c r="C4327" t="s">
        <v>15</v>
      </c>
      <c r="D4327" t="s">
        <v>16</v>
      </c>
      <c r="E4327">
        <v>0</v>
      </c>
    </row>
    <row r="4328" spans="3:5">
      <c r="C4328" t="s">
        <v>15</v>
      </c>
      <c r="D4328" t="s">
        <v>16</v>
      </c>
      <c r="E4328">
        <v>1</v>
      </c>
    </row>
    <row r="4329" spans="3:5">
      <c r="C4329" t="s">
        <v>15</v>
      </c>
      <c r="D4329" t="s">
        <v>16</v>
      </c>
      <c r="E4329">
        <v>0</v>
      </c>
    </row>
    <row r="4330" spans="3:5">
      <c r="C4330" t="s">
        <v>15</v>
      </c>
      <c r="D4330" t="s">
        <v>16</v>
      </c>
      <c r="E4330">
        <v>0</v>
      </c>
    </row>
    <row r="4331" spans="3:5">
      <c r="C4331" t="s">
        <v>15</v>
      </c>
      <c r="D4331" t="s">
        <v>16</v>
      </c>
      <c r="E4331">
        <v>0</v>
      </c>
    </row>
    <row r="4332" spans="3:5">
      <c r="C4332" t="s">
        <v>17</v>
      </c>
      <c r="D4332" t="s">
        <v>18</v>
      </c>
      <c r="E4332">
        <v>0</v>
      </c>
    </row>
    <row r="4333" spans="3:5">
      <c r="C4333" t="s">
        <v>15</v>
      </c>
      <c r="D4333" t="s">
        <v>16</v>
      </c>
      <c r="E4333">
        <v>0</v>
      </c>
    </row>
    <row r="4334" spans="3:5">
      <c r="C4334" t="s">
        <v>15</v>
      </c>
      <c r="D4334" t="s">
        <v>16</v>
      </c>
      <c r="E4334">
        <v>0</v>
      </c>
    </row>
    <row r="4335" spans="3:5">
      <c r="C4335" t="s">
        <v>17</v>
      </c>
      <c r="D4335" t="s">
        <v>18</v>
      </c>
      <c r="E4335">
        <v>0</v>
      </c>
    </row>
    <row r="4336" spans="3:5">
      <c r="C4336" t="s">
        <v>17</v>
      </c>
      <c r="D4336" t="s">
        <v>18</v>
      </c>
      <c r="E4336">
        <v>0</v>
      </c>
    </row>
    <row r="4337" spans="3:5">
      <c r="C4337" t="s">
        <v>17</v>
      </c>
      <c r="D4337" t="s">
        <v>18</v>
      </c>
      <c r="E4337">
        <v>1</v>
      </c>
    </row>
    <row r="4338" spans="3:5">
      <c r="C4338" t="s">
        <v>17</v>
      </c>
      <c r="D4338" t="s">
        <v>18</v>
      </c>
      <c r="E4338">
        <v>0</v>
      </c>
    </row>
    <row r="4339" spans="3:5">
      <c r="C4339" t="s">
        <v>17</v>
      </c>
      <c r="D4339" t="s">
        <v>18</v>
      </c>
      <c r="E4339">
        <v>0</v>
      </c>
    </row>
    <row r="4340" spans="3:5">
      <c r="C4340" t="s">
        <v>15</v>
      </c>
      <c r="D4340" t="s">
        <v>16</v>
      </c>
      <c r="E4340">
        <v>1</v>
      </c>
    </row>
    <row r="4341" spans="3:5">
      <c r="C4341" t="s">
        <v>17</v>
      </c>
      <c r="D4341" t="s">
        <v>18</v>
      </c>
      <c r="E4341">
        <v>0</v>
      </c>
    </row>
    <row r="4342" spans="3:5">
      <c r="C4342" t="s">
        <v>17</v>
      </c>
      <c r="D4342" t="s">
        <v>18</v>
      </c>
      <c r="E4342">
        <v>0</v>
      </c>
    </row>
    <row r="4343" spans="3:5">
      <c r="C4343" t="s">
        <v>15</v>
      </c>
      <c r="D4343" t="s">
        <v>16</v>
      </c>
      <c r="E4343">
        <v>0</v>
      </c>
    </row>
    <row r="4344" spans="3:5">
      <c r="C4344" t="s">
        <v>17</v>
      </c>
      <c r="D4344" t="s">
        <v>18</v>
      </c>
      <c r="E4344">
        <v>0</v>
      </c>
    </row>
    <row r="4345" spans="3:5">
      <c r="C4345" t="s">
        <v>15</v>
      </c>
      <c r="D4345" t="s">
        <v>16</v>
      </c>
      <c r="E4345">
        <v>0</v>
      </c>
    </row>
    <row r="4346" spans="3:5">
      <c r="C4346" t="s">
        <v>17</v>
      </c>
      <c r="D4346" t="s">
        <v>18</v>
      </c>
      <c r="E4346">
        <v>0</v>
      </c>
    </row>
    <row r="4347" spans="3:5">
      <c r="C4347" t="s">
        <v>17</v>
      </c>
      <c r="D4347" t="s">
        <v>18</v>
      </c>
      <c r="E4347">
        <v>0</v>
      </c>
    </row>
    <row r="4348" spans="3:5">
      <c r="C4348" t="s">
        <v>15</v>
      </c>
      <c r="D4348" t="s">
        <v>16</v>
      </c>
      <c r="E4348">
        <v>0</v>
      </c>
    </row>
    <row r="4349" spans="3:5">
      <c r="C4349" t="s">
        <v>15</v>
      </c>
      <c r="D4349" t="s">
        <v>16</v>
      </c>
      <c r="E4349">
        <v>0</v>
      </c>
    </row>
    <row r="4350" spans="3:5">
      <c r="C4350" t="s">
        <v>15</v>
      </c>
      <c r="D4350" t="s">
        <v>16</v>
      </c>
      <c r="E4350">
        <v>0</v>
      </c>
    </row>
    <row r="4351" spans="3:5">
      <c r="C4351" t="s">
        <v>15</v>
      </c>
      <c r="D4351" t="s">
        <v>16</v>
      </c>
      <c r="E4351">
        <v>0</v>
      </c>
    </row>
    <row r="4352" spans="3:5">
      <c r="C4352" t="s">
        <v>17</v>
      </c>
      <c r="D4352" t="s">
        <v>18</v>
      </c>
      <c r="E4352">
        <v>0</v>
      </c>
    </row>
    <row r="4353" spans="3:5">
      <c r="C4353" t="s">
        <v>17</v>
      </c>
      <c r="D4353" t="s">
        <v>18</v>
      </c>
      <c r="E4353">
        <v>1</v>
      </c>
    </row>
    <row r="4354" spans="3:5">
      <c r="C4354" t="s">
        <v>17</v>
      </c>
      <c r="D4354" t="s">
        <v>18</v>
      </c>
      <c r="E4354">
        <v>0</v>
      </c>
    </row>
    <row r="4355" spans="3:5">
      <c r="C4355" t="s">
        <v>15</v>
      </c>
      <c r="D4355" t="s">
        <v>16</v>
      </c>
      <c r="E4355">
        <v>0</v>
      </c>
    </row>
    <row r="4356" spans="3:5">
      <c r="C4356" t="s">
        <v>17</v>
      </c>
      <c r="D4356" t="s">
        <v>18</v>
      </c>
      <c r="E4356">
        <v>0</v>
      </c>
    </row>
    <row r="4357" spans="3:5">
      <c r="C4357" t="s">
        <v>15</v>
      </c>
      <c r="D4357" t="s">
        <v>16</v>
      </c>
      <c r="E4357">
        <v>0</v>
      </c>
    </row>
    <row r="4358" spans="3:5">
      <c r="C4358" t="s">
        <v>15</v>
      </c>
      <c r="D4358" t="s">
        <v>16</v>
      </c>
      <c r="E4358">
        <v>0</v>
      </c>
    </row>
    <row r="4359" spans="3:5">
      <c r="C4359" t="s">
        <v>17</v>
      </c>
      <c r="D4359" t="s">
        <v>18</v>
      </c>
      <c r="E4359">
        <v>0</v>
      </c>
    </row>
    <row r="4360" spans="3:5">
      <c r="C4360" t="s">
        <v>15</v>
      </c>
      <c r="D4360" t="s">
        <v>16</v>
      </c>
      <c r="E4360">
        <v>0</v>
      </c>
    </row>
    <row r="4361" spans="3:5">
      <c r="C4361" t="s">
        <v>17</v>
      </c>
      <c r="D4361" t="s">
        <v>18</v>
      </c>
      <c r="E4361">
        <v>0</v>
      </c>
    </row>
    <row r="4362" spans="3:5">
      <c r="C4362" t="s">
        <v>15</v>
      </c>
      <c r="D4362" t="s">
        <v>16</v>
      </c>
      <c r="E4362">
        <v>0</v>
      </c>
    </row>
    <row r="4363" spans="3:5">
      <c r="C4363" t="s">
        <v>17</v>
      </c>
      <c r="D4363" t="s">
        <v>18</v>
      </c>
      <c r="E4363">
        <v>0</v>
      </c>
    </row>
    <row r="4364" spans="3:5">
      <c r="C4364" t="s">
        <v>17</v>
      </c>
      <c r="D4364" t="s">
        <v>18</v>
      </c>
      <c r="E4364">
        <v>0</v>
      </c>
    </row>
    <row r="4365" spans="3:5">
      <c r="C4365" t="s">
        <v>15</v>
      </c>
      <c r="D4365" t="s">
        <v>16</v>
      </c>
      <c r="E4365">
        <v>0</v>
      </c>
    </row>
    <row r="4366" spans="3:5">
      <c r="C4366" t="s">
        <v>15</v>
      </c>
      <c r="D4366" t="s">
        <v>16</v>
      </c>
      <c r="E4366">
        <v>0</v>
      </c>
    </row>
    <row r="4367" spans="3:5">
      <c r="C4367" t="s">
        <v>15</v>
      </c>
      <c r="D4367" t="s">
        <v>16</v>
      </c>
      <c r="E4367">
        <v>0</v>
      </c>
    </row>
    <row r="4368" spans="3:5">
      <c r="C4368" t="s">
        <v>15</v>
      </c>
      <c r="D4368" t="s">
        <v>16</v>
      </c>
      <c r="E4368">
        <v>0</v>
      </c>
    </row>
    <row r="4369" spans="3:5">
      <c r="C4369" t="s">
        <v>17</v>
      </c>
      <c r="D4369" t="s">
        <v>18</v>
      </c>
      <c r="E4369">
        <v>0</v>
      </c>
    </row>
    <row r="4370" spans="3:5">
      <c r="C4370" t="s">
        <v>17</v>
      </c>
      <c r="D4370" t="s">
        <v>18</v>
      </c>
      <c r="E4370">
        <v>0</v>
      </c>
    </row>
    <row r="4371" spans="3:5">
      <c r="C4371" t="s">
        <v>17</v>
      </c>
      <c r="D4371" t="s">
        <v>18</v>
      </c>
      <c r="E4371">
        <v>0</v>
      </c>
    </row>
    <row r="4372" spans="3:5">
      <c r="C4372" t="s">
        <v>17</v>
      </c>
      <c r="D4372" t="s">
        <v>18</v>
      </c>
      <c r="E4372">
        <v>0</v>
      </c>
    </row>
    <row r="4373" spans="3:5">
      <c r="C4373" t="s">
        <v>15</v>
      </c>
      <c r="D4373" t="s">
        <v>16</v>
      </c>
      <c r="E4373">
        <v>0</v>
      </c>
    </row>
    <row r="4374" spans="3:5">
      <c r="C4374" t="s">
        <v>17</v>
      </c>
      <c r="D4374" t="s">
        <v>18</v>
      </c>
      <c r="E4374">
        <v>0</v>
      </c>
    </row>
    <row r="4375" spans="3:5">
      <c r="C4375" t="s">
        <v>17</v>
      </c>
      <c r="D4375" t="s">
        <v>18</v>
      </c>
      <c r="E4375">
        <v>0</v>
      </c>
    </row>
    <row r="4376" spans="3:5">
      <c r="C4376" t="s">
        <v>17</v>
      </c>
      <c r="D4376" t="s">
        <v>18</v>
      </c>
      <c r="E4376">
        <v>0</v>
      </c>
    </row>
    <row r="4377" spans="3:5">
      <c r="C4377" t="s">
        <v>17</v>
      </c>
      <c r="D4377" t="s">
        <v>18</v>
      </c>
      <c r="E4377">
        <v>0</v>
      </c>
    </row>
    <row r="4378" spans="3:5">
      <c r="C4378" t="s">
        <v>15</v>
      </c>
      <c r="D4378" t="s">
        <v>16</v>
      </c>
      <c r="E4378">
        <v>0</v>
      </c>
    </row>
    <row r="4379" spans="3:5">
      <c r="C4379" t="s">
        <v>15</v>
      </c>
      <c r="D4379" t="s">
        <v>16</v>
      </c>
      <c r="E4379">
        <v>0</v>
      </c>
    </row>
    <row r="4380" spans="3:5">
      <c r="C4380" t="s">
        <v>17</v>
      </c>
      <c r="D4380" t="s">
        <v>18</v>
      </c>
      <c r="E4380">
        <v>0</v>
      </c>
    </row>
    <row r="4381" spans="3:5">
      <c r="C4381" t="s">
        <v>17</v>
      </c>
      <c r="D4381" t="s">
        <v>18</v>
      </c>
      <c r="E4381">
        <v>0</v>
      </c>
    </row>
    <row r="4382" spans="3:5">
      <c r="C4382" t="s">
        <v>17</v>
      </c>
      <c r="D4382" t="s">
        <v>18</v>
      </c>
      <c r="E4382">
        <v>0</v>
      </c>
    </row>
    <row r="4383" spans="3:5">
      <c r="C4383" t="s">
        <v>15</v>
      </c>
      <c r="D4383" t="s">
        <v>16</v>
      </c>
      <c r="E4383">
        <v>0</v>
      </c>
    </row>
    <row r="4384" spans="3:5">
      <c r="C4384" t="s">
        <v>15</v>
      </c>
      <c r="D4384" t="s">
        <v>16</v>
      </c>
      <c r="E4384">
        <v>0</v>
      </c>
    </row>
    <row r="4385" spans="3:5">
      <c r="C4385" t="s">
        <v>17</v>
      </c>
      <c r="D4385" t="s">
        <v>18</v>
      </c>
      <c r="E4385">
        <v>0</v>
      </c>
    </row>
    <row r="4386" spans="3:5">
      <c r="C4386" t="s">
        <v>15</v>
      </c>
      <c r="D4386" t="s">
        <v>16</v>
      </c>
      <c r="E4386">
        <v>0</v>
      </c>
    </row>
    <row r="4387" spans="3:5">
      <c r="C4387" t="s">
        <v>17</v>
      </c>
      <c r="D4387" t="s">
        <v>18</v>
      </c>
      <c r="E4387">
        <v>0</v>
      </c>
    </row>
    <row r="4388" spans="3:5">
      <c r="C4388" t="s">
        <v>15</v>
      </c>
      <c r="D4388" t="s">
        <v>16</v>
      </c>
      <c r="E4388">
        <v>0</v>
      </c>
    </row>
    <row r="4389" spans="3:5">
      <c r="C4389" t="s">
        <v>17</v>
      </c>
      <c r="D4389" t="s">
        <v>18</v>
      </c>
      <c r="E4389">
        <v>0</v>
      </c>
    </row>
    <row r="4390" spans="3:5">
      <c r="C4390" t="s">
        <v>17</v>
      </c>
      <c r="D4390" t="s">
        <v>18</v>
      </c>
      <c r="E4390">
        <v>1</v>
      </c>
    </row>
    <row r="4391" spans="3:5">
      <c r="C4391" t="s">
        <v>15</v>
      </c>
      <c r="D4391" t="s">
        <v>16</v>
      </c>
      <c r="E4391">
        <v>0</v>
      </c>
    </row>
    <row r="4392" spans="3:5">
      <c r="C4392" t="s">
        <v>17</v>
      </c>
      <c r="D4392" t="s">
        <v>18</v>
      </c>
      <c r="E4392">
        <v>1</v>
      </c>
    </row>
    <row r="4393" spans="3:5">
      <c r="C4393" t="s">
        <v>17</v>
      </c>
      <c r="D4393" t="s">
        <v>18</v>
      </c>
      <c r="E4393">
        <v>0</v>
      </c>
    </row>
    <row r="4394" spans="3:5">
      <c r="C4394" t="s">
        <v>17</v>
      </c>
      <c r="D4394" t="s">
        <v>18</v>
      </c>
      <c r="E4394">
        <v>0</v>
      </c>
    </row>
    <row r="4395" spans="3:5">
      <c r="C4395" t="s">
        <v>17</v>
      </c>
      <c r="D4395" t="s">
        <v>18</v>
      </c>
      <c r="E4395">
        <v>1</v>
      </c>
    </row>
    <row r="4396" spans="3:5">
      <c r="C4396" t="s">
        <v>15</v>
      </c>
      <c r="D4396" t="s">
        <v>16</v>
      </c>
      <c r="E4396">
        <v>0</v>
      </c>
    </row>
    <row r="4397" spans="3:5">
      <c r="C4397" t="s">
        <v>15</v>
      </c>
      <c r="D4397" t="s">
        <v>16</v>
      </c>
      <c r="E4397">
        <v>0</v>
      </c>
    </row>
    <row r="4398" spans="3:5">
      <c r="C4398" t="s">
        <v>17</v>
      </c>
      <c r="D4398" t="s">
        <v>18</v>
      </c>
      <c r="E4398">
        <v>0</v>
      </c>
    </row>
    <row r="4399" spans="3:5">
      <c r="C4399" t="s">
        <v>17</v>
      </c>
      <c r="D4399" t="s">
        <v>18</v>
      </c>
      <c r="E4399">
        <v>0</v>
      </c>
    </row>
    <row r="4400" spans="3:5">
      <c r="C4400" t="s">
        <v>15</v>
      </c>
      <c r="D4400" t="s">
        <v>16</v>
      </c>
      <c r="E4400">
        <v>0</v>
      </c>
    </row>
    <row r="4401" spans="3:5">
      <c r="C4401" t="s">
        <v>15</v>
      </c>
      <c r="D4401" t="s">
        <v>16</v>
      </c>
      <c r="E4401">
        <v>0</v>
      </c>
    </row>
    <row r="4402" spans="3:5">
      <c r="C4402" t="s">
        <v>17</v>
      </c>
      <c r="D4402" t="s">
        <v>18</v>
      </c>
      <c r="E4402">
        <v>0</v>
      </c>
    </row>
    <row r="4403" spans="3:5">
      <c r="C4403" t="s">
        <v>17</v>
      </c>
      <c r="D4403" t="s">
        <v>18</v>
      </c>
      <c r="E4403">
        <v>0</v>
      </c>
    </row>
    <row r="4404" spans="3:5">
      <c r="C4404" t="s">
        <v>17</v>
      </c>
      <c r="D4404" t="s">
        <v>18</v>
      </c>
      <c r="E4404">
        <v>0</v>
      </c>
    </row>
    <row r="4405" spans="3:5">
      <c r="C4405" t="s">
        <v>17</v>
      </c>
      <c r="D4405" t="s">
        <v>18</v>
      </c>
      <c r="E4405">
        <v>0</v>
      </c>
    </row>
    <row r="4406" spans="3:5">
      <c r="C4406" t="s">
        <v>15</v>
      </c>
      <c r="D4406" t="s">
        <v>16</v>
      </c>
      <c r="E4406">
        <v>0</v>
      </c>
    </row>
    <row r="4407" spans="3:5">
      <c r="C4407" t="s">
        <v>15</v>
      </c>
      <c r="D4407" t="s">
        <v>16</v>
      </c>
      <c r="E4407">
        <v>0</v>
      </c>
    </row>
    <row r="4408" spans="3:5">
      <c r="C4408" t="s">
        <v>17</v>
      </c>
      <c r="D4408" t="s">
        <v>18</v>
      </c>
      <c r="E4408">
        <v>1</v>
      </c>
    </row>
    <row r="4409" spans="3:5">
      <c r="C4409" t="s">
        <v>15</v>
      </c>
      <c r="D4409" t="s">
        <v>16</v>
      </c>
      <c r="E4409">
        <v>0</v>
      </c>
    </row>
    <row r="4410" spans="3:5">
      <c r="C4410" t="s">
        <v>15</v>
      </c>
      <c r="D4410" t="s">
        <v>16</v>
      </c>
      <c r="E4410">
        <v>0</v>
      </c>
    </row>
    <row r="4411" spans="3:5">
      <c r="C4411" t="s">
        <v>15</v>
      </c>
      <c r="D4411" t="s">
        <v>16</v>
      </c>
      <c r="E4411">
        <v>0</v>
      </c>
    </row>
    <row r="4412" spans="3:5">
      <c r="C4412" t="s">
        <v>17</v>
      </c>
      <c r="D4412" t="s">
        <v>18</v>
      </c>
      <c r="E4412">
        <v>0</v>
      </c>
    </row>
    <row r="4413" spans="3:5">
      <c r="C4413" t="s">
        <v>17</v>
      </c>
      <c r="D4413" t="s">
        <v>18</v>
      </c>
      <c r="E4413">
        <v>0</v>
      </c>
    </row>
    <row r="4414" spans="3:5">
      <c r="C4414" t="s">
        <v>17</v>
      </c>
      <c r="D4414" t="s">
        <v>18</v>
      </c>
      <c r="E4414">
        <v>0</v>
      </c>
    </row>
    <row r="4415" spans="3:5">
      <c r="C4415" t="s">
        <v>15</v>
      </c>
      <c r="D4415" t="s">
        <v>16</v>
      </c>
      <c r="E4415">
        <v>0</v>
      </c>
    </row>
    <row r="4416" spans="3:5">
      <c r="C4416" t="s">
        <v>17</v>
      </c>
      <c r="D4416" t="s">
        <v>18</v>
      </c>
      <c r="E4416">
        <v>0</v>
      </c>
    </row>
    <row r="4417" spans="3:5">
      <c r="C4417" t="s">
        <v>17</v>
      </c>
      <c r="D4417" t="s">
        <v>18</v>
      </c>
      <c r="E4417">
        <v>0</v>
      </c>
    </row>
    <row r="4418" spans="3:5">
      <c r="C4418" t="s">
        <v>15</v>
      </c>
      <c r="D4418" t="s">
        <v>16</v>
      </c>
      <c r="E4418">
        <v>0</v>
      </c>
    </row>
    <row r="4419" spans="3:5">
      <c r="C4419" t="s">
        <v>17</v>
      </c>
      <c r="D4419" t="s">
        <v>18</v>
      </c>
      <c r="E4419">
        <v>0</v>
      </c>
    </row>
    <row r="4420" spans="3:5">
      <c r="C4420" t="s">
        <v>17</v>
      </c>
      <c r="D4420" t="s">
        <v>18</v>
      </c>
      <c r="E4420">
        <v>0</v>
      </c>
    </row>
    <row r="4421" spans="3:5">
      <c r="C4421" t="s">
        <v>17</v>
      </c>
      <c r="D4421" t="s">
        <v>18</v>
      </c>
      <c r="E4421">
        <v>0</v>
      </c>
    </row>
    <row r="4422" spans="3:5">
      <c r="C4422" t="s">
        <v>17</v>
      </c>
      <c r="D4422" t="s">
        <v>18</v>
      </c>
      <c r="E4422">
        <v>0</v>
      </c>
    </row>
    <row r="4423" spans="3:5">
      <c r="C4423" t="s">
        <v>17</v>
      </c>
      <c r="D4423" t="s">
        <v>18</v>
      </c>
      <c r="E4423">
        <v>0</v>
      </c>
    </row>
    <row r="4424" spans="3:5">
      <c r="C4424" t="s">
        <v>15</v>
      </c>
      <c r="D4424" t="s">
        <v>16</v>
      </c>
      <c r="E4424">
        <v>0</v>
      </c>
    </row>
    <row r="4425" spans="3:5">
      <c r="C4425" t="s">
        <v>17</v>
      </c>
      <c r="D4425" t="s">
        <v>18</v>
      </c>
      <c r="E4425">
        <v>0</v>
      </c>
    </row>
    <row r="4426" spans="3:5">
      <c r="C4426" t="s">
        <v>15</v>
      </c>
      <c r="D4426" t="s">
        <v>16</v>
      </c>
      <c r="E4426">
        <v>0</v>
      </c>
    </row>
    <row r="4427" spans="3:5">
      <c r="C4427" t="s">
        <v>17</v>
      </c>
      <c r="D4427" t="s">
        <v>18</v>
      </c>
      <c r="E4427">
        <v>0</v>
      </c>
    </row>
    <row r="4428" spans="3:5">
      <c r="C4428" t="s">
        <v>17</v>
      </c>
      <c r="D4428" t="s">
        <v>18</v>
      </c>
      <c r="E4428">
        <v>0</v>
      </c>
    </row>
    <row r="4429" spans="3:5">
      <c r="C4429" t="s">
        <v>15</v>
      </c>
      <c r="D4429" t="s">
        <v>16</v>
      </c>
      <c r="E4429">
        <v>0</v>
      </c>
    </row>
    <row r="4430" spans="3:5">
      <c r="C4430" t="s">
        <v>17</v>
      </c>
      <c r="D4430" t="s">
        <v>18</v>
      </c>
      <c r="E4430">
        <v>0</v>
      </c>
    </row>
    <row r="4431" spans="3:5">
      <c r="C4431" t="s">
        <v>15</v>
      </c>
      <c r="D4431" t="s">
        <v>16</v>
      </c>
      <c r="E4431">
        <v>0</v>
      </c>
    </row>
    <row r="4432" spans="3:5">
      <c r="C4432" t="s">
        <v>17</v>
      </c>
      <c r="D4432" t="s">
        <v>18</v>
      </c>
      <c r="E4432">
        <v>0</v>
      </c>
    </row>
    <row r="4433" spans="3:5">
      <c r="C4433" t="s">
        <v>17</v>
      </c>
      <c r="D4433" t="s">
        <v>18</v>
      </c>
      <c r="E4433">
        <v>0</v>
      </c>
    </row>
    <row r="4434" spans="3:5">
      <c r="C4434" t="s">
        <v>15</v>
      </c>
      <c r="D4434" t="s">
        <v>16</v>
      </c>
      <c r="E4434">
        <v>0</v>
      </c>
    </row>
    <row r="4435" spans="3:5">
      <c r="C4435" t="s">
        <v>17</v>
      </c>
      <c r="D4435" t="s">
        <v>18</v>
      </c>
      <c r="E4435">
        <v>0</v>
      </c>
    </row>
    <row r="4436" spans="3:5">
      <c r="C4436" t="s">
        <v>17</v>
      </c>
      <c r="D4436" t="s">
        <v>18</v>
      </c>
      <c r="E4436">
        <v>0</v>
      </c>
    </row>
    <row r="4437" spans="3:5">
      <c r="C4437" t="s">
        <v>15</v>
      </c>
      <c r="D4437" t="s">
        <v>16</v>
      </c>
      <c r="E4437">
        <v>0</v>
      </c>
    </row>
    <row r="4438" spans="3:5">
      <c r="C4438" t="s">
        <v>15</v>
      </c>
      <c r="D4438" t="s">
        <v>16</v>
      </c>
      <c r="E4438">
        <v>0</v>
      </c>
    </row>
    <row r="4439" spans="3:5">
      <c r="C4439" t="s">
        <v>15</v>
      </c>
      <c r="D4439" t="s">
        <v>16</v>
      </c>
      <c r="E4439">
        <v>0</v>
      </c>
    </row>
    <row r="4440" spans="3:5">
      <c r="C4440" t="s">
        <v>17</v>
      </c>
      <c r="D4440" t="s">
        <v>18</v>
      </c>
      <c r="E4440">
        <v>0</v>
      </c>
    </row>
    <row r="4441" spans="3:5">
      <c r="C4441" t="s">
        <v>15</v>
      </c>
      <c r="D4441" t="s">
        <v>16</v>
      </c>
      <c r="E4441">
        <v>0</v>
      </c>
    </row>
    <row r="4442" spans="3:5">
      <c r="C4442" t="s">
        <v>17</v>
      </c>
      <c r="D4442" t="s">
        <v>18</v>
      </c>
      <c r="E4442">
        <v>0</v>
      </c>
    </row>
    <row r="4443" spans="3:5">
      <c r="C4443" t="s">
        <v>15</v>
      </c>
      <c r="D4443" t="s">
        <v>16</v>
      </c>
      <c r="E4443">
        <v>0</v>
      </c>
    </row>
    <row r="4444" spans="3:5">
      <c r="C4444" t="s">
        <v>17</v>
      </c>
      <c r="D4444" t="s">
        <v>18</v>
      </c>
      <c r="E4444">
        <v>0</v>
      </c>
    </row>
    <row r="4445" spans="3:5">
      <c r="C4445" t="s">
        <v>15</v>
      </c>
      <c r="D4445" t="s">
        <v>16</v>
      </c>
      <c r="E4445">
        <v>0</v>
      </c>
    </row>
    <row r="4446" spans="3:5">
      <c r="C4446" t="s">
        <v>17</v>
      </c>
      <c r="D4446" t="s">
        <v>18</v>
      </c>
      <c r="E4446">
        <v>0</v>
      </c>
    </row>
    <row r="4447" spans="3:5">
      <c r="C4447" t="s">
        <v>15</v>
      </c>
      <c r="D4447" t="s">
        <v>16</v>
      </c>
      <c r="E4447">
        <v>0</v>
      </c>
    </row>
    <row r="4448" spans="3:5">
      <c r="C4448" t="s">
        <v>17</v>
      </c>
      <c r="D4448" t="s">
        <v>18</v>
      </c>
      <c r="E4448">
        <v>0</v>
      </c>
    </row>
    <row r="4449" spans="3:5">
      <c r="C4449" t="s">
        <v>15</v>
      </c>
      <c r="D4449" t="s">
        <v>16</v>
      </c>
      <c r="E4449">
        <v>0</v>
      </c>
    </row>
    <row r="4450" spans="3:5">
      <c r="C4450" t="s">
        <v>15</v>
      </c>
      <c r="D4450" t="s">
        <v>16</v>
      </c>
      <c r="E4450">
        <v>0</v>
      </c>
    </row>
    <row r="4451" spans="3:5">
      <c r="C4451" t="s">
        <v>15</v>
      </c>
      <c r="D4451" t="s">
        <v>16</v>
      </c>
      <c r="E4451">
        <v>0</v>
      </c>
    </row>
    <row r="4452" spans="3:5">
      <c r="C4452" t="s">
        <v>17</v>
      </c>
      <c r="D4452" t="s">
        <v>18</v>
      </c>
      <c r="E4452">
        <v>0</v>
      </c>
    </row>
    <row r="4453" spans="3:5">
      <c r="C4453" t="s">
        <v>17</v>
      </c>
      <c r="D4453" t="s">
        <v>18</v>
      </c>
      <c r="E4453">
        <v>0</v>
      </c>
    </row>
    <row r="4454" spans="3:5">
      <c r="C4454" t="s">
        <v>17</v>
      </c>
      <c r="D4454" t="s">
        <v>18</v>
      </c>
      <c r="E4454">
        <v>0</v>
      </c>
    </row>
    <row r="4455" spans="3:5">
      <c r="C4455" t="s">
        <v>15</v>
      </c>
      <c r="D4455" t="s">
        <v>16</v>
      </c>
      <c r="E4455">
        <v>0</v>
      </c>
    </row>
    <row r="4456" spans="3:5">
      <c r="C4456" t="s">
        <v>17</v>
      </c>
      <c r="D4456" t="s">
        <v>18</v>
      </c>
      <c r="E4456">
        <v>0</v>
      </c>
    </row>
    <row r="4457" spans="3:5">
      <c r="C4457" t="s">
        <v>17</v>
      </c>
      <c r="D4457" t="s">
        <v>18</v>
      </c>
      <c r="E4457">
        <v>0</v>
      </c>
    </row>
    <row r="4458" spans="3:5">
      <c r="C4458" t="s">
        <v>17</v>
      </c>
      <c r="D4458" t="s">
        <v>18</v>
      </c>
      <c r="E4458">
        <v>0</v>
      </c>
    </row>
    <row r="4459" spans="3:5">
      <c r="C4459" t="s">
        <v>15</v>
      </c>
      <c r="D4459" t="s">
        <v>16</v>
      </c>
      <c r="E4459">
        <v>0</v>
      </c>
    </row>
    <row r="4460" spans="3:5">
      <c r="C4460" t="s">
        <v>17</v>
      </c>
      <c r="D4460" t="s">
        <v>18</v>
      </c>
      <c r="E4460">
        <v>0</v>
      </c>
    </row>
    <row r="4461" spans="3:5">
      <c r="C4461" t="s">
        <v>15</v>
      </c>
      <c r="D4461" t="s">
        <v>16</v>
      </c>
      <c r="E4461">
        <v>0</v>
      </c>
    </row>
    <row r="4462" spans="3:5">
      <c r="C4462" t="s">
        <v>17</v>
      </c>
      <c r="D4462" t="s">
        <v>18</v>
      </c>
      <c r="E4462">
        <v>0</v>
      </c>
    </row>
    <row r="4463" spans="3:5">
      <c r="C4463" t="s">
        <v>15</v>
      </c>
      <c r="D4463" t="s">
        <v>16</v>
      </c>
      <c r="E4463">
        <v>0</v>
      </c>
    </row>
    <row r="4464" spans="3:5">
      <c r="C4464" t="s">
        <v>15</v>
      </c>
      <c r="D4464" t="s">
        <v>16</v>
      </c>
      <c r="E4464">
        <v>0</v>
      </c>
    </row>
    <row r="4465" spans="3:5">
      <c r="C4465" t="s">
        <v>15</v>
      </c>
      <c r="D4465" t="s">
        <v>16</v>
      </c>
      <c r="E4465">
        <v>0</v>
      </c>
    </row>
    <row r="4466" spans="3:5">
      <c r="C4466" t="s">
        <v>15</v>
      </c>
      <c r="D4466" t="s">
        <v>16</v>
      </c>
      <c r="E4466">
        <v>0</v>
      </c>
    </row>
    <row r="4467" spans="3:5">
      <c r="C4467" t="s">
        <v>15</v>
      </c>
      <c r="D4467" t="s">
        <v>16</v>
      </c>
      <c r="E4467">
        <v>1</v>
      </c>
    </row>
    <row r="4468" spans="3:5">
      <c r="C4468" t="s">
        <v>17</v>
      </c>
      <c r="D4468" t="s">
        <v>18</v>
      </c>
      <c r="E4468">
        <v>0</v>
      </c>
    </row>
    <row r="4469" spans="3:5">
      <c r="C4469" t="s">
        <v>17</v>
      </c>
      <c r="D4469" t="s">
        <v>18</v>
      </c>
      <c r="E4469">
        <v>0</v>
      </c>
    </row>
    <row r="4470" spans="3:5">
      <c r="C4470" t="s">
        <v>15</v>
      </c>
      <c r="D4470" t="s">
        <v>16</v>
      </c>
      <c r="E4470">
        <v>0</v>
      </c>
    </row>
    <row r="4471" spans="3:5">
      <c r="C4471" t="s">
        <v>17</v>
      </c>
      <c r="D4471" t="s">
        <v>18</v>
      </c>
      <c r="E4471">
        <v>0</v>
      </c>
    </row>
    <row r="4472" spans="3:5">
      <c r="C4472" t="s">
        <v>17</v>
      </c>
      <c r="D4472" t="s">
        <v>18</v>
      </c>
      <c r="E4472">
        <v>0</v>
      </c>
    </row>
    <row r="4473" spans="3:5">
      <c r="C4473" t="s">
        <v>17</v>
      </c>
      <c r="D4473" t="s">
        <v>18</v>
      </c>
      <c r="E4473">
        <v>0</v>
      </c>
    </row>
    <row r="4474" spans="3:5">
      <c r="C4474" t="s">
        <v>15</v>
      </c>
      <c r="D4474" t="s">
        <v>16</v>
      </c>
      <c r="E4474">
        <v>0</v>
      </c>
    </row>
    <row r="4475" spans="3:5">
      <c r="C4475" t="s">
        <v>17</v>
      </c>
      <c r="D4475" t="s">
        <v>18</v>
      </c>
      <c r="E4475">
        <v>0</v>
      </c>
    </row>
    <row r="4476" spans="3:5">
      <c r="C4476" t="s">
        <v>17</v>
      </c>
      <c r="D4476" t="s">
        <v>18</v>
      </c>
      <c r="E4476">
        <v>0</v>
      </c>
    </row>
    <row r="4477" spans="3:5">
      <c r="C4477" t="s">
        <v>17</v>
      </c>
      <c r="D4477" t="s">
        <v>18</v>
      </c>
      <c r="E4477">
        <v>0</v>
      </c>
    </row>
    <row r="4478" spans="3:5">
      <c r="C4478" t="s">
        <v>17</v>
      </c>
      <c r="D4478" t="s">
        <v>18</v>
      </c>
      <c r="E4478">
        <v>0</v>
      </c>
    </row>
    <row r="4479" spans="3:5">
      <c r="C4479" t="s">
        <v>17</v>
      </c>
      <c r="D4479" t="s">
        <v>18</v>
      </c>
      <c r="E4479">
        <v>0</v>
      </c>
    </row>
    <row r="4480" spans="3:5">
      <c r="C4480" t="s">
        <v>15</v>
      </c>
      <c r="D4480" t="s">
        <v>16</v>
      </c>
      <c r="E4480">
        <v>0</v>
      </c>
    </row>
    <row r="4481" spans="3:5">
      <c r="C4481" t="s">
        <v>15</v>
      </c>
      <c r="D4481" t="s">
        <v>16</v>
      </c>
      <c r="E4481">
        <v>0</v>
      </c>
    </row>
    <row r="4482" spans="3:5">
      <c r="C4482" t="s">
        <v>15</v>
      </c>
      <c r="D4482" t="s">
        <v>16</v>
      </c>
      <c r="E4482">
        <v>0</v>
      </c>
    </row>
    <row r="4483" spans="3:5">
      <c r="C4483" t="s">
        <v>15</v>
      </c>
      <c r="D4483" t="s">
        <v>16</v>
      </c>
      <c r="E4483">
        <v>0</v>
      </c>
    </row>
    <row r="4484" spans="3:5">
      <c r="C4484" t="s">
        <v>17</v>
      </c>
      <c r="D4484" t="s">
        <v>18</v>
      </c>
      <c r="E4484">
        <v>0</v>
      </c>
    </row>
    <row r="4485" spans="3:5">
      <c r="C4485" t="s">
        <v>15</v>
      </c>
      <c r="D4485" t="s">
        <v>16</v>
      </c>
      <c r="E4485">
        <v>0</v>
      </c>
    </row>
    <row r="4486" spans="3:5">
      <c r="C4486" t="s">
        <v>15</v>
      </c>
      <c r="D4486" t="s">
        <v>16</v>
      </c>
      <c r="E4486">
        <v>0</v>
      </c>
    </row>
    <row r="4487" spans="3:5">
      <c r="C4487" t="s">
        <v>15</v>
      </c>
      <c r="D4487" t="s">
        <v>16</v>
      </c>
      <c r="E4487">
        <v>0</v>
      </c>
    </row>
    <row r="4488" spans="3:5">
      <c r="C4488" t="s">
        <v>17</v>
      </c>
      <c r="D4488" t="s">
        <v>18</v>
      </c>
      <c r="E4488">
        <v>0</v>
      </c>
    </row>
    <row r="4489" spans="3:5">
      <c r="C4489" t="s">
        <v>17</v>
      </c>
      <c r="D4489" t="s">
        <v>18</v>
      </c>
      <c r="E4489">
        <v>0</v>
      </c>
    </row>
    <row r="4490" spans="3:5">
      <c r="C4490" t="s">
        <v>17</v>
      </c>
      <c r="D4490" t="s">
        <v>18</v>
      </c>
      <c r="E4490">
        <v>0</v>
      </c>
    </row>
    <row r="4491" spans="3:5">
      <c r="C4491" t="s">
        <v>17</v>
      </c>
      <c r="D4491" t="s">
        <v>18</v>
      </c>
      <c r="E4491">
        <v>0</v>
      </c>
    </row>
    <row r="4492" spans="3:5">
      <c r="C4492" t="s">
        <v>17</v>
      </c>
      <c r="D4492" t="s">
        <v>18</v>
      </c>
      <c r="E4492">
        <v>0</v>
      </c>
    </row>
    <row r="4493" spans="3:5">
      <c r="C4493" t="s">
        <v>17</v>
      </c>
      <c r="D4493" t="s">
        <v>18</v>
      </c>
      <c r="E4493">
        <v>0</v>
      </c>
    </row>
    <row r="4494" spans="3:5">
      <c r="C4494" t="s">
        <v>17</v>
      </c>
      <c r="D4494" t="s">
        <v>18</v>
      </c>
      <c r="E4494">
        <v>0</v>
      </c>
    </row>
    <row r="4495" spans="3:5">
      <c r="C4495" t="s">
        <v>17</v>
      </c>
      <c r="D4495" t="s">
        <v>18</v>
      </c>
      <c r="E4495">
        <v>0</v>
      </c>
    </row>
    <row r="4496" spans="3:5">
      <c r="C4496" t="s">
        <v>17</v>
      </c>
      <c r="D4496" t="s">
        <v>18</v>
      </c>
      <c r="E4496">
        <v>0</v>
      </c>
    </row>
    <row r="4497" spans="3:5">
      <c r="C4497" t="s">
        <v>15</v>
      </c>
      <c r="D4497" t="s">
        <v>16</v>
      </c>
      <c r="E4497">
        <v>0</v>
      </c>
    </row>
    <row r="4498" spans="3:5">
      <c r="C4498" t="s">
        <v>17</v>
      </c>
      <c r="D4498" t="s">
        <v>18</v>
      </c>
      <c r="E4498">
        <v>0</v>
      </c>
    </row>
    <row r="4499" spans="3:5">
      <c r="C4499" t="s">
        <v>15</v>
      </c>
      <c r="D4499" t="s">
        <v>16</v>
      </c>
      <c r="E4499">
        <v>0</v>
      </c>
    </row>
    <row r="4500" spans="3:5">
      <c r="C4500" t="s">
        <v>17</v>
      </c>
      <c r="D4500" t="s">
        <v>18</v>
      </c>
      <c r="E4500">
        <v>0</v>
      </c>
    </row>
    <row r="4501" spans="3:5">
      <c r="C4501" t="s">
        <v>17</v>
      </c>
      <c r="D4501" t="s">
        <v>18</v>
      </c>
      <c r="E4501">
        <v>0</v>
      </c>
    </row>
    <row r="4502" spans="3:5">
      <c r="C4502" t="s">
        <v>15</v>
      </c>
      <c r="D4502" t="s">
        <v>16</v>
      </c>
      <c r="E4502">
        <v>0</v>
      </c>
    </row>
    <row r="4503" spans="3:5">
      <c r="C4503" t="s">
        <v>17</v>
      </c>
      <c r="D4503" t="s">
        <v>18</v>
      </c>
      <c r="E4503">
        <v>0</v>
      </c>
    </row>
    <row r="4504" spans="3:5">
      <c r="C4504" t="s">
        <v>17</v>
      </c>
      <c r="D4504" t="s">
        <v>18</v>
      </c>
      <c r="E4504">
        <v>0</v>
      </c>
    </row>
    <row r="4505" spans="3:5">
      <c r="C4505" t="s">
        <v>17</v>
      </c>
      <c r="D4505" t="s">
        <v>18</v>
      </c>
      <c r="E4505">
        <v>1</v>
      </c>
    </row>
    <row r="4506" spans="3:5">
      <c r="C4506" t="s">
        <v>15</v>
      </c>
      <c r="D4506" t="s">
        <v>16</v>
      </c>
      <c r="E4506">
        <v>0</v>
      </c>
    </row>
    <row r="4507" spans="3:5">
      <c r="C4507" t="s">
        <v>17</v>
      </c>
      <c r="D4507" t="s">
        <v>18</v>
      </c>
      <c r="E4507">
        <v>0</v>
      </c>
    </row>
    <row r="4508" spans="3:5">
      <c r="C4508" t="s">
        <v>17</v>
      </c>
      <c r="D4508" t="s">
        <v>18</v>
      </c>
      <c r="E4508">
        <v>0</v>
      </c>
    </row>
    <row r="4509" spans="3:5">
      <c r="C4509" t="s">
        <v>15</v>
      </c>
      <c r="D4509" t="s">
        <v>16</v>
      </c>
      <c r="E4509">
        <v>0</v>
      </c>
    </row>
    <row r="4510" spans="3:5">
      <c r="C4510" t="s">
        <v>17</v>
      </c>
      <c r="D4510" t="s">
        <v>18</v>
      </c>
      <c r="E4510">
        <v>0</v>
      </c>
    </row>
    <row r="4511" spans="3:5">
      <c r="C4511" t="s">
        <v>15</v>
      </c>
      <c r="D4511" t="s">
        <v>16</v>
      </c>
      <c r="E4511">
        <v>0</v>
      </c>
    </row>
    <row r="4512" spans="3:5">
      <c r="C4512" t="s">
        <v>17</v>
      </c>
      <c r="D4512" t="s">
        <v>18</v>
      </c>
      <c r="E4512">
        <v>0</v>
      </c>
    </row>
    <row r="4513" spans="3:5">
      <c r="C4513" t="s">
        <v>15</v>
      </c>
      <c r="D4513" t="s">
        <v>16</v>
      </c>
      <c r="E4513">
        <v>0</v>
      </c>
    </row>
    <row r="4514" spans="3:5">
      <c r="C4514" t="s">
        <v>17</v>
      </c>
      <c r="D4514" t="s">
        <v>18</v>
      </c>
      <c r="E4514">
        <v>0</v>
      </c>
    </row>
    <row r="4515" spans="3:5">
      <c r="C4515" t="s">
        <v>17</v>
      </c>
      <c r="D4515" t="s">
        <v>18</v>
      </c>
      <c r="E4515">
        <v>0</v>
      </c>
    </row>
    <row r="4516" spans="3:5">
      <c r="C4516" t="s">
        <v>17</v>
      </c>
      <c r="D4516" t="s">
        <v>18</v>
      </c>
      <c r="E4516">
        <v>0</v>
      </c>
    </row>
    <row r="4517" spans="3:5">
      <c r="C4517" t="s">
        <v>17</v>
      </c>
      <c r="D4517" t="s">
        <v>18</v>
      </c>
      <c r="E4517">
        <v>0</v>
      </c>
    </row>
    <row r="4518" spans="3:5">
      <c r="C4518" t="s">
        <v>15</v>
      </c>
      <c r="D4518" t="s">
        <v>16</v>
      </c>
      <c r="E4518">
        <v>0</v>
      </c>
    </row>
    <row r="4519" spans="3:5">
      <c r="C4519" t="s">
        <v>15</v>
      </c>
      <c r="D4519" t="s">
        <v>16</v>
      </c>
      <c r="E4519">
        <v>0</v>
      </c>
    </row>
    <row r="4520" spans="3:5">
      <c r="C4520" t="s">
        <v>15</v>
      </c>
      <c r="D4520" t="s">
        <v>16</v>
      </c>
      <c r="E4520">
        <v>0</v>
      </c>
    </row>
    <row r="4521" spans="3:5">
      <c r="C4521" t="s">
        <v>15</v>
      </c>
      <c r="D4521" t="s">
        <v>16</v>
      </c>
      <c r="E4521">
        <v>1</v>
      </c>
    </row>
    <row r="4522" spans="3:5">
      <c r="C4522" t="s">
        <v>15</v>
      </c>
      <c r="D4522" t="s">
        <v>16</v>
      </c>
      <c r="E4522">
        <v>0</v>
      </c>
    </row>
    <row r="4523" spans="3:5">
      <c r="C4523" t="s">
        <v>17</v>
      </c>
      <c r="D4523" t="s">
        <v>18</v>
      </c>
      <c r="E4523">
        <v>0</v>
      </c>
    </row>
    <row r="4524" spans="3:5">
      <c r="C4524" t="s">
        <v>17</v>
      </c>
      <c r="D4524" t="s">
        <v>18</v>
      </c>
      <c r="E4524">
        <v>0</v>
      </c>
    </row>
    <row r="4525" spans="3:5">
      <c r="C4525" t="s">
        <v>15</v>
      </c>
      <c r="D4525" t="s">
        <v>16</v>
      </c>
      <c r="E4525">
        <v>1</v>
      </c>
    </row>
    <row r="4526" spans="3:5">
      <c r="C4526" t="s">
        <v>15</v>
      </c>
      <c r="D4526" t="s">
        <v>16</v>
      </c>
      <c r="E4526">
        <v>0</v>
      </c>
    </row>
    <row r="4527" spans="3:5">
      <c r="C4527" t="s">
        <v>15</v>
      </c>
      <c r="D4527" t="s">
        <v>16</v>
      </c>
      <c r="E4527">
        <v>0</v>
      </c>
    </row>
    <row r="4528" spans="3:5">
      <c r="C4528" t="s">
        <v>15</v>
      </c>
      <c r="D4528" t="s">
        <v>16</v>
      </c>
      <c r="E4528">
        <v>0</v>
      </c>
    </row>
    <row r="4529" spans="3:5">
      <c r="C4529" t="s">
        <v>15</v>
      </c>
      <c r="D4529" t="s">
        <v>16</v>
      </c>
      <c r="E4529">
        <v>0</v>
      </c>
    </row>
    <row r="4530" spans="3:5">
      <c r="C4530" t="s">
        <v>17</v>
      </c>
      <c r="D4530" t="s">
        <v>18</v>
      </c>
      <c r="E4530">
        <v>0</v>
      </c>
    </row>
    <row r="4531" spans="3:5">
      <c r="C4531" t="s">
        <v>15</v>
      </c>
      <c r="D4531" t="s">
        <v>16</v>
      </c>
      <c r="E4531">
        <v>0</v>
      </c>
    </row>
    <row r="4532" spans="3:5">
      <c r="C4532" t="s">
        <v>17</v>
      </c>
      <c r="D4532" t="s">
        <v>18</v>
      </c>
      <c r="E4532">
        <v>0</v>
      </c>
    </row>
    <row r="4533" spans="3:5">
      <c r="C4533" t="s">
        <v>15</v>
      </c>
      <c r="D4533" t="s">
        <v>16</v>
      </c>
      <c r="E4533">
        <v>0</v>
      </c>
    </row>
    <row r="4534" spans="3:5">
      <c r="C4534" t="s">
        <v>17</v>
      </c>
      <c r="D4534" t="s">
        <v>18</v>
      </c>
      <c r="E4534">
        <v>0</v>
      </c>
    </row>
    <row r="4535" spans="3:5">
      <c r="C4535" t="s">
        <v>15</v>
      </c>
      <c r="D4535" t="s">
        <v>16</v>
      </c>
      <c r="E4535">
        <v>1</v>
      </c>
    </row>
    <row r="4536" spans="3:5">
      <c r="C4536" t="s">
        <v>15</v>
      </c>
      <c r="D4536" t="s">
        <v>16</v>
      </c>
      <c r="E4536">
        <v>0</v>
      </c>
    </row>
    <row r="4537" spans="3:5">
      <c r="C4537" t="s">
        <v>17</v>
      </c>
      <c r="D4537" t="s">
        <v>18</v>
      </c>
      <c r="E4537">
        <v>0</v>
      </c>
    </row>
    <row r="4538" spans="3:5">
      <c r="C4538" t="s">
        <v>17</v>
      </c>
      <c r="D4538" t="s">
        <v>18</v>
      </c>
      <c r="E4538">
        <v>0</v>
      </c>
    </row>
    <row r="4539" spans="3:5">
      <c r="C4539" t="s">
        <v>15</v>
      </c>
      <c r="D4539" t="s">
        <v>16</v>
      </c>
      <c r="E4539">
        <v>0</v>
      </c>
    </row>
    <row r="4540" spans="3:5">
      <c r="C4540" t="s">
        <v>17</v>
      </c>
      <c r="D4540" t="s">
        <v>18</v>
      </c>
      <c r="E4540">
        <v>0</v>
      </c>
    </row>
    <row r="4541" spans="3:5">
      <c r="C4541" t="s">
        <v>15</v>
      </c>
      <c r="D4541" t="s">
        <v>16</v>
      </c>
      <c r="E4541">
        <v>0</v>
      </c>
    </row>
    <row r="4542" spans="3:5">
      <c r="C4542" t="s">
        <v>17</v>
      </c>
      <c r="D4542" t="s">
        <v>18</v>
      </c>
      <c r="E4542">
        <v>0</v>
      </c>
    </row>
    <row r="4543" spans="3:5">
      <c r="C4543" t="s">
        <v>17</v>
      </c>
      <c r="D4543" t="s">
        <v>18</v>
      </c>
      <c r="E4543">
        <v>0</v>
      </c>
    </row>
    <row r="4544" spans="3:5">
      <c r="C4544" t="s">
        <v>15</v>
      </c>
      <c r="D4544" t="s">
        <v>16</v>
      </c>
      <c r="E4544">
        <v>0</v>
      </c>
    </row>
    <row r="4545" spans="3:5">
      <c r="C4545" t="s">
        <v>15</v>
      </c>
      <c r="D4545" t="s">
        <v>16</v>
      </c>
      <c r="E4545">
        <v>0</v>
      </c>
    </row>
    <row r="4546" spans="3:5">
      <c r="C4546" t="s">
        <v>17</v>
      </c>
      <c r="D4546" t="s">
        <v>18</v>
      </c>
      <c r="E4546">
        <v>0</v>
      </c>
    </row>
    <row r="4547" spans="3:5">
      <c r="C4547" t="s">
        <v>17</v>
      </c>
      <c r="D4547" t="s">
        <v>18</v>
      </c>
      <c r="E4547">
        <v>0</v>
      </c>
    </row>
    <row r="4548" spans="3:5">
      <c r="C4548" t="s">
        <v>17</v>
      </c>
      <c r="D4548" t="s">
        <v>18</v>
      </c>
      <c r="E4548">
        <v>0</v>
      </c>
    </row>
    <row r="4549" spans="3:5">
      <c r="C4549" t="s">
        <v>17</v>
      </c>
      <c r="D4549" t="s">
        <v>18</v>
      </c>
      <c r="E4549">
        <v>0</v>
      </c>
    </row>
    <row r="4550" spans="3:5">
      <c r="C4550" t="s">
        <v>15</v>
      </c>
      <c r="D4550" t="s">
        <v>16</v>
      </c>
      <c r="E4550">
        <v>0</v>
      </c>
    </row>
    <row r="4551" spans="3:5">
      <c r="C4551" t="s">
        <v>15</v>
      </c>
      <c r="D4551" t="s">
        <v>16</v>
      </c>
      <c r="E4551">
        <v>0</v>
      </c>
    </row>
    <row r="4552" spans="3:5">
      <c r="C4552" t="s">
        <v>15</v>
      </c>
      <c r="D4552" t="s">
        <v>16</v>
      </c>
      <c r="E4552">
        <v>0</v>
      </c>
    </row>
    <row r="4553" spans="3:5">
      <c r="C4553" t="s">
        <v>15</v>
      </c>
      <c r="D4553" t="s">
        <v>16</v>
      </c>
      <c r="E4553">
        <v>0</v>
      </c>
    </row>
    <row r="4554" spans="3:5">
      <c r="C4554" t="s">
        <v>15</v>
      </c>
      <c r="D4554" t="s">
        <v>16</v>
      </c>
      <c r="E4554">
        <v>0</v>
      </c>
    </row>
    <row r="4555" spans="3:5">
      <c r="C4555" t="s">
        <v>17</v>
      </c>
      <c r="D4555" t="s">
        <v>18</v>
      </c>
      <c r="E4555">
        <v>1</v>
      </c>
    </row>
    <row r="4556" spans="3:5">
      <c r="C4556" t="s">
        <v>15</v>
      </c>
      <c r="D4556" t="s">
        <v>16</v>
      </c>
      <c r="E4556">
        <v>0</v>
      </c>
    </row>
    <row r="4557" spans="3:5">
      <c r="C4557" t="s">
        <v>17</v>
      </c>
      <c r="D4557" t="s">
        <v>18</v>
      </c>
      <c r="E4557">
        <v>0</v>
      </c>
    </row>
    <row r="4558" spans="3:5">
      <c r="C4558" t="s">
        <v>17</v>
      </c>
      <c r="D4558" t="s">
        <v>18</v>
      </c>
      <c r="E4558">
        <v>0</v>
      </c>
    </row>
    <row r="4559" spans="3:5">
      <c r="C4559" t="s">
        <v>17</v>
      </c>
      <c r="D4559" t="s">
        <v>18</v>
      </c>
      <c r="E4559">
        <v>0</v>
      </c>
    </row>
    <row r="4560" spans="3:5">
      <c r="C4560" t="s">
        <v>15</v>
      </c>
      <c r="D4560" t="s">
        <v>16</v>
      </c>
      <c r="E4560">
        <v>0</v>
      </c>
    </row>
    <row r="4561" spans="3:5">
      <c r="C4561" t="s">
        <v>15</v>
      </c>
      <c r="D4561" t="s">
        <v>16</v>
      </c>
      <c r="E4561">
        <v>0</v>
      </c>
    </row>
    <row r="4562" spans="3:5">
      <c r="C4562" t="s">
        <v>15</v>
      </c>
      <c r="D4562" t="s">
        <v>16</v>
      </c>
      <c r="E4562">
        <v>0</v>
      </c>
    </row>
    <row r="4563" spans="3:5">
      <c r="C4563" t="s">
        <v>17</v>
      </c>
      <c r="D4563" t="s">
        <v>18</v>
      </c>
      <c r="E4563">
        <v>0</v>
      </c>
    </row>
    <row r="4564" spans="3:5">
      <c r="C4564" t="s">
        <v>17</v>
      </c>
      <c r="D4564" t="s">
        <v>18</v>
      </c>
      <c r="E4564">
        <v>0</v>
      </c>
    </row>
    <row r="4565" spans="3:5">
      <c r="C4565" t="s">
        <v>15</v>
      </c>
      <c r="D4565" t="s">
        <v>16</v>
      </c>
      <c r="E4565">
        <v>0</v>
      </c>
    </row>
    <row r="4566" spans="3:5">
      <c r="C4566" t="s">
        <v>15</v>
      </c>
      <c r="D4566" t="s">
        <v>16</v>
      </c>
      <c r="E4566">
        <v>0</v>
      </c>
    </row>
    <row r="4567" spans="3:5">
      <c r="C4567" t="s">
        <v>15</v>
      </c>
      <c r="D4567" t="s">
        <v>16</v>
      </c>
      <c r="E4567">
        <v>0</v>
      </c>
    </row>
    <row r="4568" spans="3:5">
      <c r="C4568" t="s">
        <v>17</v>
      </c>
      <c r="D4568" t="s">
        <v>18</v>
      </c>
      <c r="E4568">
        <v>0</v>
      </c>
    </row>
    <row r="4569" spans="3:5">
      <c r="C4569" t="s">
        <v>15</v>
      </c>
      <c r="D4569" t="s">
        <v>16</v>
      </c>
      <c r="E4569">
        <v>0</v>
      </c>
    </row>
    <row r="4570" spans="3:5">
      <c r="C4570" t="s">
        <v>17</v>
      </c>
      <c r="D4570" t="s">
        <v>18</v>
      </c>
      <c r="E4570">
        <v>0</v>
      </c>
    </row>
    <row r="4571" spans="3:5">
      <c r="C4571" t="s">
        <v>15</v>
      </c>
      <c r="D4571" t="s">
        <v>16</v>
      </c>
      <c r="E4571">
        <v>0</v>
      </c>
    </row>
    <row r="4572" spans="3:5">
      <c r="C4572" t="s">
        <v>15</v>
      </c>
      <c r="D4572" t="s">
        <v>16</v>
      </c>
      <c r="E4572">
        <v>0</v>
      </c>
    </row>
    <row r="4573" spans="3:5">
      <c r="C4573" t="s">
        <v>17</v>
      </c>
      <c r="D4573" t="s">
        <v>18</v>
      </c>
      <c r="E4573">
        <v>0</v>
      </c>
    </row>
    <row r="4574" spans="3:5">
      <c r="C4574" t="s">
        <v>17</v>
      </c>
      <c r="D4574" t="s">
        <v>18</v>
      </c>
      <c r="E4574">
        <v>0</v>
      </c>
    </row>
    <row r="4575" spans="3:5">
      <c r="C4575" t="s">
        <v>17</v>
      </c>
      <c r="D4575" t="s">
        <v>18</v>
      </c>
      <c r="E4575">
        <v>0</v>
      </c>
    </row>
    <row r="4576" spans="3:5">
      <c r="C4576" t="s">
        <v>17</v>
      </c>
      <c r="D4576" t="s">
        <v>18</v>
      </c>
      <c r="E4576">
        <v>0</v>
      </c>
    </row>
    <row r="4577" spans="3:5">
      <c r="C4577" t="s">
        <v>17</v>
      </c>
      <c r="D4577" t="s">
        <v>18</v>
      </c>
      <c r="E4577">
        <v>0</v>
      </c>
    </row>
    <row r="4578" spans="3:5">
      <c r="C4578" t="s">
        <v>15</v>
      </c>
      <c r="D4578" t="s">
        <v>16</v>
      </c>
      <c r="E4578">
        <v>0</v>
      </c>
    </row>
    <row r="4579" spans="3:5">
      <c r="C4579" t="s">
        <v>15</v>
      </c>
      <c r="D4579" t="s">
        <v>16</v>
      </c>
      <c r="E4579">
        <v>0</v>
      </c>
    </row>
    <row r="4580" spans="3:5">
      <c r="C4580" t="s">
        <v>17</v>
      </c>
      <c r="D4580" t="s">
        <v>18</v>
      </c>
      <c r="E4580">
        <v>0</v>
      </c>
    </row>
    <row r="4581" spans="3:5">
      <c r="C4581" t="s">
        <v>17</v>
      </c>
      <c r="D4581" t="s">
        <v>18</v>
      </c>
      <c r="E4581">
        <v>0</v>
      </c>
    </row>
    <row r="4582" spans="3:5">
      <c r="C4582" t="s">
        <v>17</v>
      </c>
      <c r="D4582" t="s">
        <v>18</v>
      </c>
      <c r="E4582">
        <v>0</v>
      </c>
    </row>
    <row r="4583" spans="3:5">
      <c r="C4583" t="s">
        <v>15</v>
      </c>
      <c r="D4583" t="s">
        <v>16</v>
      </c>
      <c r="E4583">
        <v>0</v>
      </c>
    </row>
    <row r="4584" spans="3:5">
      <c r="C4584" t="s">
        <v>15</v>
      </c>
      <c r="D4584" t="s">
        <v>16</v>
      </c>
      <c r="E4584">
        <v>0</v>
      </c>
    </row>
    <row r="4585" spans="3:5">
      <c r="C4585" t="s">
        <v>15</v>
      </c>
      <c r="D4585" t="s">
        <v>16</v>
      </c>
      <c r="E4585">
        <v>0</v>
      </c>
    </row>
    <row r="4586" spans="3:5">
      <c r="C4586" t="s">
        <v>15</v>
      </c>
      <c r="D4586" t="s">
        <v>16</v>
      </c>
      <c r="E4586">
        <v>0</v>
      </c>
    </row>
    <row r="4587" spans="3:5">
      <c r="C4587" t="s">
        <v>17</v>
      </c>
      <c r="D4587" t="s">
        <v>18</v>
      </c>
      <c r="E4587">
        <v>0</v>
      </c>
    </row>
    <row r="4588" spans="3:5">
      <c r="C4588" t="s">
        <v>15</v>
      </c>
      <c r="D4588" t="s">
        <v>16</v>
      </c>
      <c r="E4588">
        <v>0</v>
      </c>
    </row>
    <row r="4589" spans="3:5">
      <c r="C4589" t="s">
        <v>17</v>
      </c>
      <c r="D4589" t="s">
        <v>18</v>
      </c>
      <c r="E4589">
        <v>0</v>
      </c>
    </row>
    <row r="4590" spans="3:5">
      <c r="C4590" t="s">
        <v>17</v>
      </c>
      <c r="D4590" t="s">
        <v>18</v>
      </c>
      <c r="E4590">
        <v>0</v>
      </c>
    </row>
    <row r="4591" spans="3:5">
      <c r="C4591" t="s">
        <v>15</v>
      </c>
      <c r="D4591" t="s">
        <v>16</v>
      </c>
      <c r="E4591">
        <v>0</v>
      </c>
    </row>
    <row r="4592" spans="3:5">
      <c r="C4592" t="s">
        <v>15</v>
      </c>
      <c r="D4592" t="s">
        <v>16</v>
      </c>
      <c r="E4592">
        <v>0</v>
      </c>
    </row>
    <row r="4593" spans="3:5">
      <c r="C4593" t="s">
        <v>15</v>
      </c>
      <c r="D4593" t="s">
        <v>16</v>
      </c>
      <c r="E4593">
        <v>0</v>
      </c>
    </row>
    <row r="4594" spans="3:5">
      <c r="C4594" t="s">
        <v>15</v>
      </c>
      <c r="D4594" t="s">
        <v>16</v>
      </c>
      <c r="E4594">
        <v>0</v>
      </c>
    </row>
    <row r="4595" spans="3:5">
      <c r="C4595" t="s">
        <v>15</v>
      </c>
      <c r="D4595" t="s">
        <v>16</v>
      </c>
      <c r="E4595">
        <v>1</v>
      </c>
    </row>
    <row r="4596" spans="3:5">
      <c r="C4596" t="s">
        <v>17</v>
      </c>
      <c r="D4596" t="s">
        <v>18</v>
      </c>
      <c r="E4596">
        <v>1</v>
      </c>
    </row>
    <row r="4597" spans="3:5">
      <c r="C4597" t="s">
        <v>15</v>
      </c>
      <c r="D4597" t="s">
        <v>16</v>
      </c>
      <c r="E4597">
        <v>0</v>
      </c>
    </row>
    <row r="4598" spans="3:5">
      <c r="C4598" t="s">
        <v>15</v>
      </c>
      <c r="D4598" t="s">
        <v>16</v>
      </c>
      <c r="E4598">
        <v>0</v>
      </c>
    </row>
    <row r="4599" spans="3:5">
      <c r="C4599" t="s">
        <v>17</v>
      </c>
      <c r="D4599" t="s">
        <v>18</v>
      </c>
      <c r="E4599">
        <v>0</v>
      </c>
    </row>
    <row r="4600" spans="3:5">
      <c r="C4600" t="s">
        <v>17</v>
      </c>
      <c r="D4600" t="s">
        <v>18</v>
      </c>
      <c r="E4600">
        <v>0</v>
      </c>
    </row>
    <row r="4601" spans="3:5">
      <c r="C4601" t="s">
        <v>15</v>
      </c>
      <c r="D4601" t="s">
        <v>16</v>
      </c>
      <c r="E4601">
        <v>0</v>
      </c>
    </row>
    <row r="4602" spans="3:5">
      <c r="C4602" t="s">
        <v>17</v>
      </c>
      <c r="D4602" t="s">
        <v>18</v>
      </c>
      <c r="E4602">
        <v>0</v>
      </c>
    </row>
    <row r="4603" spans="3:5">
      <c r="C4603" t="s">
        <v>15</v>
      </c>
      <c r="D4603" t="s">
        <v>16</v>
      </c>
      <c r="E4603">
        <v>0</v>
      </c>
    </row>
    <row r="4604" spans="3:5">
      <c r="C4604" t="s">
        <v>17</v>
      </c>
      <c r="D4604" t="s">
        <v>18</v>
      </c>
      <c r="E4604">
        <v>0</v>
      </c>
    </row>
    <row r="4605" spans="3:5">
      <c r="C4605" t="s">
        <v>17</v>
      </c>
      <c r="D4605" t="s">
        <v>18</v>
      </c>
      <c r="E4605">
        <v>0</v>
      </c>
    </row>
    <row r="4606" spans="3:5">
      <c r="C4606" t="s">
        <v>15</v>
      </c>
      <c r="D4606" t="s">
        <v>16</v>
      </c>
      <c r="E4606">
        <v>0</v>
      </c>
    </row>
    <row r="4607" spans="3:5">
      <c r="C4607" t="s">
        <v>17</v>
      </c>
      <c r="D4607" t="s">
        <v>18</v>
      </c>
      <c r="E4607">
        <v>0</v>
      </c>
    </row>
    <row r="4608" spans="3:5">
      <c r="C4608" t="s">
        <v>17</v>
      </c>
      <c r="D4608" t="s">
        <v>18</v>
      </c>
      <c r="E4608">
        <v>0</v>
      </c>
    </row>
    <row r="4609" spans="3:5">
      <c r="C4609" t="s">
        <v>17</v>
      </c>
      <c r="D4609" t="s">
        <v>18</v>
      </c>
      <c r="E4609">
        <v>0</v>
      </c>
    </row>
    <row r="4610" spans="3:5">
      <c r="C4610" t="s">
        <v>17</v>
      </c>
      <c r="D4610" t="s">
        <v>18</v>
      </c>
      <c r="E4610">
        <v>0</v>
      </c>
    </row>
    <row r="4611" spans="3:5">
      <c r="C4611" t="s">
        <v>15</v>
      </c>
      <c r="D4611" t="s">
        <v>16</v>
      </c>
      <c r="E4611">
        <v>0</v>
      </c>
    </row>
    <row r="4612" spans="3:5">
      <c r="C4612" t="s">
        <v>17</v>
      </c>
      <c r="D4612" t="s">
        <v>18</v>
      </c>
      <c r="E4612">
        <v>0</v>
      </c>
    </row>
    <row r="4613" spans="3:5">
      <c r="C4613" t="s">
        <v>17</v>
      </c>
      <c r="D4613" t="s">
        <v>18</v>
      </c>
      <c r="E4613">
        <v>0</v>
      </c>
    </row>
    <row r="4614" spans="3:5">
      <c r="C4614" t="s">
        <v>15</v>
      </c>
      <c r="D4614" t="s">
        <v>16</v>
      </c>
      <c r="E4614">
        <v>0</v>
      </c>
    </row>
    <row r="4615" spans="3:5">
      <c r="C4615" t="s">
        <v>15</v>
      </c>
      <c r="D4615" t="s">
        <v>16</v>
      </c>
      <c r="E4615">
        <v>0</v>
      </c>
    </row>
    <row r="4616" spans="3:5">
      <c r="C4616" t="s">
        <v>15</v>
      </c>
      <c r="D4616" t="s">
        <v>16</v>
      </c>
      <c r="E4616">
        <v>0</v>
      </c>
    </row>
    <row r="4617" spans="3:5">
      <c r="C4617" t="s">
        <v>17</v>
      </c>
      <c r="D4617" t="s">
        <v>18</v>
      </c>
      <c r="E4617">
        <v>0</v>
      </c>
    </row>
    <row r="4618" spans="3:5">
      <c r="C4618" t="s">
        <v>15</v>
      </c>
      <c r="D4618" t="s">
        <v>16</v>
      </c>
      <c r="E4618">
        <v>0</v>
      </c>
    </row>
    <row r="4619" spans="3:5">
      <c r="C4619" t="s">
        <v>17</v>
      </c>
      <c r="D4619" t="s">
        <v>18</v>
      </c>
      <c r="E4619">
        <v>0</v>
      </c>
    </row>
    <row r="4620" spans="3:5">
      <c r="C4620" t="s">
        <v>17</v>
      </c>
      <c r="D4620" t="s">
        <v>18</v>
      </c>
      <c r="E4620">
        <v>1</v>
      </c>
    </row>
    <row r="4621" spans="3:5">
      <c r="C4621" t="s">
        <v>17</v>
      </c>
      <c r="D4621" t="s">
        <v>18</v>
      </c>
      <c r="E4621">
        <v>0</v>
      </c>
    </row>
    <row r="4622" spans="3:5">
      <c r="C4622" t="s">
        <v>15</v>
      </c>
      <c r="D4622" t="s">
        <v>16</v>
      </c>
      <c r="E4622">
        <v>0</v>
      </c>
    </row>
    <row r="4623" spans="3:5">
      <c r="C4623" t="s">
        <v>17</v>
      </c>
      <c r="D4623" t="s">
        <v>18</v>
      </c>
      <c r="E4623">
        <v>0</v>
      </c>
    </row>
    <row r="4624" spans="3:5">
      <c r="C4624" t="s">
        <v>17</v>
      </c>
      <c r="D4624" t="s">
        <v>18</v>
      </c>
      <c r="E4624">
        <v>0</v>
      </c>
    </row>
    <row r="4625" spans="3:5">
      <c r="C4625" t="s">
        <v>17</v>
      </c>
      <c r="D4625" t="s">
        <v>18</v>
      </c>
      <c r="E4625">
        <v>0</v>
      </c>
    </row>
    <row r="4626" spans="3:5">
      <c r="C4626" t="s">
        <v>17</v>
      </c>
      <c r="D4626" t="s">
        <v>18</v>
      </c>
      <c r="E4626">
        <v>0</v>
      </c>
    </row>
    <row r="4627" spans="3:5">
      <c r="C4627" t="s">
        <v>15</v>
      </c>
      <c r="D4627" t="s">
        <v>16</v>
      </c>
      <c r="E4627">
        <v>0</v>
      </c>
    </row>
    <row r="4628" spans="3:5">
      <c r="C4628" t="s">
        <v>17</v>
      </c>
      <c r="D4628" t="s">
        <v>18</v>
      </c>
      <c r="E4628">
        <v>0</v>
      </c>
    </row>
    <row r="4629" spans="3:5">
      <c r="C4629" t="s">
        <v>15</v>
      </c>
      <c r="D4629" t="s">
        <v>16</v>
      </c>
      <c r="E4629">
        <v>0</v>
      </c>
    </row>
    <row r="4630" spans="3:5">
      <c r="C4630" t="s">
        <v>15</v>
      </c>
      <c r="D4630" t="s">
        <v>16</v>
      </c>
      <c r="E4630">
        <v>0</v>
      </c>
    </row>
    <row r="4631" spans="3:5">
      <c r="C4631" t="s">
        <v>17</v>
      </c>
      <c r="D4631" t="s">
        <v>18</v>
      </c>
      <c r="E4631">
        <v>0</v>
      </c>
    </row>
    <row r="4632" spans="3:5">
      <c r="C4632" t="s">
        <v>15</v>
      </c>
      <c r="D4632" t="s">
        <v>16</v>
      </c>
      <c r="E4632">
        <v>0</v>
      </c>
    </row>
    <row r="4633" spans="3:5">
      <c r="C4633" t="s">
        <v>15</v>
      </c>
      <c r="D4633" t="s">
        <v>16</v>
      </c>
      <c r="E4633">
        <v>0</v>
      </c>
    </row>
    <row r="4634" spans="3:5">
      <c r="C4634" t="s">
        <v>17</v>
      </c>
      <c r="D4634" t="s">
        <v>18</v>
      </c>
      <c r="E4634">
        <v>0</v>
      </c>
    </row>
    <row r="4635" spans="3:5">
      <c r="C4635" t="s">
        <v>15</v>
      </c>
      <c r="D4635" t="s">
        <v>16</v>
      </c>
      <c r="E4635">
        <v>0</v>
      </c>
    </row>
    <row r="4636" spans="3:5">
      <c r="C4636" t="s">
        <v>17</v>
      </c>
      <c r="D4636" t="s">
        <v>18</v>
      </c>
      <c r="E4636">
        <v>0</v>
      </c>
    </row>
    <row r="4637" spans="3:5">
      <c r="C4637" t="s">
        <v>15</v>
      </c>
      <c r="D4637" t="s">
        <v>16</v>
      </c>
      <c r="E4637">
        <v>0</v>
      </c>
    </row>
    <row r="4638" spans="3:5">
      <c r="C4638" t="s">
        <v>17</v>
      </c>
      <c r="D4638" t="s">
        <v>18</v>
      </c>
      <c r="E4638">
        <v>0</v>
      </c>
    </row>
    <row r="4639" spans="3:5">
      <c r="C4639" t="s">
        <v>15</v>
      </c>
      <c r="D4639" t="s">
        <v>16</v>
      </c>
      <c r="E4639">
        <v>0</v>
      </c>
    </row>
    <row r="4640" spans="3:5">
      <c r="C4640" t="s">
        <v>17</v>
      </c>
      <c r="D4640" t="s">
        <v>18</v>
      </c>
      <c r="E4640">
        <v>0</v>
      </c>
    </row>
    <row r="4641" spans="3:5">
      <c r="C4641" t="s">
        <v>15</v>
      </c>
      <c r="D4641" t="s">
        <v>16</v>
      </c>
      <c r="E4641">
        <v>0</v>
      </c>
    </row>
    <row r="4642" spans="3:5">
      <c r="C4642" t="s">
        <v>15</v>
      </c>
      <c r="D4642" t="s">
        <v>16</v>
      </c>
      <c r="E4642">
        <v>0</v>
      </c>
    </row>
    <row r="4643" spans="3:5">
      <c r="C4643" t="s">
        <v>15</v>
      </c>
      <c r="D4643" t="s">
        <v>16</v>
      </c>
      <c r="E4643">
        <v>0</v>
      </c>
    </row>
    <row r="4644" spans="3:5">
      <c r="C4644" t="s">
        <v>17</v>
      </c>
      <c r="D4644" t="s">
        <v>18</v>
      </c>
      <c r="E4644">
        <v>0</v>
      </c>
    </row>
    <row r="4645" spans="3:5">
      <c r="C4645" t="s">
        <v>17</v>
      </c>
      <c r="D4645" t="s">
        <v>18</v>
      </c>
      <c r="E4645">
        <v>0</v>
      </c>
    </row>
    <row r="4646" spans="3:5">
      <c r="C4646" t="s">
        <v>17</v>
      </c>
      <c r="D4646" t="s">
        <v>18</v>
      </c>
      <c r="E4646">
        <v>0</v>
      </c>
    </row>
    <row r="4647" spans="3:5">
      <c r="C4647" t="s">
        <v>15</v>
      </c>
      <c r="D4647" t="s">
        <v>16</v>
      </c>
      <c r="E4647">
        <v>0</v>
      </c>
    </row>
    <row r="4648" spans="3:5">
      <c r="C4648" t="s">
        <v>17</v>
      </c>
      <c r="D4648" t="s">
        <v>18</v>
      </c>
      <c r="E4648">
        <v>0</v>
      </c>
    </row>
    <row r="4649" spans="3:5">
      <c r="C4649" t="s">
        <v>17</v>
      </c>
      <c r="D4649" t="s">
        <v>18</v>
      </c>
      <c r="E4649">
        <v>0</v>
      </c>
    </row>
    <row r="4650" spans="3:5">
      <c r="C4650" t="s">
        <v>15</v>
      </c>
      <c r="D4650" t="s">
        <v>16</v>
      </c>
      <c r="E4650">
        <v>1</v>
      </c>
    </row>
    <row r="4651" spans="3:5">
      <c r="C4651" t="s">
        <v>17</v>
      </c>
      <c r="D4651" t="s">
        <v>18</v>
      </c>
      <c r="E4651">
        <v>0</v>
      </c>
    </row>
    <row r="4652" spans="3:5">
      <c r="C4652" t="s">
        <v>17</v>
      </c>
      <c r="D4652" t="s">
        <v>18</v>
      </c>
      <c r="E4652">
        <v>0</v>
      </c>
    </row>
    <row r="4653" spans="3:5">
      <c r="C4653" t="s">
        <v>17</v>
      </c>
      <c r="D4653" t="s">
        <v>18</v>
      </c>
      <c r="E4653">
        <v>0</v>
      </c>
    </row>
    <row r="4654" spans="3:5">
      <c r="C4654" t="s">
        <v>15</v>
      </c>
      <c r="D4654" t="s">
        <v>16</v>
      </c>
      <c r="E4654">
        <v>0</v>
      </c>
    </row>
    <row r="4655" spans="3:5">
      <c r="C4655" t="s">
        <v>15</v>
      </c>
      <c r="D4655" t="s">
        <v>16</v>
      </c>
      <c r="E4655">
        <v>0</v>
      </c>
    </row>
    <row r="4656" spans="3:5">
      <c r="C4656" t="s">
        <v>15</v>
      </c>
      <c r="D4656" t="s">
        <v>16</v>
      </c>
      <c r="E4656">
        <v>0</v>
      </c>
    </row>
    <row r="4657" spans="3:5">
      <c r="C4657" t="s">
        <v>15</v>
      </c>
      <c r="D4657" t="s">
        <v>16</v>
      </c>
      <c r="E4657">
        <v>0</v>
      </c>
    </row>
    <row r="4658" spans="3:5">
      <c r="C4658" t="s">
        <v>15</v>
      </c>
      <c r="D4658" t="s">
        <v>16</v>
      </c>
      <c r="E4658">
        <v>0</v>
      </c>
    </row>
    <row r="4659" spans="3:5">
      <c r="C4659" t="s">
        <v>17</v>
      </c>
      <c r="D4659" t="s">
        <v>18</v>
      </c>
      <c r="E4659">
        <v>0</v>
      </c>
    </row>
    <row r="4660" spans="3:5">
      <c r="C4660" t="s">
        <v>15</v>
      </c>
      <c r="D4660" t="s">
        <v>16</v>
      </c>
      <c r="E4660">
        <v>0</v>
      </c>
    </row>
    <row r="4661" spans="3:5">
      <c r="C4661" t="s">
        <v>15</v>
      </c>
      <c r="D4661" t="s">
        <v>16</v>
      </c>
      <c r="E4661">
        <v>0</v>
      </c>
    </row>
    <row r="4662" spans="3:5">
      <c r="C4662" t="s">
        <v>15</v>
      </c>
      <c r="D4662" t="s">
        <v>16</v>
      </c>
      <c r="E4662">
        <v>0</v>
      </c>
    </row>
    <row r="4663" spans="3:5">
      <c r="C4663" t="s">
        <v>15</v>
      </c>
      <c r="D4663" t="s">
        <v>16</v>
      </c>
      <c r="E4663">
        <v>0</v>
      </c>
    </row>
    <row r="4664" spans="3:5">
      <c r="C4664" t="s">
        <v>17</v>
      </c>
      <c r="D4664" t="s">
        <v>18</v>
      </c>
      <c r="E4664">
        <v>0</v>
      </c>
    </row>
    <row r="4665" spans="3:5">
      <c r="C4665" t="s">
        <v>15</v>
      </c>
      <c r="D4665" t="s">
        <v>16</v>
      </c>
      <c r="E4665">
        <v>0</v>
      </c>
    </row>
    <row r="4666" spans="3:5">
      <c r="C4666" t="s">
        <v>17</v>
      </c>
      <c r="D4666" t="s">
        <v>18</v>
      </c>
      <c r="E4666">
        <v>0</v>
      </c>
    </row>
    <row r="4667" spans="3:5">
      <c r="C4667" t="s">
        <v>15</v>
      </c>
      <c r="D4667" t="s">
        <v>16</v>
      </c>
      <c r="E4667">
        <v>0</v>
      </c>
    </row>
    <row r="4668" spans="3:5">
      <c r="C4668" t="s">
        <v>15</v>
      </c>
      <c r="D4668" t="s">
        <v>16</v>
      </c>
      <c r="E4668">
        <v>0</v>
      </c>
    </row>
    <row r="4669" spans="3:5">
      <c r="C4669" t="s">
        <v>17</v>
      </c>
      <c r="D4669" t="s">
        <v>18</v>
      </c>
      <c r="E4669">
        <v>0</v>
      </c>
    </row>
    <row r="4670" spans="3:5">
      <c r="C4670" t="s">
        <v>17</v>
      </c>
      <c r="D4670" t="s">
        <v>18</v>
      </c>
      <c r="E4670">
        <v>0</v>
      </c>
    </row>
    <row r="4671" spans="3:5">
      <c r="C4671" t="s">
        <v>15</v>
      </c>
      <c r="D4671" t="s">
        <v>16</v>
      </c>
      <c r="E4671">
        <v>0</v>
      </c>
    </row>
    <row r="4672" spans="3:5">
      <c r="C4672" t="s">
        <v>17</v>
      </c>
      <c r="D4672" t="s">
        <v>18</v>
      </c>
      <c r="E4672">
        <v>0</v>
      </c>
    </row>
    <row r="4673" spans="3:5">
      <c r="C4673" t="s">
        <v>15</v>
      </c>
      <c r="D4673" t="s">
        <v>16</v>
      </c>
      <c r="E4673">
        <v>0</v>
      </c>
    </row>
    <row r="4674" spans="3:5">
      <c r="C4674" t="s">
        <v>15</v>
      </c>
      <c r="D4674" t="s">
        <v>16</v>
      </c>
      <c r="E4674">
        <v>0</v>
      </c>
    </row>
    <row r="4675" spans="3:5">
      <c r="C4675" t="s">
        <v>17</v>
      </c>
      <c r="D4675" t="s">
        <v>18</v>
      </c>
      <c r="E4675">
        <v>0</v>
      </c>
    </row>
    <row r="4676" spans="3:5">
      <c r="C4676" t="s">
        <v>15</v>
      </c>
      <c r="D4676" t="s">
        <v>16</v>
      </c>
      <c r="E4676">
        <v>0</v>
      </c>
    </row>
    <row r="4677" spans="3:5">
      <c r="C4677" t="s">
        <v>17</v>
      </c>
      <c r="D4677" t="s">
        <v>18</v>
      </c>
      <c r="E4677">
        <v>0</v>
      </c>
    </row>
    <row r="4678" spans="3:5">
      <c r="C4678" t="s">
        <v>15</v>
      </c>
      <c r="D4678" t="s">
        <v>16</v>
      </c>
      <c r="E4678">
        <v>0</v>
      </c>
    </row>
    <row r="4679" spans="3:5">
      <c r="C4679" t="s">
        <v>15</v>
      </c>
      <c r="D4679" t="s">
        <v>16</v>
      </c>
      <c r="E4679">
        <v>0</v>
      </c>
    </row>
    <row r="4680" spans="3:5">
      <c r="C4680" t="s">
        <v>17</v>
      </c>
      <c r="D4680" t="s">
        <v>18</v>
      </c>
      <c r="E4680">
        <v>0</v>
      </c>
    </row>
    <row r="4681" spans="3:5">
      <c r="C4681" t="s">
        <v>15</v>
      </c>
      <c r="D4681" t="s">
        <v>16</v>
      </c>
      <c r="E4681">
        <v>0</v>
      </c>
    </row>
    <row r="4682" spans="3:5">
      <c r="C4682" t="s">
        <v>15</v>
      </c>
      <c r="D4682" t="s">
        <v>16</v>
      </c>
      <c r="E4682">
        <v>0</v>
      </c>
    </row>
    <row r="4683" spans="3:5">
      <c r="C4683" t="s">
        <v>15</v>
      </c>
      <c r="D4683" t="s">
        <v>16</v>
      </c>
      <c r="E4683">
        <v>0</v>
      </c>
    </row>
    <row r="4684" spans="3:5">
      <c r="C4684" t="s">
        <v>15</v>
      </c>
      <c r="D4684" t="s">
        <v>16</v>
      </c>
      <c r="E4684">
        <v>0</v>
      </c>
    </row>
    <row r="4685" spans="3:5">
      <c r="C4685" t="s">
        <v>17</v>
      </c>
      <c r="D4685" t="s">
        <v>18</v>
      </c>
      <c r="E4685">
        <v>0</v>
      </c>
    </row>
    <row r="4686" spans="3:5">
      <c r="C4686" t="s">
        <v>15</v>
      </c>
      <c r="D4686" t="s">
        <v>16</v>
      </c>
      <c r="E4686">
        <v>0</v>
      </c>
    </row>
    <row r="4687" spans="3:5">
      <c r="C4687" t="s">
        <v>17</v>
      </c>
      <c r="D4687" t="s">
        <v>18</v>
      </c>
      <c r="E4687">
        <v>0</v>
      </c>
    </row>
    <row r="4688" spans="3:5">
      <c r="C4688" t="s">
        <v>17</v>
      </c>
      <c r="D4688" t="s">
        <v>18</v>
      </c>
      <c r="E4688">
        <v>0</v>
      </c>
    </row>
    <row r="4689" spans="3:5">
      <c r="C4689" t="s">
        <v>17</v>
      </c>
      <c r="D4689" t="s">
        <v>18</v>
      </c>
      <c r="E4689">
        <v>0</v>
      </c>
    </row>
    <row r="4690" spans="3:5">
      <c r="C4690" t="s">
        <v>17</v>
      </c>
      <c r="D4690" t="s">
        <v>18</v>
      </c>
      <c r="E4690">
        <v>0</v>
      </c>
    </row>
    <row r="4691" spans="3:5">
      <c r="C4691" t="s">
        <v>15</v>
      </c>
      <c r="D4691" t="s">
        <v>16</v>
      </c>
      <c r="E4691">
        <v>0</v>
      </c>
    </row>
    <row r="4692" spans="3:5">
      <c r="C4692" t="s">
        <v>17</v>
      </c>
      <c r="D4692" t="s">
        <v>18</v>
      </c>
      <c r="E4692">
        <v>0</v>
      </c>
    </row>
    <row r="4693" spans="3:5">
      <c r="C4693" t="s">
        <v>17</v>
      </c>
      <c r="D4693" t="s">
        <v>18</v>
      </c>
      <c r="E4693">
        <v>0</v>
      </c>
    </row>
    <row r="4694" spans="3:5">
      <c r="C4694" t="s">
        <v>17</v>
      </c>
      <c r="D4694" t="s">
        <v>18</v>
      </c>
      <c r="E4694">
        <v>0</v>
      </c>
    </row>
    <row r="4695" spans="3:5">
      <c r="C4695" t="s">
        <v>15</v>
      </c>
      <c r="D4695" t="s">
        <v>16</v>
      </c>
      <c r="E4695">
        <v>0</v>
      </c>
    </row>
    <row r="4696" spans="3:5">
      <c r="C4696" t="s">
        <v>15</v>
      </c>
      <c r="D4696" t="s">
        <v>16</v>
      </c>
      <c r="E4696">
        <v>0</v>
      </c>
    </row>
    <row r="4697" spans="3:5">
      <c r="C4697" t="s">
        <v>17</v>
      </c>
      <c r="D4697" t="s">
        <v>18</v>
      </c>
      <c r="E4697">
        <v>0</v>
      </c>
    </row>
    <row r="4698" spans="3:5">
      <c r="C4698" t="s">
        <v>15</v>
      </c>
      <c r="D4698" t="s">
        <v>16</v>
      </c>
      <c r="E4698">
        <v>0</v>
      </c>
    </row>
    <row r="4699" spans="3:5">
      <c r="C4699" t="s">
        <v>17</v>
      </c>
      <c r="D4699" t="s">
        <v>18</v>
      </c>
      <c r="E4699">
        <v>0</v>
      </c>
    </row>
    <row r="4700" spans="3:5">
      <c r="C4700" t="s">
        <v>17</v>
      </c>
      <c r="D4700" t="s">
        <v>18</v>
      </c>
      <c r="E4700">
        <v>0</v>
      </c>
    </row>
    <row r="4701" spans="3:5">
      <c r="C4701" t="s">
        <v>17</v>
      </c>
      <c r="D4701" t="s">
        <v>18</v>
      </c>
      <c r="E4701">
        <v>0</v>
      </c>
    </row>
    <row r="4702" spans="3:5">
      <c r="C4702" t="s">
        <v>15</v>
      </c>
      <c r="D4702" t="s">
        <v>16</v>
      </c>
      <c r="E4702">
        <v>0</v>
      </c>
    </row>
    <row r="4703" spans="3:5">
      <c r="C4703" t="s">
        <v>15</v>
      </c>
      <c r="D4703" t="s">
        <v>16</v>
      </c>
      <c r="E4703">
        <v>0</v>
      </c>
    </row>
    <row r="4704" spans="3:5">
      <c r="C4704" t="s">
        <v>17</v>
      </c>
      <c r="D4704" t="s">
        <v>18</v>
      </c>
      <c r="E4704">
        <v>0</v>
      </c>
    </row>
    <row r="4705" spans="3:5">
      <c r="C4705" t="s">
        <v>15</v>
      </c>
      <c r="D4705" t="s">
        <v>16</v>
      </c>
      <c r="E4705">
        <v>0</v>
      </c>
    </row>
    <row r="4706" spans="3:5">
      <c r="C4706" t="s">
        <v>17</v>
      </c>
      <c r="D4706" t="s">
        <v>18</v>
      </c>
      <c r="E4706">
        <v>0</v>
      </c>
    </row>
    <row r="4707" spans="3:5">
      <c r="C4707" t="s">
        <v>15</v>
      </c>
      <c r="D4707" t="s">
        <v>16</v>
      </c>
      <c r="E4707">
        <v>0</v>
      </c>
    </row>
    <row r="4708" spans="3:5">
      <c r="C4708" t="s">
        <v>15</v>
      </c>
      <c r="D4708" t="s">
        <v>16</v>
      </c>
      <c r="E4708">
        <v>0</v>
      </c>
    </row>
    <row r="4709" spans="3:5">
      <c r="C4709" t="s">
        <v>17</v>
      </c>
      <c r="D4709" t="s">
        <v>18</v>
      </c>
      <c r="E4709">
        <v>0</v>
      </c>
    </row>
    <row r="4710" spans="3:5">
      <c r="C4710" t="s">
        <v>15</v>
      </c>
      <c r="D4710" t="s">
        <v>16</v>
      </c>
      <c r="E4710">
        <v>0</v>
      </c>
    </row>
    <row r="4711" spans="3:5">
      <c r="C4711" t="s">
        <v>17</v>
      </c>
      <c r="D4711" t="s">
        <v>18</v>
      </c>
      <c r="E4711">
        <v>0</v>
      </c>
    </row>
    <row r="4712" spans="3:5">
      <c r="C4712" t="s">
        <v>15</v>
      </c>
      <c r="D4712" t="s">
        <v>16</v>
      </c>
      <c r="E4712">
        <v>0</v>
      </c>
    </row>
    <row r="4713" spans="3:5">
      <c r="C4713" t="s">
        <v>17</v>
      </c>
      <c r="D4713" t="s">
        <v>18</v>
      </c>
      <c r="E4713">
        <v>0</v>
      </c>
    </row>
    <row r="4714" spans="3:5">
      <c r="C4714" t="s">
        <v>17</v>
      </c>
      <c r="D4714" t="s">
        <v>18</v>
      </c>
      <c r="E4714">
        <v>0</v>
      </c>
    </row>
    <row r="4715" spans="3:5">
      <c r="C4715" t="s">
        <v>15</v>
      </c>
      <c r="D4715" t="s">
        <v>16</v>
      </c>
      <c r="E4715">
        <v>0</v>
      </c>
    </row>
    <row r="4716" spans="3:5">
      <c r="C4716" t="s">
        <v>15</v>
      </c>
      <c r="D4716" t="s">
        <v>16</v>
      </c>
      <c r="E4716">
        <v>1</v>
      </c>
    </row>
    <row r="4717" spans="3:5">
      <c r="C4717" t="s">
        <v>15</v>
      </c>
      <c r="D4717" t="s">
        <v>16</v>
      </c>
      <c r="E4717">
        <v>0</v>
      </c>
    </row>
    <row r="4718" spans="3:5">
      <c r="C4718" t="s">
        <v>17</v>
      </c>
      <c r="D4718" t="s">
        <v>18</v>
      </c>
      <c r="E4718">
        <v>0</v>
      </c>
    </row>
    <row r="4719" spans="3:5">
      <c r="C4719" t="s">
        <v>17</v>
      </c>
      <c r="D4719" t="s">
        <v>18</v>
      </c>
      <c r="E4719">
        <v>0</v>
      </c>
    </row>
    <row r="4720" spans="3:5">
      <c r="C4720" t="s">
        <v>17</v>
      </c>
      <c r="D4720" t="s">
        <v>18</v>
      </c>
      <c r="E4720">
        <v>0</v>
      </c>
    </row>
    <row r="4721" spans="3:5">
      <c r="C4721" t="s">
        <v>17</v>
      </c>
      <c r="D4721" t="s">
        <v>18</v>
      </c>
      <c r="E4721">
        <v>0</v>
      </c>
    </row>
    <row r="4722" spans="3:5">
      <c r="C4722" t="s">
        <v>17</v>
      </c>
      <c r="D4722" t="s">
        <v>18</v>
      </c>
      <c r="E4722">
        <v>0</v>
      </c>
    </row>
    <row r="4723" spans="3:5">
      <c r="C4723" t="s">
        <v>17</v>
      </c>
      <c r="D4723" t="s">
        <v>18</v>
      </c>
      <c r="E4723">
        <v>1</v>
      </c>
    </row>
    <row r="4724" spans="3:5">
      <c r="C4724" t="s">
        <v>17</v>
      </c>
      <c r="D4724" t="s">
        <v>18</v>
      </c>
      <c r="E4724">
        <v>0</v>
      </c>
    </row>
    <row r="4725" spans="3:5">
      <c r="C4725" t="s">
        <v>15</v>
      </c>
      <c r="D4725" t="s">
        <v>16</v>
      </c>
      <c r="E4725">
        <v>0</v>
      </c>
    </row>
    <row r="4726" spans="3:5">
      <c r="C4726" t="s">
        <v>17</v>
      </c>
      <c r="D4726" t="s">
        <v>18</v>
      </c>
      <c r="E4726">
        <v>0</v>
      </c>
    </row>
    <row r="4727" spans="3:5">
      <c r="C4727" t="s">
        <v>17</v>
      </c>
      <c r="D4727" t="s">
        <v>18</v>
      </c>
      <c r="E4727">
        <v>0</v>
      </c>
    </row>
    <row r="4728" spans="3:5">
      <c r="C4728" t="s">
        <v>17</v>
      </c>
      <c r="D4728" t="s">
        <v>18</v>
      </c>
      <c r="E4728">
        <v>0</v>
      </c>
    </row>
    <row r="4729" spans="3:5">
      <c r="C4729" t="s">
        <v>15</v>
      </c>
      <c r="D4729" t="s">
        <v>16</v>
      </c>
      <c r="E4729">
        <v>0</v>
      </c>
    </row>
    <row r="4730" spans="3:5">
      <c r="C4730" t="s">
        <v>15</v>
      </c>
      <c r="D4730" t="s">
        <v>16</v>
      </c>
      <c r="E4730">
        <v>0</v>
      </c>
    </row>
    <row r="4731" spans="3:5">
      <c r="C4731" t="s">
        <v>17</v>
      </c>
      <c r="D4731" t="s">
        <v>18</v>
      </c>
      <c r="E4731">
        <v>0</v>
      </c>
    </row>
    <row r="4732" spans="3:5">
      <c r="C4732" t="s">
        <v>17</v>
      </c>
      <c r="D4732" t="s">
        <v>18</v>
      </c>
      <c r="E4732">
        <v>0</v>
      </c>
    </row>
    <row r="4733" spans="3:5">
      <c r="C4733" t="s">
        <v>17</v>
      </c>
      <c r="D4733" t="s">
        <v>18</v>
      </c>
      <c r="E4733">
        <v>0</v>
      </c>
    </row>
    <row r="4734" spans="3:5">
      <c r="C4734" t="s">
        <v>15</v>
      </c>
      <c r="D4734" t="s">
        <v>16</v>
      </c>
      <c r="E4734">
        <v>0</v>
      </c>
    </row>
    <row r="4735" spans="3:5">
      <c r="C4735" t="s">
        <v>15</v>
      </c>
      <c r="D4735" t="s">
        <v>16</v>
      </c>
      <c r="E4735">
        <v>0</v>
      </c>
    </row>
    <row r="4736" spans="3:5">
      <c r="C4736" t="s">
        <v>15</v>
      </c>
      <c r="D4736" t="s">
        <v>16</v>
      </c>
      <c r="E4736">
        <v>0</v>
      </c>
    </row>
    <row r="4737" spans="3:5">
      <c r="C4737" t="s">
        <v>17</v>
      </c>
      <c r="D4737" t="s">
        <v>18</v>
      </c>
      <c r="E4737">
        <v>0</v>
      </c>
    </row>
    <row r="4738" spans="3:5">
      <c r="C4738" t="s">
        <v>17</v>
      </c>
      <c r="D4738" t="s">
        <v>18</v>
      </c>
      <c r="E4738">
        <v>0</v>
      </c>
    </row>
    <row r="4739" spans="3:5">
      <c r="C4739" t="s">
        <v>15</v>
      </c>
      <c r="D4739" t="s">
        <v>16</v>
      </c>
      <c r="E4739">
        <v>0</v>
      </c>
    </row>
    <row r="4740" spans="3:5">
      <c r="C4740" t="s">
        <v>17</v>
      </c>
      <c r="D4740" t="s">
        <v>18</v>
      </c>
      <c r="E4740">
        <v>0</v>
      </c>
    </row>
    <row r="4741" spans="3:5">
      <c r="C4741" t="s">
        <v>17</v>
      </c>
      <c r="D4741" t="s">
        <v>18</v>
      </c>
      <c r="E4741">
        <v>0</v>
      </c>
    </row>
    <row r="4742" spans="3:5">
      <c r="C4742" t="s">
        <v>15</v>
      </c>
      <c r="D4742" t="s">
        <v>16</v>
      </c>
      <c r="E4742">
        <v>0</v>
      </c>
    </row>
    <row r="4743" spans="3:5">
      <c r="C4743" t="s">
        <v>15</v>
      </c>
      <c r="D4743" t="s">
        <v>16</v>
      </c>
      <c r="E4743">
        <v>0</v>
      </c>
    </row>
    <row r="4744" spans="3:5">
      <c r="C4744" t="s">
        <v>17</v>
      </c>
      <c r="D4744" t="s">
        <v>18</v>
      </c>
      <c r="E4744">
        <v>0</v>
      </c>
    </row>
    <row r="4745" spans="3:5">
      <c r="C4745" t="s">
        <v>15</v>
      </c>
      <c r="D4745" t="s">
        <v>16</v>
      </c>
      <c r="E4745">
        <v>0</v>
      </c>
    </row>
    <row r="4746" spans="3:5">
      <c r="C4746" t="s">
        <v>15</v>
      </c>
      <c r="D4746" t="s">
        <v>16</v>
      </c>
      <c r="E4746">
        <v>0</v>
      </c>
    </row>
    <row r="4747" spans="3:5">
      <c r="C4747" t="s">
        <v>17</v>
      </c>
      <c r="D4747" t="s">
        <v>18</v>
      </c>
      <c r="E4747">
        <v>0</v>
      </c>
    </row>
    <row r="4748" spans="3:5">
      <c r="C4748" t="s">
        <v>17</v>
      </c>
      <c r="D4748" t="s">
        <v>18</v>
      </c>
      <c r="E4748">
        <v>0</v>
      </c>
    </row>
    <row r="4749" spans="3:5">
      <c r="C4749" t="s">
        <v>15</v>
      </c>
      <c r="D4749" t="s">
        <v>16</v>
      </c>
      <c r="E4749">
        <v>0</v>
      </c>
    </row>
    <row r="4750" spans="3:5">
      <c r="C4750" t="s">
        <v>17</v>
      </c>
      <c r="D4750" t="s">
        <v>18</v>
      </c>
      <c r="E4750">
        <v>0</v>
      </c>
    </row>
    <row r="4751" spans="3:5">
      <c r="C4751" t="s">
        <v>17</v>
      </c>
      <c r="D4751" t="s">
        <v>18</v>
      </c>
      <c r="E4751">
        <v>0</v>
      </c>
    </row>
    <row r="4752" spans="3:5">
      <c r="C4752" t="s">
        <v>15</v>
      </c>
      <c r="D4752" t="s">
        <v>16</v>
      </c>
      <c r="E4752">
        <v>0</v>
      </c>
    </row>
    <row r="4753" spans="3:5">
      <c r="C4753" t="s">
        <v>17</v>
      </c>
      <c r="D4753" t="s">
        <v>18</v>
      </c>
      <c r="E4753">
        <v>0</v>
      </c>
    </row>
    <row r="4754" spans="3:5">
      <c r="C4754" t="s">
        <v>17</v>
      </c>
      <c r="D4754" t="s">
        <v>18</v>
      </c>
      <c r="E4754">
        <v>0</v>
      </c>
    </row>
    <row r="4755" spans="3:5">
      <c r="C4755" t="s">
        <v>17</v>
      </c>
      <c r="D4755" t="s">
        <v>18</v>
      </c>
      <c r="E4755">
        <v>0</v>
      </c>
    </row>
    <row r="4756" spans="3:5">
      <c r="C4756" t="s">
        <v>17</v>
      </c>
      <c r="D4756" t="s">
        <v>18</v>
      </c>
      <c r="E4756">
        <v>0</v>
      </c>
    </row>
    <row r="4757" spans="3:5">
      <c r="C4757" t="s">
        <v>17</v>
      </c>
      <c r="D4757" t="s">
        <v>18</v>
      </c>
      <c r="E4757">
        <v>0</v>
      </c>
    </row>
    <row r="4758" spans="3:5">
      <c r="C4758" t="s">
        <v>15</v>
      </c>
      <c r="D4758" t="s">
        <v>16</v>
      </c>
      <c r="E4758">
        <v>0</v>
      </c>
    </row>
    <row r="4759" spans="3:5">
      <c r="C4759" t="s">
        <v>17</v>
      </c>
      <c r="D4759" t="s">
        <v>18</v>
      </c>
      <c r="E4759">
        <v>0</v>
      </c>
    </row>
    <row r="4760" spans="3:5">
      <c r="C4760" t="s">
        <v>15</v>
      </c>
      <c r="D4760" t="s">
        <v>16</v>
      </c>
      <c r="E4760">
        <v>0</v>
      </c>
    </row>
    <row r="4761" spans="3:5">
      <c r="C4761" t="s">
        <v>17</v>
      </c>
      <c r="D4761" t="s">
        <v>18</v>
      </c>
      <c r="E4761">
        <v>0</v>
      </c>
    </row>
    <row r="4762" spans="3:5">
      <c r="C4762" t="s">
        <v>15</v>
      </c>
      <c r="D4762" t="s">
        <v>16</v>
      </c>
      <c r="E4762">
        <v>0</v>
      </c>
    </row>
    <row r="4763" spans="3:5">
      <c r="C4763" t="s">
        <v>15</v>
      </c>
      <c r="D4763" t="s">
        <v>16</v>
      </c>
      <c r="E4763">
        <v>0</v>
      </c>
    </row>
    <row r="4764" spans="3:5">
      <c r="C4764" t="s">
        <v>15</v>
      </c>
      <c r="D4764" t="s">
        <v>16</v>
      </c>
      <c r="E4764">
        <v>0</v>
      </c>
    </row>
    <row r="4765" spans="3:5">
      <c r="C4765" t="s">
        <v>15</v>
      </c>
      <c r="D4765" t="s">
        <v>16</v>
      </c>
      <c r="E4765">
        <v>0</v>
      </c>
    </row>
    <row r="4766" spans="3:5">
      <c r="C4766" t="s">
        <v>17</v>
      </c>
      <c r="D4766" t="s">
        <v>18</v>
      </c>
      <c r="E4766">
        <v>0</v>
      </c>
    </row>
    <row r="4767" spans="3:5">
      <c r="C4767" t="s">
        <v>17</v>
      </c>
      <c r="D4767" t="s">
        <v>18</v>
      </c>
      <c r="E4767">
        <v>0</v>
      </c>
    </row>
    <row r="4768" spans="3:5">
      <c r="C4768" t="s">
        <v>17</v>
      </c>
      <c r="D4768" t="s">
        <v>18</v>
      </c>
      <c r="E4768">
        <v>0</v>
      </c>
    </row>
    <row r="4769" spans="3:5">
      <c r="C4769" t="s">
        <v>15</v>
      </c>
      <c r="D4769" t="s">
        <v>16</v>
      </c>
      <c r="E4769">
        <v>0</v>
      </c>
    </row>
    <row r="4770" spans="3:5">
      <c r="C4770" t="s">
        <v>17</v>
      </c>
      <c r="D4770" t="s">
        <v>18</v>
      </c>
      <c r="E4770">
        <v>0</v>
      </c>
    </row>
    <row r="4771" spans="3:5">
      <c r="C4771" t="s">
        <v>17</v>
      </c>
      <c r="D4771" t="s">
        <v>18</v>
      </c>
      <c r="E4771">
        <v>0</v>
      </c>
    </row>
    <row r="4772" spans="3:5">
      <c r="C4772" t="s">
        <v>17</v>
      </c>
      <c r="D4772" t="s">
        <v>18</v>
      </c>
      <c r="E4772">
        <v>0</v>
      </c>
    </row>
    <row r="4773" spans="3:5">
      <c r="C4773" t="s">
        <v>17</v>
      </c>
      <c r="D4773" t="s">
        <v>18</v>
      </c>
      <c r="E4773">
        <v>0</v>
      </c>
    </row>
    <row r="4774" spans="3:5">
      <c r="C4774" t="s">
        <v>17</v>
      </c>
      <c r="D4774" t="s">
        <v>18</v>
      </c>
      <c r="E4774">
        <v>0</v>
      </c>
    </row>
    <row r="4775" spans="3:5">
      <c r="C4775" t="s">
        <v>15</v>
      </c>
      <c r="D4775" t="s">
        <v>16</v>
      </c>
      <c r="E4775">
        <v>0</v>
      </c>
    </row>
    <row r="4776" spans="3:5">
      <c r="C4776" t="s">
        <v>15</v>
      </c>
      <c r="D4776" t="s">
        <v>16</v>
      </c>
      <c r="E4776">
        <v>0</v>
      </c>
    </row>
    <row r="4777" spans="3:5">
      <c r="C4777" t="s">
        <v>15</v>
      </c>
      <c r="D4777" t="s">
        <v>16</v>
      </c>
      <c r="E4777">
        <v>0</v>
      </c>
    </row>
    <row r="4778" spans="3:5">
      <c r="C4778" t="s">
        <v>15</v>
      </c>
      <c r="D4778" t="s">
        <v>16</v>
      </c>
      <c r="E4778">
        <v>0</v>
      </c>
    </row>
    <row r="4779" spans="3:5">
      <c r="C4779" t="s">
        <v>17</v>
      </c>
      <c r="D4779" t="s">
        <v>18</v>
      </c>
      <c r="E4779">
        <v>0</v>
      </c>
    </row>
    <row r="4780" spans="3:5">
      <c r="C4780" t="s">
        <v>17</v>
      </c>
      <c r="D4780" t="s">
        <v>18</v>
      </c>
      <c r="E4780">
        <v>0</v>
      </c>
    </row>
    <row r="4781" spans="3:5">
      <c r="C4781" t="s">
        <v>17</v>
      </c>
      <c r="D4781" t="s">
        <v>18</v>
      </c>
      <c r="E4781">
        <v>1</v>
      </c>
    </row>
    <row r="4782" spans="3:5">
      <c r="C4782" t="s">
        <v>15</v>
      </c>
      <c r="D4782" t="s">
        <v>16</v>
      </c>
      <c r="E4782">
        <v>0</v>
      </c>
    </row>
    <row r="4783" spans="3:5">
      <c r="C4783" t="s">
        <v>17</v>
      </c>
      <c r="D4783" t="s">
        <v>18</v>
      </c>
      <c r="E4783">
        <v>0</v>
      </c>
    </row>
    <row r="4784" spans="3:5">
      <c r="C4784" t="s">
        <v>15</v>
      </c>
      <c r="D4784" t="s">
        <v>16</v>
      </c>
      <c r="E4784">
        <v>0</v>
      </c>
    </row>
    <row r="4785" spans="3:5">
      <c r="C4785" t="s">
        <v>17</v>
      </c>
      <c r="D4785" t="s">
        <v>18</v>
      </c>
      <c r="E4785">
        <v>0</v>
      </c>
    </row>
    <row r="4786" spans="3:5">
      <c r="C4786" t="s">
        <v>15</v>
      </c>
      <c r="D4786" t="s">
        <v>16</v>
      </c>
      <c r="E4786">
        <v>0</v>
      </c>
    </row>
    <row r="4787" spans="3:5">
      <c r="C4787" t="s">
        <v>17</v>
      </c>
      <c r="D4787" t="s">
        <v>18</v>
      </c>
      <c r="E4787">
        <v>0</v>
      </c>
    </row>
    <row r="4788" spans="3:5">
      <c r="C4788" t="s">
        <v>15</v>
      </c>
      <c r="D4788" t="s">
        <v>16</v>
      </c>
      <c r="E4788">
        <v>0</v>
      </c>
    </row>
    <row r="4789" spans="3:5">
      <c r="C4789" t="s">
        <v>17</v>
      </c>
      <c r="D4789" t="s">
        <v>18</v>
      </c>
      <c r="E4789">
        <v>0</v>
      </c>
    </row>
    <row r="4790" spans="3:5">
      <c r="C4790" t="s">
        <v>17</v>
      </c>
      <c r="D4790" t="s">
        <v>18</v>
      </c>
      <c r="E4790">
        <v>0</v>
      </c>
    </row>
    <row r="4791" spans="3:5">
      <c r="C4791" t="s">
        <v>15</v>
      </c>
      <c r="D4791" t="s">
        <v>16</v>
      </c>
      <c r="E4791">
        <v>0</v>
      </c>
    </row>
    <row r="4792" spans="3:5">
      <c r="C4792" t="s">
        <v>17</v>
      </c>
      <c r="D4792" t="s">
        <v>18</v>
      </c>
      <c r="E4792">
        <v>0</v>
      </c>
    </row>
    <row r="4793" spans="3:5">
      <c r="C4793" t="s">
        <v>15</v>
      </c>
      <c r="D4793" t="s">
        <v>16</v>
      </c>
      <c r="E4793">
        <v>0</v>
      </c>
    </row>
    <row r="4794" spans="3:5">
      <c r="C4794" t="s">
        <v>15</v>
      </c>
      <c r="D4794" t="s">
        <v>16</v>
      </c>
      <c r="E4794">
        <v>0</v>
      </c>
    </row>
    <row r="4795" spans="3:5">
      <c r="C4795" t="s">
        <v>15</v>
      </c>
      <c r="D4795" t="s">
        <v>16</v>
      </c>
      <c r="E4795">
        <v>0</v>
      </c>
    </row>
    <row r="4796" spans="3:5">
      <c r="C4796" t="s">
        <v>17</v>
      </c>
      <c r="D4796" t="s">
        <v>18</v>
      </c>
      <c r="E4796">
        <v>0</v>
      </c>
    </row>
    <row r="4797" spans="3:5">
      <c r="C4797" t="s">
        <v>15</v>
      </c>
      <c r="D4797" t="s">
        <v>16</v>
      </c>
      <c r="E4797">
        <v>0</v>
      </c>
    </row>
    <row r="4798" spans="3:5">
      <c r="C4798" t="s">
        <v>17</v>
      </c>
      <c r="D4798" t="s">
        <v>18</v>
      </c>
      <c r="E4798">
        <v>0</v>
      </c>
    </row>
    <row r="4799" spans="3:5">
      <c r="C4799" t="s">
        <v>17</v>
      </c>
      <c r="D4799" t="s">
        <v>18</v>
      </c>
      <c r="E4799">
        <v>0</v>
      </c>
    </row>
    <row r="4800" spans="3:5">
      <c r="C4800" t="s">
        <v>15</v>
      </c>
      <c r="D4800" t="s">
        <v>16</v>
      </c>
      <c r="E4800">
        <v>0</v>
      </c>
    </row>
    <row r="4801" spans="3:5">
      <c r="C4801" t="s">
        <v>17</v>
      </c>
      <c r="D4801" t="s">
        <v>18</v>
      </c>
      <c r="E4801">
        <v>0</v>
      </c>
    </row>
    <row r="4802" spans="3:5">
      <c r="C4802" t="s">
        <v>17</v>
      </c>
      <c r="D4802" t="s">
        <v>18</v>
      </c>
      <c r="E4802">
        <v>0</v>
      </c>
    </row>
    <row r="4803" spans="3:5">
      <c r="C4803" t="s">
        <v>17</v>
      </c>
      <c r="D4803" t="s">
        <v>18</v>
      </c>
      <c r="E4803">
        <v>0</v>
      </c>
    </row>
    <row r="4804" spans="3:5">
      <c r="C4804" t="s">
        <v>15</v>
      </c>
      <c r="D4804" t="s">
        <v>16</v>
      </c>
      <c r="E4804">
        <v>0</v>
      </c>
    </row>
    <row r="4805" spans="3:5">
      <c r="C4805" t="s">
        <v>15</v>
      </c>
      <c r="D4805" t="s">
        <v>16</v>
      </c>
      <c r="E4805">
        <v>0</v>
      </c>
    </row>
    <row r="4806" spans="3:5">
      <c r="C4806" t="s">
        <v>15</v>
      </c>
      <c r="D4806" t="s">
        <v>16</v>
      </c>
      <c r="E4806">
        <v>0</v>
      </c>
    </row>
    <row r="4807" spans="3:5">
      <c r="C4807" t="s">
        <v>17</v>
      </c>
      <c r="D4807" t="s">
        <v>18</v>
      </c>
      <c r="E4807">
        <v>0</v>
      </c>
    </row>
    <row r="4808" spans="3:5">
      <c r="C4808" t="s">
        <v>15</v>
      </c>
      <c r="D4808" t="s">
        <v>16</v>
      </c>
      <c r="E4808">
        <v>0</v>
      </c>
    </row>
    <row r="4809" spans="3:5">
      <c r="C4809" t="s">
        <v>17</v>
      </c>
      <c r="D4809" t="s">
        <v>18</v>
      </c>
      <c r="E4809">
        <v>0</v>
      </c>
    </row>
    <row r="4810" spans="3:5">
      <c r="C4810" t="s">
        <v>17</v>
      </c>
      <c r="D4810" t="s">
        <v>18</v>
      </c>
      <c r="E4810">
        <v>0</v>
      </c>
    </row>
    <row r="4811" spans="3:5">
      <c r="C4811" t="s">
        <v>17</v>
      </c>
      <c r="D4811" t="s">
        <v>18</v>
      </c>
      <c r="E4811">
        <v>0</v>
      </c>
    </row>
    <row r="4812" spans="3:5">
      <c r="C4812" t="s">
        <v>17</v>
      </c>
      <c r="D4812" t="s">
        <v>18</v>
      </c>
      <c r="E4812">
        <v>0</v>
      </c>
    </row>
    <row r="4813" spans="3:5">
      <c r="C4813" t="s">
        <v>17</v>
      </c>
      <c r="D4813" t="s">
        <v>18</v>
      </c>
      <c r="E4813">
        <v>1</v>
      </c>
    </row>
    <row r="4814" spans="3:5">
      <c r="C4814" t="s">
        <v>15</v>
      </c>
      <c r="D4814" t="s">
        <v>16</v>
      </c>
      <c r="E4814">
        <v>0</v>
      </c>
    </row>
    <row r="4815" spans="3:5">
      <c r="C4815" t="s">
        <v>17</v>
      </c>
      <c r="D4815" t="s">
        <v>18</v>
      </c>
      <c r="E4815">
        <v>0</v>
      </c>
    </row>
    <row r="4816" spans="3:5">
      <c r="C4816" t="s">
        <v>15</v>
      </c>
      <c r="D4816" t="s">
        <v>16</v>
      </c>
      <c r="E4816">
        <v>0</v>
      </c>
    </row>
    <row r="4817" spans="3:5">
      <c r="C4817" t="s">
        <v>15</v>
      </c>
      <c r="D4817" t="s">
        <v>16</v>
      </c>
      <c r="E4817">
        <v>0</v>
      </c>
    </row>
    <row r="4818" spans="3:5">
      <c r="C4818" t="s">
        <v>17</v>
      </c>
      <c r="D4818" t="s">
        <v>18</v>
      </c>
      <c r="E4818">
        <v>0</v>
      </c>
    </row>
    <row r="4819" spans="3:5">
      <c r="C4819" t="s">
        <v>17</v>
      </c>
      <c r="D4819" t="s">
        <v>18</v>
      </c>
      <c r="E4819">
        <v>0</v>
      </c>
    </row>
    <row r="4820" spans="3:5">
      <c r="C4820" t="s">
        <v>17</v>
      </c>
      <c r="D4820" t="s">
        <v>18</v>
      </c>
      <c r="E4820">
        <v>0</v>
      </c>
    </row>
    <row r="4821" spans="3:5">
      <c r="C4821" t="s">
        <v>15</v>
      </c>
      <c r="D4821" t="s">
        <v>16</v>
      </c>
      <c r="E4821">
        <v>0</v>
      </c>
    </row>
    <row r="4822" spans="3:5">
      <c r="C4822" t="s">
        <v>15</v>
      </c>
      <c r="D4822" t="s">
        <v>16</v>
      </c>
      <c r="E4822">
        <v>0</v>
      </c>
    </row>
    <row r="4823" spans="3:5">
      <c r="C4823" t="s">
        <v>15</v>
      </c>
      <c r="D4823" t="s">
        <v>16</v>
      </c>
      <c r="E4823">
        <v>0</v>
      </c>
    </row>
    <row r="4824" spans="3:5">
      <c r="C4824" t="s">
        <v>17</v>
      </c>
      <c r="D4824" t="s">
        <v>18</v>
      </c>
      <c r="E4824">
        <v>0</v>
      </c>
    </row>
    <row r="4825" spans="3:5">
      <c r="C4825" t="s">
        <v>17</v>
      </c>
      <c r="D4825" t="s">
        <v>18</v>
      </c>
      <c r="E4825">
        <v>0</v>
      </c>
    </row>
    <row r="4826" spans="3:5">
      <c r="C4826" t="s">
        <v>15</v>
      </c>
      <c r="D4826" t="s">
        <v>16</v>
      </c>
      <c r="E4826">
        <v>0</v>
      </c>
    </row>
    <row r="4827" spans="3:5">
      <c r="C4827" t="s">
        <v>17</v>
      </c>
      <c r="D4827" t="s">
        <v>18</v>
      </c>
      <c r="E4827">
        <v>0</v>
      </c>
    </row>
    <row r="4828" spans="3:5">
      <c r="C4828" t="s">
        <v>15</v>
      </c>
      <c r="D4828" t="s">
        <v>16</v>
      </c>
      <c r="E4828">
        <v>0</v>
      </c>
    </row>
    <row r="4829" spans="3:5">
      <c r="C4829" t="s">
        <v>17</v>
      </c>
      <c r="D4829" t="s">
        <v>18</v>
      </c>
      <c r="E4829">
        <v>0</v>
      </c>
    </row>
    <row r="4830" spans="3:5">
      <c r="C4830" t="s">
        <v>17</v>
      </c>
      <c r="D4830" t="s">
        <v>18</v>
      </c>
      <c r="E4830">
        <v>0</v>
      </c>
    </row>
    <row r="4831" spans="3:5">
      <c r="C4831" t="s">
        <v>15</v>
      </c>
      <c r="D4831" t="s">
        <v>16</v>
      </c>
      <c r="E4831">
        <v>0</v>
      </c>
    </row>
    <row r="4832" spans="3:5">
      <c r="C4832" t="s">
        <v>15</v>
      </c>
      <c r="D4832" t="s">
        <v>16</v>
      </c>
      <c r="E4832">
        <v>0</v>
      </c>
    </row>
    <row r="4833" spans="3:5">
      <c r="C4833" t="s">
        <v>15</v>
      </c>
      <c r="D4833" t="s">
        <v>16</v>
      </c>
      <c r="E4833">
        <v>0</v>
      </c>
    </row>
    <row r="4834" spans="3:5">
      <c r="C4834" t="s">
        <v>15</v>
      </c>
      <c r="D4834" t="s">
        <v>16</v>
      </c>
      <c r="E4834">
        <v>0</v>
      </c>
    </row>
    <row r="4835" spans="3:5">
      <c r="C4835" t="s">
        <v>17</v>
      </c>
      <c r="D4835" t="s">
        <v>18</v>
      </c>
      <c r="E4835">
        <v>0</v>
      </c>
    </row>
    <row r="4836" spans="3:5">
      <c r="C4836" t="s">
        <v>17</v>
      </c>
      <c r="D4836" t="s">
        <v>18</v>
      </c>
      <c r="E4836">
        <v>0</v>
      </c>
    </row>
    <row r="4837" spans="3:5">
      <c r="C4837" t="s">
        <v>17</v>
      </c>
      <c r="D4837" t="s">
        <v>18</v>
      </c>
      <c r="E4837">
        <v>0</v>
      </c>
    </row>
    <row r="4838" spans="3:5">
      <c r="C4838" t="s">
        <v>17</v>
      </c>
      <c r="D4838" t="s">
        <v>18</v>
      </c>
      <c r="E4838">
        <v>0</v>
      </c>
    </row>
    <row r="4839" spans="3:5">
      <c r="C4839" t="s">
        <v>17</v>
      </c>
      <c r="D4839" t="s">
        <v>18</v>
      </c>
      <c r="E4839">
        <v>0</v>
      </c>
    </row>
    <row r="4840" spans="3:5">
      <c r="C4840" t="s">
        <v>17</v>
      </c>
      <c r="D4840" t="s">
        <v>18</v>
      </c>
      <c r="E4840">
        <v>0</v>
      </c>
    </row>
    <row r="4841" spans="3:5">
      <c r="C4841" t="s">
        <v>17</v>
      </c>
      <c r="D4841" t="s">
        <v>18</v>
      </c>
      <c r="E4841">
        <v>0</v>
      </c>
    </row>
    <row r="4842" spans="3:5">
      <c r="C4842" t="s">
        <v>17</v>
      </c>
      <c r="D4842" t="s">
        <v>18</v>
      </c>
      <c r="E4842">
        <v>0</v>
      </c>
    </row>
    <row r="4843" spans="3:5">
      <c r="C4843" t="s">
        <v>15</v>
      </c>
      <c r="D4843" t="s">
        <v>16</v>
      </c>
      <c r="E4843">
        <v>0</v>
      </c>
    </row>
    <row r="4844" spans="3:5">
      <c r="C4844" t="s">
        <v>15</v>
      </c>
      <c r="D4844" t="s">
        <v>16</v>
      </c>
      <c r="E4844">
        <v>0</v>
      </c>
    </row>
    <row r="4845" spans="3:5">
      <c r="C4845" t="s">
        <v>17</v>
      </c>
      <c r="D4845" t="s">
        <v>18</v>
      </c>
      <c r="E4845">
        <v>0</v>
      </c>
    </row>
    <row r="4846" spans="3:5">
      <c r="C4846" t="s">
        <v>15</v>
      </c>
      <c r="D4846" t="s">
        <v>16</v>
      </c>
      <c r="E4846">
        <v>0</v>
      </c>
    </row>
    <row r="4847" spans="3:5">
      <c r="C4847" t="s">
        <v>17</v>
      </c>
      <c r="D4847" t="s">
        <v>18</v>
      </c>
      <c r="E4847">
        <v>0</v>
      </c>
    </row>
    <row r="4848" spans="3:5">
      <c r="C4848" t="s">
        <v>15</v>
      </c>
      <c r="D4848" t="s">
        <v>16</v>
      </c>
      <c r="E4848">
        <v>0</v>
      </c>
    </row>
    <row r="4849" spans="3:5">
      <c r="C4849" t="s">
        <v>15</v>
      </c>
      <c r="D4849" t="s">
        <v>16</v>
      </c>
      <c r="E4849">
        <v>0</v>
      </c>
    </row>
    <row r="4850" spans="3:5">
      <c r="C4850" t="s">
        <v>15</v>
      </c>
      <c r="D4850" t="s">
        <v>16</v>
      </c>
      <c r="E4850">
        <v>0</v>
      </c>
    </row>
    <row r="4851" spans="3:5">
      <c r="C4851" t="s">
        <v>15</v>
      </c>
      <c r="D4851" t="s">
        <v>16</v>
      </c>
      <c r="E4851">
        <v>0</v>
      </c>
    </row>
    <row r="4852" spans="3:5">
      <c r="C4852" t="s">
        <v>15</v>
      </c>
      <c r="D4852" t="s">
        <v>16</v>
      </c>
      <c r="E4852">
        <v>0</v>
      </c>
    </row>
    <row r="4853" spans="3:5">
      <c r="C4853" t="s">
        <v>15</v>
      </c>
      <c r="D4853" t="s">
        <v>16</v>
      </c>
      <c r="E4853">
        <v>0</v>
      </c>
    </row>
    <row r="4854" spans="3:5">
      <c r="C4854" t="s">
        <v>15</v>
      </c>
      <c r="D4854" t="s">
        <v>16</v>
      </c>
      <c r="E4854">
        <v>0</v>
      </c>
    </row>
    <row r="4855" spans="3:5">
      <c r="C4855" t="s">
        <v>15</v>
      </c>
      <c r="D4855" t="s">
        <v>16</v>
      </c>
      <c r="E4855">
        <v>0</v>
      </c>
    </row>
    <row r="4856" spans="3:5">
      <c r="C4856" t="s">
        <v>15</v>
      </c>
      <c r="D4856" t="s">
        <v>16</v>
      </c>
      <c r="E4856">
        <v>0</v>
      </c>
    </row>
    <row r="4857" spans="3:5">
      <c r="C4857" t="s">
        <v>15</v>
      </c>
      <c r="D4857" t="s">
        <v>16</v>
      </c>
      <c r="E4857">
        <v>1</v>
      </c>
    </row>
    <row r="4858" spans="3:5">
      <c r="C4858" t="s">
        <v>17</v>
      </c>
      <c r="D4858" t="s">
        <v>18</v>
      </c>
      <c r="E4858">
        <v>0</v>
      </c>
    </row>
    <row r="4859" spans="3:5">
      <c r="C4859" t="s">
        <v>15</v>
      </c>
      <c r="D4859" t="s">
        <v>16</v>
      </c>
      <c r="E4859">
        <v>0</v>
      </c>
    </row>
    <row r="4860" spans="3:5">
      <c r="C4860" t="s">
        <v>15</v>
      </c>
      <c r="D4860" t="s">
        <v>16</v>
      </c>
      <c r="E4860">
        <v>0</v>
      </c>
    </row>
    <row r="4861" spans="3:5">
      <c r="C4861" t="s">
        <v>17</v>
      </c>
      <c r="D4861" t="s">
        <v>18</v>
      </c>
      <c r="E4861">
        <v>0</v>
      </c>
    </row>
    <row r="4862" spans="3:5">
      <c r="C4862" t="s">
        <v>17</v>
      </c>
      <c r="D4862" t="s">
        <v>18</v>
      </c>
      <c r="E4862">
        <v>0</v>
      </c>
    </row>
    <row r="4863" spans="3:5">
      <c r="C4863" t="s">
        <v>15</v>
      </c>
      <c r="D4863" t="s">
        <v>16</v>
      </c>
      <c r="E4863">
        <v>0</v>
      </c>
    </row>
    <row r="4864" spans="3:5">
      <c r="C4864" t="s">
        <v>17</v>
      </c>
      <c r="D4864" t="s">
        <v>18</v>
      </c>
      <c r="E4864">
        <v>0</v>
      </c>
    </row>
    <row r="4865" spans="3:5">
      <c r="C4865" t="s">
        <v>17</v>
      </c>
      <c r="D4865" t="s">
        <v>18</v>
      </c>
      <c r="E4865">
        <v>0</v>
      </c>
    </row>
    <row r="4866" spans="3:5">
      <c r="C4866" t="s">
        <v>15</v>
      </c>
      <c r="D4866" t="s">
        <v>16</v>
      </c>
      <c r="E4866">
        <v>0</v>
      </c>
    </row>
    <row r="4867" spans="3:5">
      <c r="C4867" t="s">
        <v>15</v>
      </c>
      <c r="D4867" t="s">
        <v>16</v>
      </c>
      <c r="E4867">
        <v>0</v>
      </c>
    </row>
    <row r="4868" spans="3:5">
      <c r="C4868" t="s">
        <v>17</v>
      </c>
      <c r="D4868" t="s">
        <v>18</v>
      </c>
      <c r="E4868">
        <v>0</v>
      </c>
    </row>
    <row r="4869" spans="3:5">
      <c r="C4869" t="s">
        <v>15</v>
      </c>
      <c r="D4869" t="s">
        <v>16</v>
      </c>
      <c r="E4869">
        <v>0</v>
      </c>
    </row>
    <row r="4870" spans="3:5">
      <c r="C4870" t="s">
        <v>17</v>
      </c>
      <c r="D4870" t="s">
        <v>18</v>
      </c>
      <c r="E4870">
        <v>0</v>
      </c>
    </row>
    <row r="4871" spans="3:5">
      <c r="C4871" t="s">
        <v>15</v>
      </c>
      <c r="D4871" t="s">
        <v>16</v>
      </c>
      <c r="E4871">
        <v>0</v>
      </c>
    </row>
    <row r="4872" spans="3:5">
      <c r="C4872" t="s">
        <v>17</v>
      </c>
      <c r="D4872" t="s">
        <v>18</v>
      </c>
      <c r="E4872">
        <v>0</v>
      </c>
    </row>
    <row r="4873" spans="3:5">
      <c r="C4873" t="s">
        <v>15</v>
      </c>
      <c r="D4873" t="s">
        <v>16</v>
      </c>
      <c r="E4873">
        <v>0</v>
      </c>
    </row>
    <row r="4874" spans="3:5">
      <c r="C4874" t="s">
        <v>17</v>
      </c>
      <c r="D4874" t="s">
        <v>18</v>
      </c>
      <c r="E4874">
        <v>0</v>
      </c>
    </row>
    <row r="4875" spans="3:5">
      <c r="C4875" t="s">
        <v>17</v>
      </c>
      <c r="D4875" t="s">
        <v>18</v>
      </c>
      <c r="E4875">
        <v>0</v>
      </c>
    </row>
    <row r="4876" spans="3:5">
      <c r="C4876" t="s">
        <v>15</v>
      </c>
      <c r="D4876" t="s">
        <v>16</v>
      </c>
      <c r="E4876">
        <v>0</v>
      </c>
    </row>
    <row r="4877" spans="3:5">
      <c r="C4877" t="s">
        <v>17</v>
      </c>
      <c r="D4877" t="s">
        <v>18</v>
      </c>
      <c r="E4877">
        <v>0</v>
      </c>
    </row>
    <row r="4878" spans="3:5">
      <c r="C4878" t="s">
        <v>15</v>
      </c>
      <c r="D4878" t="s">
        <v>16</v>
      </c>
      <c r="E4878">
        <v>0</v>
      </c>
    </row>
    <row r="4879" spans="3:5">
      <c r="C4879" t="s">
        <v>15</v>
      </c>
      <c r="D4879" t="s">
        <v>16</v>
      </c>
      <c r="E4879">
        <v>0</v>
      </c>
    </row>
    <row r="4880" spans="3:5">
      <c r="C4880" t="s">
        <v>15</v>
      </c>
      <c r="D4880" t="s">
        <v>16</v>
      </c>
      <c r="E4880">
        <v>0</v>
      </c>
    </row>
    <row r="4881" spans="3:5">
      <c r="C4881" t="s">
        <v>17</v>
      </c>
      <c r="D4881" t="s">
        <v>18</v>
      </c>
      <c r="E4881">
        <v>0</v>
      </c>
    </row>
    <row r="4882" spans="3:5">
      <c r="C4882" t="s">
        <v>15</v>
      </c>
      <c r="D4882" t="s">
        <v>16</v>
      </c>
      <c r="E4882">
        <v>0</v>
      </c>
    </row>
    <row r="4883" spans="3:5">
      <c r="C4883" t="s">
        <v>17</v>
      </c>
      <c r="D4883" t="s">
        <v>18</v>
      </c>
      <c r="E4883">
        <v>0</v>
      </c>
    </row>
    <row r="4884" spans="3:5">
      <c r="C4884" t="s">
        <v>15</v>
      </c>
      <c r="D4884" t="s">
        <v>16</v>
      </c>
      <c r="E4884">
        <v>0</v>
      </c>
    </row>
    <row r="4885" spans="3:5">
      <c r="C4885" t="s">
        <v>15</v>
      </c>
      <c r="D4885" t="s">
        <v>16</v>
      </c>
      <c r="E4885">
        <v>0</v>
      </c>
    </row>
    <row r="4886" spans="3:5">
      <c r="C4886" t="s">
        <v>17</v>
      </c>
      <c r="D4886" t="s">
        <v>18</v>
      </c>
      <c r="E4886">
        <v>0</v>
      </c>
    </row>
    <row r="4887" spans="3:5">
      <c r="C4887" t="s">
        <v>15</v>
      </c>
      <c r="D4887" t="s">
        <v>16</v>
      </c>
      <c r="E4887">
        <v>0</v>
      </c>
    </row>
    <row r="4888" spans="3:5">
      <c r="C4888" t="s">
        <v>17</v>
      </c>
      <c r="D4888" t="s">
        <v>18</v>
      </c>
      <c r="E4888">
        <v>0</v>
      </c>
    </row>
    <row r="4889" spans="3:5">
      <c r="C4889" t="s">
        <v>15</v>
      </c>
      <c r="D4889" t="s">
        <v>16</v>
      </c>
      <c r="E4889">
        <v>0</v>
      </c>
    </row>
    <row r="4890" spans="3:5">
      <c r="C4890" t="s">
        <v>15</v>
      </c>
      <c r="D4890" t="s">
        <v>16</v>
      </c>
      <c r="E4890">
        <v>0</v>
      </c>
    </row>
    <row r="4891" spans="3:5">
      <c r="C4891" t="s">
        <v>17</v>
      </c>
      <c r="D4891" t="s">
        <v>18</v>
      </c>
      <c r="E4891">
        <v>0</v>
      </c>
    </row>
    <row r="4892" spans="3:5">
      <c r="C4892" t="s">
        <v>17</v>
      </c>
      <c r="D4892" t="s">
        <v>18</v>
      </c>
      <c r="E4892">
        <v>0</v>
      </c>
    </row>
    <row r="4893" spans="3:5">
      <c r="C4893" t="s">
        <v>17</v>
      </c>
      <c r="D4893" t="s">
        <v>18</v>
      </c>
      <c r="E4893">
        <v>0</v>
      </c>
    </row>
    <row r="4894" spans="3:5">
      <c r="C4894" t="s">
        <v>15</v>
      </c>
      <c r="D4894" t="s">
        <v>16</v>
      </c>
      <c r="E4894">
        <v>0</v>
      </c>
    </row>
    <row r="4895" spans="3:5">
      <c r="C4895" t="s">
        <v>15</v>
      </c>
      <c r="D4895" t="s">
        <v>16</v>
      </c>
      <c r="E4895">
        <v>0</v>
      </c>
    </row>
    <row r="4896" spans="3:5">
      <c r="C4896" t="s">
        <v>15</v>
      </c>
      <c r="D4896" t="s">
        <v>16</v>
      </c>
      <c r="E4896">
        <v>0</v>
      </c>
    </row>
    <row r="4897" spans="3:5">
      <c r="C4897" t="s">
        <v>17</v>
      </c>
      <c r="D4897" t="s">
        <v>18</v>
      </c>
      <c r="E4897">
        <v>0</v>
      </c>
    </row>
    <row r="4898" spans="3:5">
      <c r="C4898" t="s">
        <v>15</v>
      </c>
      <c r="D4898" t="s">
        <v>16</v>
      </c>
      <c r="E4898">
        <v>0</v>
      </c>
    </row>
    <row r="4899" spans="3:5">
      <c r="C4899" t="s">
        <v>17</v>
      </c>
      <c r="D4899" t="s">
        <v>18</v>
      </c>
      <c r="E4899">
        <v>0</v>
      </c>
    </row>
    <row r="4900" spans="3:5">
      <c r="C4900" t="s">
        <v>15</v>
      </c>
      <c r="D4900" t="s">
        <v>16</v>
      </c>
      <c r="E4900">
        <v>0</v>
      </c>
    </row>
    <row r="4901" spans="3:5">
      <c r="C4901" t="s">
        <v>17</v>
      </c>
      <c r="D4901" t="s">
        <v>18</v>
      </c>
      <c r="E4901">
        <v>0</v>
      </c>
    </row>
    <row r="4902" spans="3:5">
      <c r="C4902" t="s">
        <v>17</v>
      </c>
      <c r="D4902" t="s">
        <v>18</v>
      </c>
      <c r="E4902">
        <v>0</v>
      </c>
    </row>
    <row r="4903" spans="3:5">
      <c r="C4903" t="s">
        <v>17</v>
      </c>
      <c r="D4903" t="s">
        <v>18</v>
      </c>
      <c r="E4903">
        <v>0</v>
      </c>
    </row>
    <row r="4904" spans="3:5">
      <c r="C4904" t="s">
        <v>15</v>
      </c>
      <c r="D4904" t="s">
        <v>16</v>
      </c>
      <c r="E4904">
        <v>0</v>
      </c>
    </row>
    <row r="4905" spans="3:5">
      <c r="C4905" t="s">
        <v>17</v>
      </c>
      <c r="D4905" t="s">
        <v>18</v>
      </c>
      <c r="E4905">
        <v>0</v>
      </c>
    </row>
    <row r="4906" spans="3:5">
      <c r="C4906" t="s">
        <v>17</v>
      </c>
      <c r="D4906" t="s">
        <v>18</v>
      </c>
      <c r="E4906">
        <v>0</v>
      </c>
    </row>
    <row r="4907" spans="3:5">
      <c r="C4907" t="s">
        <v>15</v>
      </c>
      <c r="D4907" t="s">
        <v>16</v>
      </c>
      <c r="E4907">
        <v>0</v>
      </c>
    </row>
    <row r="4908" spans="3:5">
      <c r="C4908" t="s">
        <v>15</v>
      </c>
      <c r="D4908" t="s">
        <v>16</v>
      </c>
      <c r="E4908">
        <v>0</v>
      </c>
    </row>
    <row r="4909" spans="3:5">
      <c r="C4909" t="s">
        <v>17</v>
      </c>
      <c r="D4909" t="s">
        <v>18</v>
      </c>
      <c r="E4909">
        <v>0</v>
      </c>
    </row>
    <row r="4910" spans="3:5">
      <c r="C4910" t="s">
        <v>15</v>
      </c>
      <c r="D4910" t="s">
        <v>16</v>
      </c>
      <c r="E4910">
        <v>0</v>
      </c>
    </row>
    <row r="4911" spans="3:5">
      <c r="C4911" t="s">
        <v>15</v>
      </c>
      <c r="D4911" t="s">
        <v>16</v>
      </c>
      <c r="E4911">
        <v>0</v>
      </c>
    </row>
    <row r="4912" spans="3:5">
      <c r="C4912" t="s">
        <v>17</v>
      </c>
      <c r="D4912" t="s">
        <v>18</v>
      </c>
      <c r="E4912">
        <v>0</v>
      </c>
    </row>
    <row r="4913" spans="3:5">
      <c r="C4913" t="s">
        <v>17</v>
      </c>
      <c r="D4913" t="s">
        <v>18</v>
      </c>
      <c r="E4913">
        <v>0</v>
      </c>
    </row>
    <row r="4914" spans="3:5">
      <c r="C4914" t="s">
        <v>15</v>
      </c>
      <c r="D4914" t="s">
        <v>16</v>
      </c>
      <c r="E4914">
        <v>0</v>
      </c>
    </row>
    <row r="4915" spans="3:5">
      <c r="C4915" t="s">
        <v>17</v>
      </c>
      <c r="D4915" t="s">
        <v>18</v>
      </c>
      <c r="E4915">
        <v>0</v>
      </c>
    </row>
    <row r="4916" spans="3:5">
      <c r="C4916" t="s">
        <v>15</v>
      </c>
      <c r="D4916" t="s">
        <v>16</v>
      </c>
      <c r="E4916">
        <v>0</v>
      </c>
    </row>
    <row r="4917" spans="3:5">
      <c r="C4917" t="s">
        <v>15</v>
      </c>
      <c r="D4917" t="s">
        <v>16</v>
      </c>
      <c r="E4917">
        <v>0</v>
      </c>
    </row>
    <row r="4918" spans="3:5">
      <c r="C4918" t="s">
        <v>17</v>
      </c>
      <c r="D4918" t="s">
        <v>18</v>
      </c>
      <c r="E4918">
        <v>0</v>
      </c>
    </row>
    <row r="4919" spans="3:5">
      <c r="C4919" t="s">
        <v>17</v>
      </c>
      <c r="D4919" t="s">
        <v>18</v>
      </c>
      <c r="E4919">
        <v>0</v>
      </c>
    </row>
    <row r="4920" spans="3:5">
      <c r="C4920" t="s">
        <v>17</v>
      </c>
      <c r="D4920" t="s">
        <v>18</v>
      </c>
      <c r="E4920">
        <v>0</v>
      </c>
    </row>
    <row r="4921" spans="3:5">
      <c r="C4921" t="s">
        <v>17</v>
      </c>
      <c r="D4921" t="s">
        <v>18</v>
      </c>
      <c r="E4921">
        <v>0</v>
      </c>
    </row>
    <row r="4922" spans="3:5">
      <c r="C4922" t="s">
        <v>15</v>
      </c>
      <c r="D4922" t="s">
        <v>16</v>
      </c>
      <c r="E4922">
        <v>0</v>
      </c>
    </row>
    <row r="4923" spans="3:5">
      <c r="C4923" t="s">
        <v>15</v>
      </c>
      <c r="D4923" t="s">
        <v>16</v>
      </c>
      <c r="E4923">
        <v>0</v>
      </c>
    </row>
    <row r="4924" spans="3:5">
      <c r="C4924" t="s">
        <v>17</v>
      </c>
      <c r="D4924" t="s">
        <v>18</v>
      </c>
      <c r="E4924">
        <v>0</v>
      </c>
    </row>
    <row r="4925" spans="3:5">
      <c r="C4925" t="s">
        <v>15</v>
      </c>
      <c r="D4925" t="s">
        <v>16</v>
      </c>
      <c r="E4925">
        <v>0</v>
      </c>
    </row>
    <row r="4926" spans="3:5">
      <c r="C4926" t="s">
        <v>17</v>
      </c>
      <c r="D4926" t="s">
        <v>18</v>
      </c>
      <c r="E4926">
        <v>0</v>
      </c>
    </row>
    <row r="4927" spans="3:5">
      <c r="C4927" t="s">
        <v>17</v>
      </c>
      <c r="D4927" t="s">
        <v>18</v>
      </c>
      <c r="E4927">
        <v>0</v>
      </c>
    </row>
    <row r="4928" spans="3:5">
      <c r="C4928" t="s">
        <v>15</v>
      </c>
      <c r="D4928" t="s">
        <v>16</v>
      </c>
      <c r="E4928">
        <v>0</v>
      </c>
    </row>
    <row r="4929" spans="3:5">
      <c r="C4929" t="s">
        <v>17</v>
      </c>
      <c r="D4929" t="s">
        <v>18</v>
      </c>
      <c r="E4929">
        <v>0</v>
      </c>
    </row>
    <row r="4930" spans="3:5">
      <c r="C4930" t="s">
        <v>15</v>
      </c>
      <c r="D4930" t="s">
        <v>16</v>
      </c>
      <c r="E4930">
        <v>0</v>
      </c>
    </row>
    <row r="4931" spans="3:5">
      <c r="C4931" t="s">
        <v>17</v>
      </c>
      <c r="D4931" t="s">
        <v>18</v>
      </c>
      <c r="E4931">
        <v>0</v>
      </c>
    </row>
    <row r="4932" spans="3:5">
      <c r="C4932" t="s">
        <v>17</v>
      </c>
      <c r="D4932" t="s">
        <v>18</v>
      </c>
      <c r="E4932">
        <v>0</v>
      </c>
    </row>
    <row r="4933" spans="3:5">
      <c r="C4933" t="s">
        <v>17</v>
      </c>
      <c r="D4933" t="s">
        <v>18</v>
      </c>
      <c r="E4933">
        <v>0</v>
      </c>
    </row>
    <row r="4934" spans="3:5">
      <c r="C4934" t="s">
        <v>17</v>
      </c>
      <c r="D4934" t="s">
        <v>18</v>
      </c>
      <c r="E4934">
        <v>0</v>
      </c>
    </row>
    <row r="4935" spans="3:5">
      <c r="C4935" t="s">
        <v>17</v>
      </c>
      <c r="D4935" t="s">
        <v>18</v>
      </c>
      <c r="E4935">
        <v>0</v>
      </c>
    </row>
    <row r="4936" spans="3:5">
      <c r="C4936" t="s">
        <v>17</v>
      </c>
      <c r="D4936" t="s">
        <v>18</v>
      </c>
      <c r="E4936">
        <v>0</v>
      </c>
    </row>
    <row r="4937" spans="3:5">
      <c r="C4937" t="s">
        <v>17</v>
      </c>
      <c r="D4937" t="s">
        <v>18</v>
      </c>
      <c r="E4937">
        <v>0</v>
      </c>
    </row>
    <row r="4938" spans="3:5">
      <c r="C4938" t="s">
        <v>17</v>
      </c>
      <c r="D4938" t="s">
        <v>18</v>
      </c>
      <c r="E4938">
        <v>0</v>
      </c>
    </row>
    <row r="4939" spans="3:5">
      <c r="C4939" t="s">
        <v>17</v>
      </c>
      <c r="D4939" t="s">
        <v>18</v>
      </c>
      <c r="E4939">
        <v>0</v>
      </c>
    </row>
    <row r="4940" spans="3:5">
      <c r="C4940" t="s">
        <v>15</v>
      </c>
      <c r="D4940" t="s">
        <v>16</v>
      </c>
      <c r="E4940">
        <v>0</v>
      </c>
    </row>
    <row r="4941" spans="3:5">
      <c r="C4941" t="s">
        <v>17</v>
      </c>
      <c r="D4941" t="s">
        <v>18</v>
      </c>
      <c r="E4941">
        <v>0</v>
      </c>
    </row>
    <row r="4942" spans="3:5">
      <c r="C4942" t="s">
        <v>15</v>
      </c>
      <c r="D4942" t="s">
        <v>16</v>
      </c>
      <c r="E4942">
        <v>1</v>
      </c>
    </row>
    <row r="4943" spans="3:5">
      <c r="C4943" t="s">
        <v>17</v>
      </c>
      <c r="D4943" t="s">
        <v>18</v>
      </c>
      <c r="E4943">
        <v>0</v>
      </c>
    </row>
    <row r="4944" spans="3:5">
      <c r="C4944" t="s">
        <v>15</v>
      </c>
      <c r="D4944" t="s">
        <v>16</v>
      </c>
      <c r="E4944">
        <v>0</v>
      </c>
    </row>
    <row r="4945" spans="3:5">
      <c r="C4945" t="s">
        <v>17</v>
      </c>
      <c r="D4945" t="s">
        <v>18</v>
      </c>
      <c r="E4945">
        <v>0</v>
      </c>
    </row>
    <row r="4946" spans="3:5">
      <c r="C4946" t="s">
        <v>17</v>
      </c>
      <c r="D4946" t="s">
        <v>18</v>
      </c>
      <c r="E4946">
        <v>0</v>
      </c>
    </row>
    <row r="4947" spans="3:5">
      <c r="C4947" t="s">
        <v>17</v>
      </c>
      <c r="D4947" t="s">
        <v>18</v>
      </c>
      <c r="E4947">
        <v>0</v>
      </c>
    </row>
    <row r="4948" spans="3:5">
      <c r="C4948" t="s">
        <v>17</v>
      </c>
      <c r="D4948" t="s">
        <v>18</v>
      </c>
      <c r="E4948">
        <v>0</v>
      </c>
    </row>
    <row r="4949" spans="3:5">
      <c r="C4949" t="s">
        <v>17</v>
      </c>
      <c r="D4949" t="s">
        <v>18</v>
      </c>
      <c r="E4949">
        <v>0</v>
      </c>
    </row>
    <row r="4950" spans="3:5">
      <c r="C4950" t="s">
        <v>15</v>
      </c>
      <c r="D4950" t="s">
        <v>16</v>
      </c>
      <c r="E4950">
        <v>0</v>
      </c>
    </row>
    <row r="4951" spans="3:5">
      <c r="C4951" t="s">
        <v>15</v>
      </c>
      <c r="D4951" t="s">
        <v>16</v>
      </c>
      <c r="E4951">
        <v>0</v>
      </c>
    </row>
    <row r="4952" spans="3:5">
      <c r="C4952" t="s">
        <v>15</v>
      </c>
      <c r="D4952" t="s">
        <v>16</v>
      </c>
      <c r="E4952">
        <v>0</v>
      </c>
    </row>
    <row r="4953" spans="3:5">
      <c r="C4953" t="s">
        <v>17</v>
      </c>
      <c r="D4953" t="s">
        <v>18</v>
      </c>
      <c r="E4953">
        <v>0</v>
      </c>
    </row>
    <row r="4954" spans="3:5">
      <c r="C4954" t="s">
        <v>15</v>
      </c>
      <c r="D4954" t="s">
        <v>16</v>
      </c>
      <c r="E4954">
        <v>0</v>
      </c>
    </row>
    <row r="4955" spans="3:5">
      <c r="C4955" t="s">
        <v>15</v>
      </c>
      <c r="D4955" t="s">
        <v>16</v>
      </c>
      <c r="E4955">
        <v>0</v>
      </c>
    </row>
    <row r="4956" spans="3:5">
      <c r="C4956" t="s">
        <v>15</v>
      </c>
      <c r="D4956" t="s">
        <v>16</v>
      </c>
      <c r="E4956">
        <v>0</v>
      </c>
    </row>
    <row r="4957" spans="3:5">
      <c r="C4957" t="s">
        <v>15</v>
      </c>
      <c r="D4957" t="s">
        <v>16</v>
      </c>
      <c r="E4957">
        <v>0</v>
      </c>
    </row>
    <row r="4958" spans="3:5">
      <c r="C4958" t="s">
        <v>15</v>
      </c>
      <c r="D4958" t="s">
        <v>16</v>
      </c>
      <c r="E4958">
        <v>0</v>
      </c>
    </row>
    <row r="4959" spans="3:5">
      <c r="C4959" t="s">
        <v>17</v>
      </c>
      <c r="D4959" t="s">
        <v>18</v>
      </c>
      <c r="E4959">
        <v>0</v>
      </c>
    </row>
    <row r="4960" spans="3:5">
      <c r="C4960" t="s">
        <v>17</v>
      </c>
      <c r="D4960" t="s">
        <v>18</v>
      </c>
      <c r="E4960">
        <v>0</v>
      </c>
    </row>
    <row r="4961" spans="3:5">
      <c r="C4961" t="s">
        <v>17</v>
      </c>
      <c r="D4961" t="s">
        <v>18</v>
      </c>
      <c r="E4961">
        <v>0</v>
      </c>
    </row>
    <row r="4962" spans="3:5">
      <c r="C4962" t="s">
        <v>15</v>
      </c>
      <c r="D4962" t="s">
        <v>16</v>
      </c>
      <c r="E4962">
        <v>0</v>
      </c>
    </row>
    <row r="4963" spans="3:5">
      <c r="C4963" t="s">
        <v>15</v>
      </c>
      <c r="D4963" t="s">
        <v>16</v>
      </c>
      <c r="E4963">
        <v>0</v>
      </c>
    </row>
    <row r="4964" spans="3:5">
      <c r="C4964" t="s">
        <v>17</v>
      </c>
      <c r="D4964" t="s">
        <v>18</v>
      </c>
      <c r="E4964">
        <v>0</v>
      </c>
    </row>
    <row r="4965" spans="3:5">
      <c r="C4965" t="s">
        <v>17</v>
      </c>
      <c r="D4965" t="s">
        <v>18</v>
      </c>
      <c r="E4965">
        <v>0</v>
      </c>
    </row>
    <row r="4966" spans="3:5">
      <c r="C4966" t="s">
        <v>17</v>
      </c>
      <c r="D4966" t="s">
        <v>18</v>
      </c>
      <c r="E4966">
        <v>0</v>
      </c>
    </row>
    <row r="4967" spans="3:5">
      <c r="C4967" t="s">
        <v>17</v>
      </c>
      <c r="D4967" t="s">
        <v>18</v>
      </c>
      <c r="E4967">
        <v>0</v>
      </c>
    </row>
    <row r="4968" spans="3:5">
      <c r="C4968" t="s">
        <v>15</v>
      </c>
      <c r="D4968" t="s">
        <v>16</v>
      </c>
      <c r="E4968">
        <v>0</v>
      </c>
    </row>
    <row r="4969" spans="3:5">
      <c r="C4969" t="s">
        <v>17</v>
      </c>
      <c r="D4969" t="s">
        <v>18</v>
      </c>
      <c r="E4969">
        <v>0</v>
      </c>
    </row>
    <row r="4970" spans="3:5">
      <c r="C4970" t="s">
        <v>17</v>
      </c>
      <c r="D4970" t="s">
        <v>18</v>
      </c>
      <c r="E4970">
        <v>0</v>
      </c>
    </row>
    <row r="4971" spans="3:5">
      <c r="C4971" t="s">
        <v>17</v>
      </c>
      <c r="D4971" t="s">
        <v>18</v>
      </c>
      <c r="E4971">
        <v>0</v>
      </c>
    </row>
    <row r="4972" spans="3:5">
      <c r="C4972" t="s">
        <v>15</v>
      </c>
      <c r="D4972" t="s">
        <v>16</v>
      </c>
      <c r="E4972">
        <v>0</v>
      </c>
    </row>
    <row r="4973" spans="3:5">
      <c r="C4973" t="s">
        <v>15</v>
      </c>
      <c r="D4973" t="s">
        <v>16</v>
      </c>
      <c r="E4973">
        <v>0</v>
      </c>
    </row>
    <row r="4974" spans="3:5">
      <c r="C4974" t="s">
        <v>17</v>
      </c>
      <c r="D4974" t="s">
        <v>18</v>
      </c>
      <c r="E4974">
        <v>0</v>
      </c>
    </row>
    <row r="4975" spans="3:5">
      <c r="C4975" t="s">
        <v>17</v>
      </c>
      <c r="D4975" t="s">
        <v>18</v>
      </c>
      <c r="E4975">
        <v>0</v>
      </c>
    </row>
    <row r="4976" spans="3:5">
      <c r="C4976" t="s">
        <v>17</v>
      </c>
      <c r="D4976" t="s">
        <v>18</v>
      </c>
      <c r="E4976">
        <v>0</v>
      </c>
    </row>
    <row r="4977" spans="3:5">
      <c r="C4977" t="s">
        <v>17</v>
      </c>
      <c r="D4977" t="s">
        <v>18</v>
      </c>
      <c r="E4977">
        <v>0</v>
      </c>
    </row>
    <row r="4978" spans="3:5">
      <c r="C4978" t="s">
        <v>17</v>
      </c>
      <c r="D4978" t="s">
        <v>18</v>
      </c>
      <c r="E4978">
        <v>0</v>
      </c>
    </row>
    <row r="4979" spans="3:5">
      <c r="C4979" t="s">
        <v>17</v>
      </c>
      <c r="D4979" t="s">
        <v>18</v>
      </c>
      <c r="E4979">
        <v>1</v>
      </c>
    </row>
    <row r="4980" spans="3:5">
      <c r="C4980" t="s">
        <v>15</v>
      </c>
      <c r="D4980" t="s">
        <v>16</v>
      </c>
      <c r="E4980">
        <v>0</v>
      </c>
    </row>
    <row r="4981" spans="3:5">
      <c r="C4981" t="s">
        <v>15</v>
      </c>
      <c r="D4981" t="s">
        <v>16</v>
      </c>
      <c r="E4981">
        <v>0</v>
      </c>
    </row>
    <row r="4982" spans="3:5">
      <c r="C4982" t="s">
        <v>17</v>
      </c>
      <c r="D4982" t="s">
        <v>18</v>
      </c>
      <c r="E4982">
        <v>0</v>
      </c>
    </row>
    <row r="4983" spans="3:5">
      <c r="C4983" t="s">
        <v>17</v>
      </c>
      <c r="D4983" t="s">
        <v>18</v>
      </c>
      <c r="E4983">
        <v>0</v>
      </c>
    </row>
    <row r="4984" spans="3:5">
      <c r="C4984" t="s">
        <v>15</v>
      </c>
      <c r="D4984" t="s">
        <v>16</v>
      </c>
      <c r="E4984">
        <v>0</v>
      </c>
    </row>
    <row r="4985" spans="3:5">
      <c r="C4985" t="s">
        <v>15</v>
      </c>
      <c r="D4985" t="s">
        <v>16</v>
      </c>
      <c r="E4985">
        <v>0</v>
      </c>
    </row>
    <row r="4986" spans="3:5">
      <c r="C4986" t="s">
        <v>15</v>
      </c>
      <c r="D4986" t="s">
        <v>16</v>
      </c>
      <c r="E4986">
        <v>0</v>
      </c>
    </row>
    <row r="4987" spans="3:5">
      <c r="C4987" t="s">
        <v>15</v>
      </c>
      <c r="D4987" t="s">
        <v>16</v>
      </c>
      <c r="E4987">
        <v>0</v>
      </c>
    </row>
    <row r="4988" spans="3:5">
      <c r="C4988" t="s">
        <v>17</v>
      </c>
      <c r="D4988" t="s">
        <v>18</v>
      </c>
      <c r="E4988">
        <v>0</v>
      </c>
    </row>
    <row r="4989" spans="3:5">
      <c r="C4989" t="s">
        <v>15</v>
      </c>
      <c r="D4989" t="s">
        <v>16</v>
      </c>
      <c r="E4989">
        <v>0</v>
      </c>
    </row>
    <row r="4990" spans="3:5">
      <c r="C4990" t="s">
        <v>17</v>
      </c>
      <c r="D4990" t="s">
        <v>18</v>
      </c>
      <c r="E4990">
        <v>0</v>
      </c>
    </row>
    <row r="4991" spans="3:5">
      <c r="C4991" t="s">
        <v>17</v>
      </c>
      <c r="D4991" t="s">
        <v>18</v>
      </c>
      <c r="E4991">
        <v>0</v>
      </c>
    </row>
    <row r="4992" spans="3:5">
      <c r="C4992" t="s">
        <v>15</v>
      </c>
      <c r="D4992" t="s">
        <v>16</v>
      </c>
      <c r="E4992">
        <v>0</v>
      </c>
    </row>
    <row r="4993" spans="3:5">
      <c r="C4993" t="s">
        <v>17</v>
      </c>
      <c r="D4993" t="s">
        <v>18</v>
      </c>
      <c r="E4993">
        <v>0</v>
      </c>
    </row>
    <row r="4994" spans="3:5">
      <c r="C4994" t="s">
        <v>17</v>
      </c>
      <c r="D4994" t="s">
        <v>18</v>
      </c>
      <c r="E4994">
        <v>0</v>
      </c>
    </row>
    <row r="4995" spans="3:5">
      <c r="C4995" t="s">
        <v>15</v>
      </c>
      <c r="D4995" t="s">
        <v>16</v>
      </c>
      <c r="E4995">
        <v>0</v>
      </c>
    </row>
    <row r="4996" spans="3:5">
      <c r="C4996" t="s">
        <v>15</v>
      </c>
      <c r="D4996" t="s">
        <v>16</v>
      </c>
      <c r="E4996">
        <v>0</v>
      </c>
    </row>
    <row r="4997" spans="3:5">
      <c r="C4997" t="s">
        <v>17</v>
      </c>
      <c r="D4997" t="s">
        <v>18</v>
      </c>
      <c r="E4997">
        <v>0</v>
      </c>
    </row>
    <row r="4998" spans="3:5">
      <c r="C4998" t="s">
        <v>15</v>
      </c>
      <c r="D4998" t="s">
        <v>16</v>
      </c>
      <c r="E4998">
        <v>0</v>
      </c>
    </row>
    <row r="4999" spans="3:5">
      <c r="C4999" t="s">
        <v>15</v>
      </c>
      <c r="D4999" t="s">
        <v>16</v>
      </c>
      <c r="E4999">
        <v>1</v>
      </c>
    </row>
    <row r="5000" spans="3:5">
      <c r="C5000" t="s">
        <v>17</v>
      </c>
      <c r="D5000" t="s">
        <v>18</v>
      </c>
      <c r="E5000">
        <v>0</v>
      </c>
    </row>
    <row r="5001" spans="3:5">
      <c r="C5001" t="s">
        <v>17</v>
      </c>
      <c r="D5001" t="s">
        <v>18</v>
      </c>
      <c r="E5001">
        <v>0</v>
      </c>
    </row>
    <row r="5002" spans="3:5">
      <c r="C5002" t="s">
        <v>17</v>
      </c>
      <c r="D5002" t="s">
        <v>18</v>
      </c>
      <c r="E5002">
        <v>0</v>
      </c>
    </row>
    <row r="5003" spans="3:5">
      <c r="C5003" t="s">
        <v>17</v>
      </c>
      <c r="D5003" t="s">
        <v>18</v>
      </c>
      <c r="E5003">
        <v>1</v>
      </c>
    </row>
    <row r="5004" spans="3:5">
      <c r="C5004" t="s">
        <v>15</v>
      </c>
      <c r="D5004" t="s">
        <v>16</v>
      </c>
      <c r="E5004">
        <v>0</v>
      </c>
    </row>
    <row r="5005" spans="3:5">
      <c r="C5005" t="s">
        <v>17</v>
      </c>
      <c r="D5005" t="s">
        <v>18</v>
      </c>
      <c r="E5005">
        <v>0</v>
      </c>
    </row>
    <row r="5006" spans="3:5">
      <c r="C5006" t="s">
        <v>17</v>
      </c>
      <c r="D5006" t="s">
        <v>18</v>
      </c>
      <c r="E5006">
        <v>0</v>
      </c>
    </row>
    <row r="5007" spans="3:5">
      <c r="C5007" t="s">
        <v>17</v>
      </c>
      <c r="D5007" t="s">
        <v>18</v>
      </c>
      <c r="E5007">
        <v>0</v>
      </c>
    </row>
    <row r="5008" spans="3:5">
      <c r="C5008" t="s">
        <v>15</v>
      </c>
      <c r="D5008" t="s">
        <v>16</v>
      </c>
      <c r="E5008">
        <v>0</v>
      </c>
    </row>
    <row r="5009" spans="3:5">
      <c r="C5009" t="s">
        <v>17</v>
      </c>
      <c r="D5009" t="s">
        <v>18</v>
      </c>
      <c r="E5009">
        <v>0</v>
      </c>
    </row>
    <row r="5010" spans="3:5">
      <c r="C5010" t="s">
        <v>17</v>
      </c>
      <c r="D5010" t="s">
        <v>18</v>
      </c>
      <c r="E5010">
        <v>0</v>
      </c>
    </row>
    <row r="5011" spans="3:5">
      <c r="C5011" t="s">
        <v>15</v>
      </c>
      <c r="D5011" t="s">
        <v>16</v>
      </c>
      <c r="E5011">
        <v>0</v>
      </c>
    </row>
    <row r="5012" spans="3:5">
      <c r="C5012" t="s">
        <v>15</v>
      </c>
      <c r="D5012" t="s">
        <v>16</v>
      </c>
      <c r="E5012">
        <v>0</v>
      </c>
    </row>
    <row r="5013" spans="3:5">
      <c r="C5013" t="s">
        <v>17</v>
      </c>
      <c r="D5013" t="s">
        <v>18</v>
      </c>
      <c r="E5013">
        <v>0</v>
      </c>
    </row>
    <row r="5014" spans="3:5">
      <c r="C5014" t="s">
        <v>15</v>
      </c>
      <c r="D5014" t="s">
        <v>16</v>
      </c>
      <c r="E5014">
        <v>0</v>
      </c>
    </row>
    <row r="5015" spans="3:5">
      <c r="C5015" t="s">
        <v>15</v>
      </c>
      <c r="D5015" t="s">
        <v>16</v>
      </c>
      <c r="E5015">
        <v>0</v>
      </c>
    </row>
    <row r="5016" spans="3:5">
      <c r="C5016" t="s">
        <v>17</v>
      </c>
      <c r="D5016" t="s">
        <v>18</v>
      </c>
      <c r="E5016">
        <v>0</v>
      </c>
    </row>
    <row r="5017" spans="3:5">
      <c r="C5017" t="s">
        <v>17</v>
      </c>
      <c r="D5017" t="s">
        <v>18</v>
      </c>
      <c r="E5017">
        <v>0</v>
      </c>
    </row>
    <row r="5018" spans="3:5">
      <c r="C5018" t="s">
        <v>17</v>
      </c>
      <c r="D5018" t="s">
        <v>18</v>
      </c>
      <c r="E5018">
        <v>0</v>
      </c>
    </row>
    <row r="5019" spans="3:5">
      <c r="C5019" t="s">
        <v>17</v>
      </c>
      <c r="D5019" t="s">
        <v>18</v>
      </c>
      <c r="E5019">
        <v>0</v>
      </c>
    </row>
    <row r="5020" spans="3:5">
      <c r="C5020" t="s">
        <v>17</v>
      </c>
      <c r="D5020" t="s">
        <v>18</v>
      </c>
      <c r="E5020">
        <v>0</v>
      </c>
    </row>
    <row r="5021" spans="3:5">
      <c r="C5021" t="s">
        <v>15</v>
      </c>
      <c r="D5021" t="s">
        <v>16</v>
      </c>
      <c r="E5021">
        <v>0</v>
      </c>
    </row>
    <row r="5022" spans="3:5">
      <c r="C5022" t="s">
        <v>17</v>
      </c>
      <c r="D5022" t="s">
        <v>18</v>
      </c>
      <c r="E5022">
        <v>0</v>
      </c>
    </row>
    <row r="5023" spans="3:5">
      <c r="C5023" t="s">
        <v>17</v>
      </c>
      <c r="D5023" t="s">
        <v>18</v>
      </c>
      <c r="E5023">
        <v>0</v>
      </c>
    </row>
    <row r="5024" spans="3:5">
      <c r="C5024" t="s">
        <v>17</v>
      </c>
      <c r="D5024" t="s">
        <v>18</v>
      </c>
      <c r="E5024">
        <v>0</v>
      </c>
    </row>
    <row r="5025" spans="3:5">
      <c r="C5025" t="s">
        <v>17</v>
      </c>
      <c r="D5025" t="s">
        <v>18</v>
      </c>
      <c r="E5025">
        <v>0</v>
      </c>
    </row>
    <row r="5026" spans="3:5">
      <c r="C5026" t="s">
        <v>15</v>
      </c>
      <c r="D5026" t="s">
        <v>16</v>
      </c>
      <c r="E5026">
        <v>0</v>
      </c>
    </row>
    <row r="5027" spans="3:5">
      <c r="C5027" t="s">
        <v>17</v>
      </c>
      <c r="D5027" t="s">
        <v>18</v>
      </c>
      <c r="E5027">
        <v>0</v>
      </c>
    </row>
    <row r="5028" spans="3:5">
      <c r="C5028" t="s">
        <v>15</v>
      </c>
      <c r="D5028" t="s">
        <v>16</v>
      </c>
      <c r="E5028">
        <v>0</v>
      </c>
    </row>
    <row r="5029" spans="3:5">
      <c r="C5029" t="s">
        <v>17</v>
      </c>
      <c r="D5029" t="s">
        <v>18</v>
      </c>
      <c r="E5029">
        <v>0</v>
      </c>
    </row>
    <row r="5030" spans="3:5">
      <c r="C5030" t="s">
        <v>15</v>
      </c>
      <c r="D5030" t="s">
        <v>16</v>
      </c>
      <c r="E5030">
        <v>0</v>
      </c>
    </row>
    <row r="5031" spans="3:5">
      <c r="C5031" t="s">
        <v>15</v>
      </c>
      <c r="D5031" t="s">
        <v>16</v>
      </c>
      <c r="E5031">
        <v>0</v>
      </c>
    </row>
    <row r="5032" spans="3:5">
      <c r="C5032" t="s">
        <v>15</v>
      </c>
      <c r="D5032" t="s">
        <v>16</v>
      </c>
      <c r="E5032">
        <v>0</v>
      </c>
    </row>
    <row r="5033" spans="3:5">
      <c r="C5033" t="s">
        <v>17</v>
      </c>
      <c r="D5033" t="s">
        <v>18</v>
      </c>
      <c r="E5033">
        <v>0</v>
      </c>
    </row>
    <row r="5034" spans="3:5">
      <c r="C5034" t="s">
        <v>17</v>
      </c>
      <c r="D5034" t="s">
        <v>18</v>
      </c>
      <c r="E5034">
        <v>0</v>
      </c>
    </row>
    <row r="5035" spans="3:5">
      <c r="C5035" t="s">
        <v>15</v>
      </c>
      <c r="D5035" t="s">
        <v>16</v>
      </c>
      <c r="E5035">
        <v>0</v>
      </c>
    </row>
    <row r="5036" spans="3:5">
      <c r="C5036" t="s">
        <v>15</v>
      </c>
      <c r="D5036" t="s">
        <v>16</v>
      </c>
      <c r="E5036">
        <v>0</v>
      </c>
    </row>
    <row r="5037" spans="3:5">
      <c r="C5037" t="s">
        <v>17</v>
      </c>
      <c r="D5037" t="s">
        <v>18</v>
      </c>
      <c r="E5037">
        <v>0</v>
      </c>
    </row>
    <row r="5038" spans="3:5">
      <c r="C5038" t="s">
        <v>15</v>
      </c>
      <c r="D5038" t="s">
        <v>16</v>
      </c>
      <c r="E5038">
        <v>0</v>
      </c>
    </row>
    <row r="5039" spans="3:5">
      <c r="C5039" t="s">
        <v>15</v>
      </c>
      <c r="D5039" t="s">
        <v>16</v>
      </c>
      <c r="E5039">
        <v>0</v>
      </c>
    </row>
    <row r="5040" spans="3:5">
      <c r="C5040" t="s">
        <v>17</v>
      </c>
      <c r="D5040" t="s">
        <v>18</v>
      </c>
      <c r="E5040">
        <v>0</v>
      </c>
    </row>
    <row r="5041" spans="3:5">
      <c r="C5041" t="s">
        <v>15</v>
      </c>
      <c r="D5041" t="s">
        <v>16</v>
      </c>
      <c r="E5041">
        <v>0</v>
      </c>
    </row>
    <row r="5042" spans="3:5">
      <c r="C5042" t="s">
        <v>17</v>
      </c>
      <c r="D5042" t="s">
        <v>18</v>
      </c>
      <c r="E5042">
        <v>0</v>
      </c>
    </row>
    <row r="5043" spans="3:5">
      <c r="C5043" t="s">
        <v>15</v>
      </c>
      <c r="D5043" t="s">
        <v>16</v>
      </c>
      <c r="E5043">
        <v>0</v>
      </c>
    </row>
    <row r="5044" spans="3:5">
      <c r="C5044" t="s">
        <v>15</v>
      </c>
      <c r="D5044" t="s">
        <v>16</v>
      </c>
      <c r="E5044">
        <v>0</v>
      </c>
    </row>
    <row r="5045" spans="3:5">
      <c r="C5045" t="s">
        <v>15</v>
      </c>
      <c r="D5045" t="s">
        <v>16</v>
      </c>
      <c r="E5045">
        <v>1</v>
      </c>
    </row>
    <row r="5046" spans="3:5">
      <c r="C5046" t="s">
        <v>17</v>
      </c>
      <c r="D5046" t="s">
        <v>18</v>
      </c>
      <c r="E5046">
        <v>0</v>
      </c>
    </row>
    <row r="5047" spans="3:5">
      <c r="C5047" t="s">
        <v>17</v>
      </c>
      <c r="D5047" t="s">
        <v>18</v>
      </c>
      <c r="E5047">
        <v>0</v>
      </c>
    </row>
    <row r="5048" spans="3:5">
      <c r="C5048" t="s">
        <v>17</v>
      </c>
      <c r="D5048" t="s">
        <v>18</v>
      </c>
      <c r="E5048">
        <v>0</v>
      </c>
    </row>
    <row r="5049" spans="3:5">
      <c r="C5049" t="s">
        <v>17</v>
      </c>
      <c r="D5049" t="s">
        <v>18</v>
      </c>
      <c r="E5049">
        <v>0</v>
      </c>
    </row>
    <row r="5050" spans="3:5">
      <c r="C5050" t="s">
        <v>15</v>
      </c>
      <c r="D5050" t="s">
        <v>16</v>
      </c>
      <c r="E5050">
        <v>0</v>
      </c>
    </row>
    <row r="5051" spans="3:5">
      <c r="C5051" t="s">
        <v>17</v>
      </c>
      <c r="D5051" t="s">
        <v>18</v>
      </c>
      <c r="E5051">
        <v>0</v>
      </c>
    </row>
    <row r="5052" spans="3:5">
      <c r="C5052" t="s">
        <v>17</v>
      </c>
      <c r="D5052" t="s">
        <v>18</v>
      </c>
      <c r="E5052">
        <v>0</v>
      </c>
    </row>
    <row r="5053" spans="3:5">
      <c r="C5053" t="s">
        <v>17</v>
      </c>
      <c r="D5053" t="s">
        <v>18</v>
      </c>
      <c r="E5053">
        <v>0</v>
      </c>
    </row>
    <row r="5054" spans="3:5">
      <c r="C5054" t="s">
        <v>15</v>
      </c>
      <c r="D5054" t="s">
        <v>16</v>
      </c>
      <c r="E5054">
        <v>0</v>
      </c>
    </row>
    <row r="5055" spans="3:5">
      <c r="C5055" t="s">
        <v>17</v>
      </c>
      <c r="D5055" t="s">
        <v>18</v>
      </c>
      <c r="E5055">
        <v>0</v>
      </c>
    </row>
    <row r="5056" spans="3:5">
      <c r="C5056" t="s">
        <v>15</v>
      </c>
      <c r="D5056" t="s">
        <v>16</v>
      </c>
      <c r="E5056">
        <v>0</v>
      </c>
    </row>
    <row r="5057" spans="3:5">
      <c r="C5057" t="s">
        <v>15</v>
      </c>
      <c r="D5057" t="s">
        <v>16</v>
      </c>
      <c r="E5057">
        <v>0</v>
      </c>
    </row>
    <row r="5058" spans="3:5">
      <c r="C5058" t="s">
        <v>15</v>
      </c>
      <c r="D5058" t="s">
        <v>16</v>
      </c>
      <c r="E5058">
        <v>0</v>
      </c>
    </row>
    <row r="5059" spans="3:5">
      <c r="C5059" t="s">
        <v>17</v>
      </c>
      <c r="D5059" t="s">
        <v>18</v>
      </c>
      <c r="E5059">
        <v>0</v>
      </c>
    </row>
    <row r="5060" spans="3:5">
      <c r="C5060" t="s">
        <v>15</v>
      </c>
      <c r="D5060" t="s">
        <v>16</v>
      </c>
      <c r="E5060">
        <v>0</v>
      </c>
    </row>
    <row r="5061" spans="3:5">
      <c r="C5061" t="s">
        <v>15</v>
      </c>
      <c r="D5061" t="s">
        <v>16</v>
      </c>
      <c r="E5061">
        <v>0</v>
      </c>
    </row>
    <row r="5062" spans="3:5">
      <c r="C5062" t="s">
        <v>17</v>
      </c>
      <c r="D5062" t="s">
        <v>18</v>
      </c>
      <c r="E5062">
        <v>0</v>
      </c>
    </row>
    <row r="5063" spans="3:5">
      <c r="C5063" t="s">
        <v>15</v>
      </c>
      <c r="D5063" t="s">
        <v>16</v>
      </c>
      <c r="E5063">
        <v>0</v>
      </c>
    </row>
    <row r="5064" spans="3:5">
      <c r="C5064" t="s">
        <v>17</v>
      </c>
      <c r="D5064" t="s">
        <v>18</v>
      </c>
      <c r="E5064">
        <v>0</v>
      </c>
    </row>
    <row r="5065" spans="3:5">
      <c r="C5065" t="s">
        <v>15</v>
      </c>
      <c r="D5065" t="s">
        <v>16</v>
      </c>
      <c r="E5065">
        <v>0</v>
      </c>
    </row>
    <row r="5066" spans="3:5">
      <c r="C5066" t="s">
        <v>17</v>
      </c>
      <c r="D5066" t="s">
        <v>18</v>
      </c>
      <c r="E5066">
        <v>0</v>
      </c>
    </row>
    <row r="5067" spans="3:5">
      <c r="C5067" t="s">
        <v>15</v>
      </c>
      <c r="D5067" t="s">
        <v>16</v>
      </c>
      <c r="E5067">
        <v>0</v>
      </c>
    </row>
    <row r="5068" spans="3:5">
      <c r="C5068" t="s">
        <v>17</v>
      </c>
      <c r="D5068" t="s">
        <v>18</v>
      </c>
      <c r="E5068">
        <v>0</v>
      </c>
    </row>
    <row r="5069" spans="3:5">
      <c r="C5069" t="s">
        <v>17</v>
      </c>
      <c r="D5069" t="s">
        <v>18</v>
      </c>
      <c r="E5069">
        <v>0</v>
      </c>
    </row>
    <row r="5070" spans="3:5">
      <c r="C5070" t="s">
        <v>15</v>
      </c>
      <c r="D5070" t="s">
        <v>16</v>
      </c>
      <c r="E5070">
        <v>0</v>
      </c>
    </row>
    <row r="5071" spans="3:5">
      <c r="C5071" t="s">
        <v>17</v>
      </c>
      <c r="D5071" t="s">
        <v>18</v>
      </c>
      <c r="E5071">
        <v>0</v>
      </c>
    </row>
    <row r="5072" spans="3:5">
      <c r="C5072" t="s">
        <v>17</v>
      </c>
      <c r="D5072" t="s">
        <v>18</v>
      </c>
      <c r="E5072">
        <v>0</v>
      </c>
    </row>
    <row r="5073" spans="3:5">
      <c r="C5073" t="s">
        <v>17</v>
      </c>
      <c r="D5073" t="s">
        <v>18</v>
      </c>
      <c r="E5073">
        <v>0</v>
      </c>
    </row>
    <row r="5074" spans="3:5">
      <c r="C5074" t="s">
        <v>17</v>
      </c>
      <c r="D5074" t="s">
        <v>18</v>
      </c>
      <c r="E5074">
        <v>0</v>
      </c>
    </row>
    <row r="5075" spans="3:5">
      <c r="C5075" t="s">
        <v>17</v>
      </c>
      <c r="D5075" t="s">
        <v>18</v>
      </c>
      <c r="E5075">
        <v>0</v>
      </c>
    </row>
    <row r="5076" spans="3:5">
      <c r="C5076" t="s">
        <v>15</v>
      </c>
      <c r="D5076" t="s">
        <v>16</v>
      </c>
      <c r="E5076">
        <v>1</v>
      </c>
    </row>
    <row r="5077" spans="3:5">
      <c r="C5077" t="s">
        <v>17</v>
      </c>
      <c r="D5077" t="s">
        <v>18</v>
      </c>
      <c r="E5077">
        <v>0</v>
      </c>
    </row>
    <row r="5078" spans="3:5">
      <c r="C5078" t="s">
        <v>17</v>
      </c>
      <c r="D5078" t="s">
        <v>18</v>
      </c>
      <c r="E5078">
        <v>0</v>
      </c>
    </row>
    <row r="5079" spans="3:5">
      <c r="C5079" t="s">
        <v>15</v>
      </c>
      <c r="D5079" t="s">
        <v>16</v>
      </c>
      <c r="E5079">
        <v>0</v>
      </c>
    </row>
    <row r="5080" spans="3:5">
      <c r="C5080" t="s">
        <v>15</v>
      </c>
      <c r="D5080" t="s">
        <v>16</v>
      </c>
      <c r="E5080">
        <v>0</v>
      </c>
    </row>
    <row r="5081" spans="3:5">
      <c r="C5081" t="s">
        <v>17</v>
      </c>
      <c r="D5081" t="s">
        <v>18</v>
      </c>
      <c r="E5081">
        <v>0</v>
      </c>
    </row>
    <row r="5082" spans="3:5">
      <c r="C5082" t="s">
        <v>17</v>
      </c>
      <c r="D5082" t="s">
        <v>18</v>
      </c>
      <c r="E5082">
        <v>0</v>
      </c>
    </row>
    <row r="5083" spans="3:5">
      <c r="C5083" t="s">
        <v>17</v>
      </c>
      <c r="D5083" t="s">
        <v>18</v>
      </c>
      <c r="E5083">
        <v>0</v>
      </c>
    </row>
    <row r="5084" spans="3:5">
      <c r="C5084" t="s">
        <v>17</v>
      </c>
      <c r="D5084" t="s">
        <v>18</v>
      </c>
      <c r="E5084">
        <v>0</v>
      </c>
    </row>
    <row r="5085" spans="3:5">
      <c r="C5085" t="s">
        <v>15</v>
      </c>
      <c r="D5085" t="s">
        <v>16</v>
      </c>
      <c r="E5085">
        <v>0</v>
      </c>
    </row>
    <row r="5086" spans="3:5">
      <c r="C5086" t="s">
        <v>17</v>
      </c>
      <c r="D5086" t="s">
        <v>18</v>
      </c>
      <c r="E5086">
        <v>0</v>
      </c>
    </row>
    <row r="5087" spans="3:5">
      <c r="C5087" t="s">
        <v>15</v>
      </c>
      <c r="D5087" t="s">
        <v>16</v>
      </c>
      <c r="E5087">
        <v>0</v>
      </c>
    </row>
    <row r="5088" spans="3:5">
      <c r="C5088" t="s">
        <v>17</v>
      </c>
      <c r="D5088" t="s">
        <v>18</v>
      </c>
      <c r="E5088">
        <v>0</v>
      </c>
    </row>
    <row r="5089" spans="3:5">
      <c r="C5089" t="s">
        <v>17</v>
      </c>
      <c r="D5089" t="s">
        <v>18</v>
      </c>
      <c r="E5089">
        <v>0</v>
      </c>
    </row>
    <row r="5090" spans="3:5">
      <c r="C5090" t="s">
        <v>15</v>
      </c>
      <c r="D5090" t="s">
        <v>16</v>
      </c>
      <c r="E5090">
        <v>0</v>
      </c>
    </row>
    <row r="5091" spans="3:5">
      <c r="C5091" t="s">
        <v>17</v>
      </c>
      <c r="D5091" t="s">
        <v>18</v>
      </c>
      <c r="E5091">
        <v>0</v>
      </c>
    </row>
    <row r="5092" spans="3:5">
      <c r="C5092" t="s">
        <v>15</v>
      </c>
      <c r="D5092" t="s">
        <v>16</v>
      </c>
      <c r="E5092">
        <v>0</v>
      </c>
    </row>
    <row r="5093" spans="3:5">
      <c r="C5093" t="s">
        <v>15</v>
      </c>
      <c r="D5093" t="s">
        <v>16</v>
      </c>
      <c r="E5093">
        <v>0</v>
      </c>
    </row>
    <row r="5094" spans="3:5">
      <c r="C5094" t="s">
        <v>17</v>
      </c>
      <c r="D5094" t="s">
        <v>18</v>
      </c>
      <c r="E5094">
        <v>0</v>
      </c>
    </row>
    <row r="5095" spans="3:5">
      <c r="C5095" t="s">
        <v>15</v>
      </c>
      <c r="D5095" t="s">
        <v>16</v>
      </c>
      <c r="E5095">
        <v>0</v>
      </c>
    </row>
    <row r="5096" spans="3:5">
      <c r="C5096" t="s">
        <v>17</v>
      </c>
      <c r="D5096" t="s">
        <v>18</v>
      </c>
      <c r="E5096">
        <v>0</v>
      </c>
    </row>
    <row r="5097" spans="3:5">
      <c r="C5097" t="s">
        <v>17</v>
      </c>
      <c r="D5097" t="s">
        <v>18</v>
      </c>
      <c r="E5097">
        <v>0</v>
      </c>
    </row>
    <row r="5098" spans="3:5">
      <c r="C5098" t="s">
        <v>17</v>
      </c>
      <c r="D5098" t="s">
        <v>18</v>
      </c>
      <c r="E5098">
        <v>0</v>
      </c>
    </row>
    <row r="5099" spans="3:5">
      <c r="C5099" t="s">
        <v>17</v>
      </c>
      <c r="D5099" t="s">
        <v>18</v>
      </c>
      <c r="E5099">
        <v>0</v>
      </c>
    </row>
    <row r="5100" spans="3:5">
      <c r="C5100" t="s">
        <v>17</v>
      </c>
      <c r="D5100" t="s">
        <v>18</v>
      </c>
      <c r="E5100">
        <v>0</v>
      </c>
    </row>
    <row r="5101" spans="3:5">
      <c r="C5101" t="s">
        <v>17</v>
      </c>
      <c r="D5101" t="s">
        <v>18</v>
      </c>
      <c r="E5101">
        <v>0</v>
      </c>
    </row>
    <row r="5102" spans="3:5">
      <c r="C5102" t="s">
        <v>17</v>
      </c>
      <c r="D5102" t="s">
        <v>18</v>
      </c>
      <c r="E5102">
        <v>0</v>
      </c>
    </row>
    <row r="5103" spans="3:5">
      <c r="C5103" t="s">
        <v>17</v>
      </c>
      <c r="D5103" t="s">
        <v>18</v>
      </c>
      <c r="E5103">
        <v>0</v>
      </c>
    </row>
    <row r="5104" spans="3:5">
      <c r="C5104" t="s">
        <v>15</v>
      </c>
      <c r="D5104" t="s">
        <v>16</v>
      </c>
      <c r="E5104">
        <v>0</v>
      </c>
    </row>
    <row r="5105" spans="3:5">
      <c r="C5105" t="s">
        <v>15</v>
      </c>
      <c r="D5105" t="s">
        <v>16</v>
      </c>
      <c r="E5105">
        <v>0</v>
      </c>
    </row>
    <row r="5106" spans="3:5">
      <c r="C5106" t="s">
        <v>17</v>
      </c>
      <c r="D5106" t="s">
        <v>18</v>
      </c>
      <c r="E5106">
        <v>0</v>
      </c>
    </row>
    <row r="5107" spans="3:5">
      <c r="C5107" t="s">
        <v>17</v>
      </c>
      <c r="D5107" t="s">
        <v>18</v>
      </c>
      <c r="E5107">
        <v>0</v>
      </c>
    </row>
    <row r="5108" spans="3:5">
      <c r="C5108" t="s">
        <v>17</v>
      </c>
      <c r="D5108" t="s">
        <v>18</v>
      </c>
      <c r="E5108">
        <v>0</v>
      </c>
    </row>
    <row r="5109" spans="3:5">
      <c r="C5109" t="s">
        <v>17</v>
      </c>
      <c r="D5109" t="s">
        <v>18</v>
      </c>
      <c r="E5109">
        <v>0</v>
      </c>
    </row>
    <row r="5110" spans="3:5">
      <c r="C5110" t="s">
        <v>15</v>
      </c>
      <c r="D5110" t="s">
        <v>16</v>
      </c>
      <c r="E5110">
        <v>0</v>
      </c>
    </row>
    <row r="5111" spans="3:5">
      <c r="C5111" t="s">
        <v>17</v>
      </c>
      <c r="D5111" t="s">
        <v>18</v>
      </c>
      <c r="E5111">
        <v>1</v>
      </c>
    </row>
    <row r="5112" spans="3:5">
      <c r="C5112" t="s">
        <v>15</v>
      </c>
      <c r="D5112" t="s">
        <v>16</v>
      </c>
      <c r="E5112">
        <v>0</v>
      </c>
    </row>
    <row r="5113" spans="3:5">
      <c r="C5113" t="s">
        <v>17</v>
      </c>
      <c r="D5113" t="s">
        <v>18</v>
      </c>
      <c r="E5113">
        <v>0</v>
      </c>
    </row>
    <row r="5114" spans="3:5">
      <c r="C5114" t="s">
        <v>17</v>
      </c>
      <c r="D5114" t="s">
        <v>18</v>
      </c>
      <c r="E5114">
        <v>0</v>
      </c>
    </row>
    <row r="5115" spans="3:5">
      <c r="C5115" t="s">
        <v>15</v>
      </c>
      <c r="D5115" t="s">
        <v>16</v>
      </c>
      <c r="E5115">
        <v>0</v>
      </c>
    </row>
    <row r="5116" spans="3:5">
      <c r="C5116" t="s">
        <v>17</v>
      </c>
      <c r="D5116" t="s">
        <v>18</v>
      </c>
      <c r="E5116">
        <v>0</v>
      </c>
    </row>
    <row r="5117" spans="3:5">
      <c r="C5117" t="s">
        <v>17</v>
      </c>
      <c r="D5117" t="s">
        <v>18</v>
      </c>
      <c r="E5117">
        <v>0</v>
      </c>
    </row>
    <row r="5118" spans="3:5">
      <c r="C5118" t="s">
        <v>15</v>
      </c>
      <c r="D5118" t="s">
        <v>16</v>
      </c>
      <c r="E5118">
        <v>0</v>
      </c>
    </row>
    <row r="5119" spans="3:5">
      <c r="C5119" t="s">
        <v>17</v>
      </c>
      <c r="D5119" t="s">
        <v>18</v>
      </c>
      <c r="E5119">
        <v>1</v>
      </c>
    </row>
    <row r="5120" spans="3:5">
      <c r="C5120" t="s">
        <v>15</v>
      </c>
      <c r="D5120" t="s">
        <v>16</v>
      </c>
      <c r="E5120">
        <v>0</v>
      </c>
    </row>
    <row r="5121" spans="3:5">
      <c r="C5121" t="s">
        <v>17</v>
      </c>
      <c r="D5121" t="s">
        <v>18</v>
      </c>
      <c r="E5121">
        <v>0</v>
      </c>
    </row>
    <row r="5122" spans="3:5">
      <c r="C5122" t="s">
        <v>17</v>
      </c>
      <c r="D5122" t="s">
        <v>18</v>
      </c>
      <c r="E5122">
        <v>0</v>
      </c>
    </row>
    <row r="5123" spans="3:5">
      <c r="C5123" t="s">
        <v>17</v>
      </c>
      <c r="D5123" t="s">
        <v>18</v>
      </c>
      <c r="E5123">
        <v>0</v>
      </c>
    </row>
    <row r="5124" spans="3:5">
      <c r="C5124" t="s">
        <v>15</v>
      </c>
      <c r="D5124" t="s">
        <v>16</v>
      </c>
      <c r="E5124">
        <v>0</v>
      </c>
    </row>
    <row r="5125" spans="3:5">
      <c r="C5125" t="s">
        <v>17</v>
      </c>
      <c r="D5125" t="s">
        <v>18</v>
      </c>
      <c r="E5125">
        <v>0</v>
      </c>
    </row>
    <row r="5126" spans="3:5">
      <c r="C5126" t="s">
        <v>15</v>
      </c>
      <c r="D5126" t="s">
        <v>16</v>
      </c>
      <c r="E5126">
        <v>0</v>
      </c>
    </row>
    <row r="5127" spans="3:5">
      <c r="C5127" t="s">
        <v>15</v>
      </c>
      <c r="D5127" t="s">
        <v>16</v>
      </c>
      <c r="E5127">
        <v>0</v>
      </c>
    </row>
    <row r="5128" spans="3:5">
      <c r="C5128" t="s">
        <v>17</v>
      </c>
      <c r="D5128" t="s">
        <v>18</v>
      </c>
      <c r="E5128">
        <v>0</v>
      </c>
    </row>
    <row r="5129" spans="3:5">
      <c r="C5129" t="s">
        <v>17</v>
      </c>
      <c r="D5129" t="s">
        <v>18</v>
      </c>
      <c r="E5129">
        <v>0</v>
      </c>
    </row>
    <row r="5130" spans="3:5">
      <c r="C5130" t="s">
        <v>15</v>
      </c>
      <c r="D5130" t="s">
        <v>16</v>
      </c>
      <c r="E5130">
        <v>0</v>
      </c>
    </row>
    <row r="5131" spans="3:5">
      <c r="C5131" t="s">
        <v>15</v>
      </c>
      <c r="D5131" t="s">
        <v>16</v>
      </c>
      <c r="E5131">
        <v>0</v>
      </c>
    </row>
    <row r="5132" spans="3:5">
      <c r="C5132" t="s">
        <v>15</v>
      </c>
      <c r="D5132" t="s">
        <v>16</v>
      </c>
      <c r="E5132">
        <v>0</v>
      </c>
    </row>
    <row r="5133" spans="3:5">
      <c r="C5133" t="s">
        <v>15</v>
      </c>
      <c r="D5133" t="s">
        <v>16</v>
      </c>
      <c r="E5133">
        <v>0</v>
      </c>
    </row>
    <row r="5134" spans="3:5">
      <c r="C5134" t="s">
        <v>15</v>
      </c>
      <c r="D5134" t="s">
        <v>16</v>
      </c>
      <c r="E5134">
        <v>0</v>
      </c>
    </row>
    <row r="5135" spans="3:5">
      <c r="C5135" t="s">
        <v>17</v>
      </c>
      <c r="D5135" t="s">
        <v>18</v>
      </c>
      <c r="E5135">
        <v>0</v>
      </c>
    </row>
    <row r="5136" spans="3:5">
      <c r="C5136" t="s">
        <v>15</v>
      </c>
      <c r="D5136" t="s">
        <v>16</v>
      </c>
      <c r="E5136">
        <v>0</v>
      </c>
    </row>
    <row r="5137" spans="3:5">
      <c r="C5137" t="s">
        <v>17</v>
      </c>
      <c r="D5137" t="s">
        <v>18</v>
      </c>
      <c r="E5137">
        <v>0</v>
      </c>
    </row>
    <row r="5138" spans="3:5">
      <c r="C5138" t="s">
        <v>17</v>
      </c>
      <c r="D5138" t="s">
        <v>18</v>
      </c>
      <c r="E5138">
        <v>0</v>
      </c>
    </row>
    <row r="5139" spans="3:5">
      <c r="C5139" t="s">
        <v>15</v>
      </c>
      <c r="D5139" t="s">
        <v>16</v>
      </c>
      <c r="E5139">
        <v>0</v>
      </c>
    </row>
    <row r="5140" spans="3:5">
      <c r="C5140" t="s">
        <v>15</v>
      </c>
      <c r="D5140" t="s">
        <v>16</v>
      </c>
      <c r="E5140">
        <v>0</v>
      </c>
    </row>
    <row r="5141" spans="3:5">
      <c r="C5141" t="s">
        <v>17</v>
      </c>
      <c r="D5141" t="s">
        <v>18</v>
      </c>
      <c r="E5141">
        <v>0</v>
      </c>
    </row>
    <row r="5142" spans="3:5">
      <c r="C5142" t="s">
        <v>17</v>
      </c>
      <c r="D5142" t="s">
        <v>18</v>
      </c>
      <c r="E5142">
        <v>0</v>
      </c>
    </row>
    <row r="5143" spans="3:5">
      <c r="C5143" t="s">
        <v>15</v>
      </c>
      <c r="D5143" t="s">
        <v>16</v>
      </c>
      <c r="E5143">
        <v>0</v>
      </c>
    </row>
    <row r="5144" spans="3:5">
      <c r="C5144" t="s">
        <v>15</v>
      </c>
      <c r="D5144" t="s">
        <v>16</v>
      </c>
      <c r="E5144">
        <v>0</v>
      </c>
    </row>
    <row r="5145" spans="3:5">
      <c r="C5145" t="s">
        <v>17</v>
      </c>
      <c r="D5145" t="s">
        <v>18</v>
      </c>
      <c r="E5145">
        <v>0</v>
      </c>
    </row>
    <row r="5146" spans="3:5">
      <c r="C5146" t="s">
        <v>17</v>
      </c>
      <c r="D5146" t="s">
        <v>18</v>
      </c>
      <c r="E5146">
        <v>0</v>
      </c>
    </row>
    <row r="5147" spans="3:5">
      <c r="C5147" t="s">
        <v>15</v>
      </c>
      <c r="D5147" t="s">
        <v>16</v>
      </c>
      <c r="E5147">
        <v>0</v>
      </c>
    </row>
    <row r="5148" spans="3:5">
      <c r="C5148" t="s">
        <v>17</v>
      </c>
      <c r="D5148" t="s">
        <v>18</v>
      </c>
      <c r="E5148">
        <v>0</v>
      </c>
    </row>
    <row r="5149" spans="3:5">
      <c r="C5149" t="s">
        <v>15</v>
      </c>
      <c r="D5149" t="s">
        <v>16</v>
      </c>
      <c r="E5149">
        <v>0</v>
      </c>
    </row>
    <row r="5150" spans="3:5">
      <c r="C5150" t="s">
        <v>15</v>
      </c>
      <c r="D5150" t="s">
        <v>16</v>
      </c>
      <c r="E5150">
        <v>0</v>
      </c>
    </row>
    <row r="5151" spans="3:5">
      <c r="C5151" t="s">
        <v>15</v>
      </c>
      <c r="D5151" t="s">
        <v>16</v>
      </c>
      <c r="E5151">
        <v>1</v>
      </c>
    </row>
    <row r="5152" spans="3:5">
      <c r="C5152" t="s">
        <v>15</v>
      </c>
      <c r="D5152" t="s">
        <v>16</v>
      </c>
      <c r="E5152">
        <v>0</v>
      </c>
    </row>
    <row r="5153" spans="3:5">
      <c r="C5153" t="s">
        <v>17</v>
      </c>
      <c r="D5153" t="s">
        <v>18</v>
      </c>
      <c r="E5153">
        <v>0</v>
      </c>
    </row>
    <row r="5154" spans="3:5">
      <c r="C5154" t="s">
        <v>17</v>
      </c>
      <c r="D5154" t="s">
        <v>18</v>
      </c>
      <c r="E5154">
        <v>0</v>
      </c>
    </row>
    <row r="5155" spans="3:5">
      <c r="C5155" t="s">
        <v>15</v>
      </c>
      <c r="D5155" t="s">
        <v>16</v>
      </c>
      <c r="E5155">
        <v>0</v>
      </c>
    </row>
    <row r="5156" spans="3:5">
      <c r="C5156" t="s">
        <v>17</v>
      </c>
      <c r="D5156" t="s">
        <v>18</v>
      </c>
      <c r="E5156">
        <v>0</v>
      </c>
    </row>
    <row r="5157" spans="3:5">
      <c r="C5157" t="s">
        <v>15</v>
      </c>
      <c r="D5157" t="s">
        <v>16</v>
      </c>
      <c r="E5157">
        <v>0</v>
      </c>
    </row>
    <row r="5158" spans="3:5">
      <c r="C5158" t="s">
        <v>17</v>
      </c>
      <c r="D5158" t="s">
        <v>18</v>
      </c>
      <c r="E5158">
        <v>0</v>
      </c>
    </row>
    <row r="5159" spans="3:5">
      <c r="C5159" t="s">
        <v>17</v>
      </c>
      <c r="D5159" t="s">
        <v>18</v>
      </c>
      <c r="E5159">
        <v>0</v>
      </c>
    </row>
    <row r="5160" spans="3:5">
      <c r="C5160" t="s">
        <v>15</v>
      </c>
      <c r="D5160" t="s">
        <v>16</v>
      </c>
      <c r="E5160">
        <v>0</v>
      </c>
    </row>
    <row r="5161" spans="3:5">
      <c r="C5161" t="s">
        <v>17</v>
      </c>
      <c r="D5161" t="s">
        <v>18</v>
      </c>
      <c r="E5161">
        <v>0</v>
      </c>
    </row>
    <row r="5162" spans="3:5">
      <c r="C5162" t="s">
        <v>17</v>
      </c>
      <c r="D5162" t="s">
        <v>18</v>
      </c>
      <c r="E5162">
        <v>0</v>
      </c>
    </row>
    <row r="5163" spans="3:5">
      <c r="C5163" t="s">
        <v>15</v>
      </c>
      <c r="D5163" t="s">
        <v>16</v>
      </c>
      <c r="E5163">
        <v>0</v>
      </c>
    </row>
    <row r="5164" spans="3:5">
      <c r="C5164" t="s">
        <v>15</v>
      </c>
      <c r="D5164" t="s">
        <v>16</v>
      </c>
      <c r="E5164">
        <v>0</v>
      </c>
    </row>
    <row r="5165" spans="3:5">
      <c r="C5165" t="s">
        <v>17</v>
      </c>
      <c r="D5165" t="s">
        <v>18</v>
      </c>
      <c r="E5165">
        <v>0</v>
      </c>
    </row>
    <row r="5166" spans="3:5">
      <c r="C5166" t="s">
        <v>15</v>
      </c>
      <c r="D5166" t="s">
        <v>16</v>
      </c>
      <c r="E5166">
        <v>0</v>
      </c>
    </row>
    <row r="5167" spans="3:5">
      <c r="C5167" t="s">
        <v>17</v>
      </c>
      <c r="D5167" t="s">
        <v>18</v>
      </c>
      <c r="E5167">
        <v>0</v>
      </c>
    </row>
    <row r="5168" spans="3:5">
      <c r="C5168" t="s">
        <v>17</v>
      </c>
      <c r="D5168" t="s">
        <v>18</v>
      </c>
      <c r="E5168">
        <v>0</v>
      </c>
    </row>
    <row r="5169" spans="3:5">
      <c r="C5169" t="s">
        <v>15</v>
      </c>
      <c r="D5169" t="s">
        <v>16</v>
      </c>
      <c r="E5169">
        <v>0</v>
      </c>
    </row>
    <row r="5170" spans="3:5">
      <c r="C5170" t="s">
        <v>17</v>
      </c>
      <c r="D5170" t="s">
        <v>18</v>
      </c>
      <c r="E5170">
        <v>0</v>
      </c>
    </row>
    <row r="5171" spans="3:5">
      <c r="C5171" t="s">
        <v>15</v>
      </c>
      <c r="D5171" t="s">
        <v>16</v>
      </c>
      <c r="E5171">
        <v>0</v>
      </c>
    </row>
    <row r="5172" spans="3:5">
      <c r="C5172" t="s">
        <v>15</v>
      </c>
      <c r="D5172" t="s">
        <v>16</v>
      </c>
      <c r="E5172">
        <v>0</v>
      </c>
    </row>
    <row r="5173" spans="3:5">
      <c r="C5173" t="s">
        <v>15</v>
      </c>
      <c r="D5173" t="s">
        <v>16</v>
      </c>
      <c r="E5173">
        <v>0</v>
      </c>
    </row>
    <row r="5174" spans="3:5">
      <c r="C5174" t="s">
        <v>15</v>
      </c>
      <c r="D5174" t="s">
        <v>16</v>
      </c>
      <c r="E5174">
        <v>0</v>
      </c>
    </row>
    <row r="5175" spans="3:5">
      <c r="C5175" t="s">
        <v>15</v>
      </c>
      <c r="D5175" t="s">
        <v>16</v>
      </c>
      <c r="E5175">
        <v>0</v>
      </c>
    </row>
    <row r="5176" spans="3:5">
      <c r="C5176" t="s">
        <v>15</v>
      </c>
      <c r="D5176" t="s">
        <v>16</v>
      </c>
      <c r="E5176">
        <v>0</v>
      </c>
    </row>
    <row r="5177" spans="3:5">
      <c r="C5177" t="s">
        <v>17</v>
      </c>
      <c r="D5177" t="s">
        <v>18</v>
      </c>
      <c r="E5177">
        <v>0</v>
      </c>
    </row>
    <row r="5178" spans="3:5">
      <c r="C5178" t="s">
        <v>17</v>
      </c>
      <c r="D5178" t="s">
        <v>18</v>
      </c>
      <c r="E5178">
        <v>0</v>
      </c>
    </row>
    <row r="5179" spans="3:5">
      <c r="C5179" t="s">
        <v>17</v>
      </c>
      <c r="D5179" t="s">
        <v>18</v>
      </c>
      <c r="E5179">
        <v>0</v>
      </c>
    </row>
    <row r="5180" spans="3:5">
      <c r="C5180" t="s">
        <v>17</v>
      </c>
      <c r="D5180" t="s">
        <v>18</v>
      </c>
      <c r="E5180">
        <v>1</v>
      </c>
    </row>
    <row r="5181" spans="3:5">
      <c r="C5181" t="s">
        <v>15</v>
      </c>
      <c r="D5181" t="s">
        <v>16</v>
      </c>
      <c r="E5181">
        <v>0</v>
      </c>
    </row>
    <row r="5182" spans="3:5">
      <c r="C5182" t="s">
        <v>17</v>
      </c>
      <c r="D5182" t="s">
        <v>18</v>
      </c>
      <c r="E5182">
        <v>0</v>
      </c>
    </row>
    <row r="5183" spans="3:5">
      <c r="C5183" t="s">
        <v>15</v>
      </c>
      <c r="D5183" t="s">
        <v>16</v>
      </c>
      <c r="E5183">
        <v>0</v>
      </c>
    </row>
    <row r="5184" spans="3:5">
      <c r="C5184" t="s">
        <v>15</v>
      </c>
      <c r="D5184" t="s">
        <v>16</v>
      </c>
      <c r="E5184">
        <v>0</v>
      </c>
    </row>
    <row r="5185" spans="3:5">
      <c r="C5185" t="s">
        <v>17</v>
      </c>
      <c r="D5185" t="s">
        <v>18</v>
      </c>
      <c r="E5185">
        <v>0</v>
      </c>
    </row>
    <row r="5186" spans="3:5">
      <c r="C5186" t="s">
        <v>15</v>
      </c>
      <c r="D5186" t="s">
        <v>16</v>
      </c>
      <c r="E5186">
        <v>0</v>
      </c>
    </row>
    <row r="5187" spans="3:5">
      <c r="C5187" t="s">
        <v>15</v>
      </c>
      <c r="D5187" t="s">
        <v>16</v>
      </c>
      <c r="E5187">
        <v>0</v>
      </c>
    </row>
    <row r="5188" spans="3:5">
      <c r="C5188" t="s">
        <v>15</v>
      </c>
      <c r="D5188" t="s">
        <v>16</v>
      </c>
      <c r="E5188">
        <v>0</v>
      </c>
    </row>
    <row r="5189" spans="3:5">
      <c r="C5189" t="s">
        <v>15</v>
      </c>
      <c r="D5189" t="s">
        <v>16</v>
      </c>
      <c r="E5189">
        <v>0</v>
      </c>
    </row>
    <row r="5190" spans="3:5">
      <c r="C5190" t="s">
        <v>15</v>
      </c>
      <c r="D5190" t="s">
        <v>16</v>
      </c>
      <c r="E5190">
        <v>0</v>
      </c>
    </row>
    <row r="5191" spans="3:5">
      <c r="C5191" t="s">
        <v>15</v>
      </c>
      <c r="D5191" t="s">
        <v>16</v>
      </c>
      <c r="E5191">
        <v>0</v>
      </c>
    </row>
    <row r="5192" spans="3:5">
      <c r="C5192" t="s">
        <v>15</v>
      </c>
      <c r="D5192" t="s">
        <v>16</v>
      </c>
      <c r="E5192">
        <v>0</v>
      </c>
    </row>
    <row r="5193" spans="3:5">
      <c r="C5193" t="s">
        <v>17</v>
      </c>
      <c r="D5193" t="s">
        <v>18</v>
      </c>
      <c r="E5193">
        <v>0</v>
      </c>
    </row>
    <row r="5194" spans="3:5">
      <c r="C5194" t="s">
        <v>15</v>
      </c>
      <c r="D5194" t="s">
        <v>16</v>
      </c>
      <c r="E5194">
        <v>0</v>
      </c>
    </row>
    <row r="5195" spans="3:5">
      <c r="C5195" t="s">
        <v>15</v>
      </c>
      <c r="D5195" t="s">
        <v>16</v>
      </c>
      <c r="E5195">
        <v>0</v>
      </c>
    </row>
    <row r="5196" spans="3:5">
      <c r="C5196" t="s">
        <v>15</v>
      </c>
      <c r="D5196" t="s">
        <v>16</v>
      </c>
      <c r="E5196">
        <v>0</v>
      </c>
    </row>
    <row r="5197" spans="3:5">
      <c r="C5197" t="s">
        <v>17</v>
      </c>
      <c r="D5197" t="s">
        <v>18</v>
      </c>
      <c r="E5197">
        <v>0</v>
      </c>
    </row>
    <row r="5198" spans="3:5">
      <c r="C5198" t="s">
        <v>15</v>
      </c>
      <c r="D5198" t="s">
        <v>16</v>
      </c>
      <c r="E5198">
        <v>0</v>
      </c>
    </row>
    <row r="5199" spans="3:5">
      <c r="C5199" t="s">
        <v>17</v>
      </c>
      <c r="D5199" t="s">
        <v>18</v>
      </c>
      <c r="E5199">
        <v>0</v>
      </c>
    </row>
    <row r="5200" spans="3:5">
      <c r="C5200" t="s">
        <v>17</v>
      </c>
      <c r="D5200" t="s">
        <v>18</v>
      </c>
      <c r="E5200">
        <v>0</v>
      </c>
    </row>
    <row r="5201" spans="3:5">
      <c r="C5201" t="s">
        <v>15</v>
      </c>
      <c r="D5201" t="s">
        <v>16</v>
      </c>
      <c r="E5201">
        <v>0</v>
      </c>
    </row>
    <row r="5202" spans="3:5">
      <c r="C5202" t="s">
        <v>17</v>
      </c>
      <c r="D5202" t="s">
        <v>18</v>
      </c>
      <c r="E5202">
        <v>0</v>
      </c>
    </row>
    <row r="5203" spans="3:5">
      <c r="C5203" t="s">
        <v>15</v>
      </c>
      <c r="D5203" t="s">
        <v>16</v>
      </c>
      <c r="E5203">
        <v>0</v>
      </c>
    </row>
    <row r="5204" spans="3:5">
      <c r="C5204" t="s">
        <v>17</v>
      </c>
      <c r="D5204" t="s">
        <v>18</v>
      </c>
      <c r="E5204">
        <v>0</v>
      </c>
    </row>
    <row r="5205" spans="3:5">
      <c r="C5205" t="s">
        <v>15</v>
      </c>
      <c r="D5205" t="s">
        <v>16</v>
      </c>
      <c r="E5205">
        <v>0</v>
      </c>
    </row>
    <row r="5206" spans="3:5">
      <c r="C5206" t="s">
        <v>15</v>
      </c>
      <c r="D5206" t="s">
        <v>16</v>
      </c>
      <c r="E5206">
        <v>0</v>
      </c>
    </row>
    <row r="5207" spans="3:5">
      <c r="C5207" t="s">
        <v>17</v>
      </c>
      <c r="D5207" t="s">
        <v>18</v>
      </c>
      <c r="E5207">
        <v>0</v>
      </c>
    </row>
    <row r="5208" spans="3:5">
      <c r="C5208" t="s">
        <v>17</v>
      </c>
      <c r="D5208" t="s">
        <v>18</v>
      </c>
      <c r="E5208">
        <v>0</v>
      </c>
    </row>
    <row r="5209" spans="3:5">
      <c r="C5209" t="s">
        <v>17</v>
      </c>
      <c r="D5209" t="s">
        <v>18</v>
      </c>
      <c r="E5209">
        <v>0</v>
      </c>
    </row>
    <row r="5210" spans="3:5">
      <c r="C5210" t="s">
        <v>17</v>
      </c>
      <c r="D5210" t="s">
        <v>18</v>
      </c>
      <c r="E5210">
        <v>0</v>
      </c>
    </row>
    <row r="5211" spans="3:5">
      <c r="C5211" t="s">
        <v>15</v>
      </c>
      <c r="D5211" t="s">
        <v>16</v>
      </c>
      <c r="E5211">
        <v>0</v>
      </c>
    </row>
    <row r="5212" spans="3:5">
      <c r="C5212" t="s">
        <v>17</v>
      </c>
      <c r="D5212" t="s">
        <v>18</v>
      </c>
      <c r="E5212">
        <v>0</v>
      </c>
    </row>
    <row r="5213" spans="3:5">
      <c r="C5213" t="s">
        <v>15</v>
      </c>
      <c r="D5213" t="s">
        <v>16</v>
      </c>
      <c r="E5213">
        <v>0</v>
      </c>
    </row>
    <row r="5214" spans="3:5">
      <c r="C5214" t="s">
        <v>17</v>
      </c>
      <c r="D5214" t="s">
        <v>18</v>
      </c>
      <c r="E5214">
        <v>0</v>
      </c>
    </row>
    <row r="5215" spans="3:5">
      <c r="C5215" t="s">
        <v>17</v>
      </c>
      <c r="D5215" t="s">
        <v>18</v>
      </c>
      <c r="E5215">
        <v>0</v>
      </c>
    </row>
    <row r="5216" spans="3:5">
      <c r="C5216" t="s">
        <v>17</v>
      </c>
      <c r="D5216" t="s">
        <v>18</v>
      </c>
      <c r="E5216">
        <v>0</v>
      </c>
    </row>
    <row r="5217" spans="3:5">
      <c r="C5217" t="s">
        <v>15</v>
      </c>
      <c r="D5217" t="s">
        <v>16</v>
      </c>
      <c r="E5217">
        <v>0</v>
      </c>
    </row>
    <row r="5218" spans="3:5">
      <c r="C5218" t="s">
        <v>17</v>
      </c>
      <c r="D5218" t="s">
        <v>18</v>
      </c>
      <c r="E5218">
        <v>0</v>
      </c>
    </row>
    <row r="5219" spans="3:5">
      <c r="C5219" t="s">
        <v>17</v>
      </c>
      <c r="D5219" t="s">
        <v>18</v>
      </c>
      <c r="E5219">
        <v>0</v>
      </c>
    </row>
    <row r="5220" spans="3:5">
      <c r="C5220" t="s">
        <v>15</v>
      </c>
      <c r="D5220" t="s">
        <v>16</v>
      </c>
      <c r="E5220">
        <v>0</v>
      </c>
    </row>
    <row r="5221" spans="3:5">
      <c r="C5221" t="s">
        <v>15</v>
      </c>
      <c r="D5221" t="s">
        <v>16</v>
      </c>
      <c r="E5221">
        <v>0</v>
      </c>
    </row>
    <row r="5222" spans="3:5">
      <c r="C5222" t="s">
        <v>17</v>
      </c>
      <c r="D5222" t="s">
        <v>18</v>
      </c>
      <c r="E5222">
        <v>0</v>
      </c>
    </row>
    <row r="5223" spans="3:5">
      <c r="C5223" t="s">
        <v>15</v>
      </c>
      <c r="D5223" t="s">
        <v>16</v>
      </c>
      <c r="E5223">
        <v>0</v>
      </c>
    </row>
    <row r="5224" spans="3:5">
      <c r="C5224" t="s">
        <v>17</v>
      </c>
      <c r="D5224" t="s">
        <v>18</v>
      </c>
      <c r="E5224">
        <v>0</v>
      </c>
    </row>
    <row r="5225" spans="3:5">
      <c r="C5225" t="s">
        <v>17</v>
      </c>
      <c r="D5225" t="s">
        <v>18</v>
      </c>
      <c r="E5225">
        <v>0</v>
      </c>
    </row>
    <row r="5226" spans="3:5">
      <c r="C5226" t="s">
        <v>17</v>
      </c>
      <c r="D5226" t="s">
        <v>18</v>
      </c>
      <c r="E5226">
        <v>0</v>
      </c>
    </row>
    <row r="5227" spans="3:5">
      <c r="C5227" t="s">
        <v>17</v>
      </c>
      <c r="D5227" t="s">
        <v>18</v>
      </c>
      <c r="E5227">
        <v>0</v>
      </c>
    </row>
    <row r="5228" spans="3:5">
      <c r="C5228" t="s">
        <v>15</v>
      </c>
      <c r="D5228" t="s">
        <v>16</v>
      </c>
      <c r="E5228">
        <v>0</v>
      </c>
    </row>
    <row r="5229" spans="3:5">
      <c r="C5229" t="s">
        <v>17</v>
      </c>
      <c r="D5229" t="s">
        <v>18</v>
      </c>
      <c r="E5229">
        <v>0</v>
      </c>
    </row>
    <row r="5230" spans="3:5">
      <c r="C5230" t="s">
        <v>17</v>
      </c>
      <c r="D5230" t="s">
        <v>18</v>
      </c>
      <c r="E5230">
        <v>0</v>
      </c>
    </row>
    <row r="5231" spans="3:5">
      <c r="C5231" t="s">
        <v>15</v>
      </c>
      <c r="D5231" t="s">
        <v>16</v>
      </c>
      <c r="E5231">
        <v>0</v>
      </c>
    </row>
    <row r="5232" spans="3:5">
      <c r="C5232" t="s">
        <v>17</v>
      </c>
      <c r="D5232" t="s">
        <v>18</v>
      </c>
      <c r="E5232">
        <v>0</v>
      </c>
    </row>
    <row r="5233" spans="3:5">
      <c r="C5233" t="s">
        <v>17</v>
      </c>
      <c r="D5233" t="s">
        <v>18</v>
      </c>
      <c r="E5233">
        <v>0</v>
      </c>
    </row>
    <row r="5234" spans="3:5">
      <c r="C5234" t="s">
        <v>17</v>
      </c>
      <c r="D5234" t="s">
        <v>18</v>
      </c>
      <c r="E5234">
        <v>0</v>
      </c>
    </row>
    <row r="5235" spans="3:5">
      <c r="C5235" t="s">
        <v>17</v>
      </c>
      <c r="D5235" t="s">
        <v>18</v>
      </c>
      <c r="E5235">
        <v>0</v>
      </c>
    </row>
    <row r="5236" spans="3:5">
      <c r="C5236" t="s">
        <v>17</v>
      </c>
      <c r="D5236" t="s">
        <v>18</v>
      </c>
      <c r="E5236">
        <v>0</v>
      </c>
    </row>
    <row r="5237" spans="3:5">
      <c r="C5237" t="s">
        <v>15</v>
      </c>
      <c r="D5237" t="s">
        <v>16</v>
      </c>
      <c r="E5237">
        <v>0</v>
      </c>
    </row>
    <row r="5238" spans="3:5">
      <c r="C5238" t="s">
        <v>17</v>
      </c>
      <c r="D5238" t="s">
        <v>18</v>
      </c>
      <c r="E5238">
        <v>0</v>
      </c>
    </row>
    <row r="5239" spans="3:5">
      <c r="C5239" t="s">
        <v>17</v>
      </c>
      <c r="D5239" t="s">
        <v>18</v>
      </c>
      <c r="E5239">
        <v>0</v>
      </c>
    </row>
    <row r="5240" spans="3:5">
      <c r="C5240" t="s">
        <v>15</v>
      </c>
      <c r="D5240" t="s">
        <v>16</v>
      </c>
      <c r="E5240">
        <v>0</v>
      </c>
    </row>
    <row r="5241" spans="3:5">
      <c r="C5241" t="s">
        <v>15</v>
      </c>
      <c r="D5241" t="s">
        <v>16</v>
      </c>
      <c r="E5241">
        <v>0</v>
      </c>
    </row>
    <row r="5242" spans="3:5">
      <c r="C5242" t="s">
        <v>17</v>
      </c>
      <c r="D5242" t="s">
        <v>18</v>
      </c>
      <c r="E5242">
        <v>0</v>
      </c>
    </row>
    <row r="5243" spans="3:5">
      <c r="C5243" t="s">
        <v>17</v>
      </c>
      <c r="D5243" t="s">
        <v>18</v>
      </c>
      <c r="E5243">
        <v>0</v>
      </c>
    </row>
    <row r="5244" spans="3:5">
      <c r="C5244" t="s">
        <v>17</v>
      </c>
      <c r="D5244" t="s">
        <v>18</v>
      </c>
      <c r="E5244">
        <v>0</v>
      </c>
    </row>
    <row r="5245" spans="3:5">
      <c r="C5245" t="s">
        <v>17</v>
      </c>
      <c r="D5245" t="s">
        <v>18</v>
      </c>
      <c r="E5245">
        <v>0</v>
      </c>
    </row>
    <row r="5246" spans="3:5">
      <c r="C5246" t="s">
        <v>15</v>
      </c>
      <c r="D5246" t="s">
        <v>16</v>
      </c>
      <c r="E5246">
        <v>0</v>
      </c>
    </row>
    <row r="5247" spans="3:5">
      <c r="C5247" t="s">
        <v>15</v>
      </c>
      <c r="D5247" t="s">
        <v>16</v>
      </c>
      <c r="E5247">
        <v>0</v>
      </c>
    </row>
    <row r="5248" spans="3:5">
      <c r="C5248" t="s">
        <v>17</v>
      </c>
      <c r="D5248" t="s">
        <v>18</v>
      </c>
      <c r="E5248">
        <v>0</v>
      </c>
    </row>
    <row r="5249" spans="3:5">
      <c r="C5249" t="s">
        <v>15</v>
      </c>
      <c r="D5249" t="s">
        <v>16</v>
      </c>
      <c r="E5249">
        <v>0</v>
      </c>
    </row>
    <row r="5250" spans="3:5">
      <c r="C5250" t="s">
        <v>15</v>
      </c>
      <c r="D5250" t="s">
        <v>16</v>
      </c>
      <c r="E5250">
        <v>0</v>
      </c>
    </row>
    <row r="5251" spans="3:5">
      <c r="C5251" t="s">
        <v>17</v>
      </c>
      <c r="D5251" t="s">
        <v>18</v>
      </c>
      <c r="E5251">
        <v>0</v>
      </c>
    </row>
    <row r="5252" spans="3:5">
      <c r="C5252" t="s">
        <v>17</v>
      </c>
      <c r="D5252" t="s">
        <v>18</v>
      </c>
      <c r="E5252">
        <v>0</v>
      </c>
    </row>
    <row r="5253" spans="3:5">
      <c r="C5253" t="s">
        <v>17</v>
      </c>
      <c r="D5253" t="s">
        <v>18</v>
      </c>
      <c r="E5253">
        <v>0</v>
      </c>
    </row>
    <row r="5254" spans="3:5">
      <c r="C5254" t="s">
        <v>17</v>
      </c>
      <c r="D5254" t="s">
        <v>18</v>
      </c>
      <c r="E5254">
        <v>0</v>
      </c>
    </row>
    <row r="5255" spans="3:5">
      <c r="C5255" t="s">
        <v>15</v>
      </c>
      <c r="D5255" t="s">
        <v>16</v>
      </c>
      <c r="E5255">
        <v>0</v>
      </c>
    </row>
    <row r="5256" spans="3:5">
      <c r="C5256" t="s">
        <v>15</v>
      </c>
      <c r="D5256" t="s">
        <v>16</v>
      </c>
      <c r="E5256">
        <v>0</v>
      </c>
    </row>
    <row r="5257" spans="3:5">
      <c r="C5257" t="s">
        <v>15</v>
      </c>
      <c r="D5257" t="s">
        <v>16</v>
      </c>
      <c r="E5257">
        <v>0</v>
      </c>
    </row>
    <row r="5258" spans="3:5">
      <c r="C5258" t="s">
        <v>15</v>
      </c>
      <c r="D5258" t="s">
        <v>16</v>
      </c>
      <c r="E5258">
        <v>0</v>
      </c>
    </row>
    <row r="5259" spans="3:5">
      <c r="C5259" t="s">
        <v>15</v>
      </c>
      <c r="D5259" t="s">
        <v>16</v>
      </c>
      <c r="E5259">
        <v>0</v>
      </c>
    </row>
    <row r="5260" spans="3:5">
      <c r="C5260" t="s">
        <v>15</v>
      </c>
      <c r="D5260" t="s">
        <v>16</v>
      </c>
      <c r="E5260">
        <v>0</v>
      </c>
    </row>
    <row r="5261" spans="3:5">
      <c r="C5261" t="s">
        <v>15</v>
      </c>
      <c r="D5261" t="s">
        <v>16</v>
      </c>
      <c r="E5261">
        <v>0</v>
      </c>
    </row>
    <row r="5262" spans="3:5">
      <c r="C5262" t="s">
        <v>15</v>
      </c>
      <c r="D5262" t="s">
        <v>16</v>
      </c>
      <c r="E5262">
        <v>0</v>
      </c>
    </row>
    <row r="5263" spans="3:5">
      <c r="C5263" t="s">
        <v>15</v>
      </c>
      <c r="D5263" t="s">
        <v>16</v>
      </c>
      <c r="E5263">
        <v>0</v>
      </c>
    </row>
    <row r="5264" spans="3:5">
      <c r="C5264" t="s">
        <v>17</v>
      </c>
      <c r="D5264" t="s">
        <v>18</v>
      </c>
      <c r="E5264">
        <v>0</v>
      </c>
    </row>
    <row r="5265" spans="3:5">
      <c r="C5265" t="s">
        <v>15</v>
      </c>
      <c r="D5265" t="s">
        <v>16</v>
      </c>
      <c r="E5265">
        <v>0</v>
      </c>
    </row>
    <row r="5266" spans="3:5">
      <c r="C5266" t="s">
        <v>15</v>
      </c>
      <c r="D5266" t="s">
        <v>16</v>
      </c>
      <c r="E5266">
        <v>0</v>
      </c>
    </row>
    <row r="5267" spans="3:5">
      <c r="C5267" t="s">
        <v>17</v>
      </c>
      <c r="D5267" t="s">
        <v>18</v>
      </c>
      <c r="E5267">
        <v>0</v>
      </c>
    </row>
    <row r="5268" spans="3:5">
      <c r="C5268" t="s">
        <v>17</v>
      </c>
      <c r="D5268" t="s">
        <v>18</v>
      </c>
      <c r="E5268">
        <v>0</v>
      </c>
    </row>
    <row r="5269" spans="3:5">
      <c r="C5269" t="s">
        <v>17</v>
      </c>
      <c r="D5269" t="s">
        <v>18</v>
      </c>
      <c r="E5269">
        <v>0</v>
      </c>
    </row>
    <row r="5270" spans="3:5">
      <c r="C5270" t="s">
        <v>15</v>
      </c>
      <c r="D5270" t="s">
        <v>16</v>
      </c>
      <c r="E5270">
        <v>0</v>
      </c>
    </row>
    <row r="5271" spans="3:5">
      <c r="C5271" t="s">
        <v>17</v>
      </c>
      <c r="D5271" t="s">
        <v>18</v>
      </c>
      <c r="E5271">
        <v>0</v>
      </c>
    </row>
    <row r="5272" spans="3:5">
      <c r="C5272" t="s">
        <v>15</v>
      </c>
      <c r="D5272" t="s">
        <v>16</v>
      </c>
      <c r="E5272">
        <v>0</v>
      </c>
    </row>
    <row r="5273" spans="3:5">
      <c r="C5273" t="s">
        <v>15</v>
      </c>
      <c r="D5273" t="s">
        <v>16</v>
      </c>
      <c r="E5273">
        <v>0</v>
      </c>
    </row>
    <row r="5274" spans="3:5">
      <c r="C5274" t="s">
        <v>17</v>
      </c>
      <c r="D5274" t="s">
        <v>18</v>
      </c>
      <c r="E5274">
        <v>0</v>
      </c>
    </row>
    <row r="5275" spans="3:5">
      <c r="C5275" t="s">
        <v>15</v>
      </c>
      <c r="D5275" t="s">
        <v>16</v>
      </c>
      <c r="E5275">
        <v>0</v>
      </c>
    </row>
    <row r="5276" spans="3:5">
      <c r="C5276" t="s">
        <v>17</v>
      </c>
      <c r="D5276" t="s">
        <v>18</v>
      </c>
      <c r="E5276">
        <v>0</v>
      </c>
    </row>
    <row r="5277" spans="3:5">
      <c r="C5277" t="s">
        <v>17</v>
      </c>
      <c r="D5277" t="s">
        <v>18</v>
      </c>
      <c r="E5277">
        <v>0</v>
      </c>
    </row>
    <row r="5278" spans="3:5">
      <c r="C5278" t="s">
        <v>17</v>
      </c>
      <c r="D5278" t="s">
        <v>18</v>
      </c>
      <c r="E5278">
        <v>0</v>
      </c>
    </row>
    <row r="5279" spans="3:5">
      <c r="C5279" t="s">
        <v>15</v>
      </c>
      <c r="D5279" t="s">
        <v>16</v>
      </c>
      <c r="E5279">
        <v>1</v>
      </c>
    </row>
    <row r="5280" spans="3:5">
      <c r="C5280" t="s">
        <v>15</v>
      </c>
      <c r="D5280" t="s">
        <v>16</v>
      </c>
      <c r="E5280">
        <v>0</v>
      </c>
    </row>
    <row r="5281" spans="3:5">
      <c r="C5281" t="s">
        <v>17</v>
      </c>
      <c r="D5281" t="s">
        <v>18</v>
      </c>
      <c r="E5281">
        <v>0</v>
      </c>
    </row>
    <row r="5282" spans="3:5">
      <c r="C5282" t="s">
        <v>15</v>
      </c>
      <c r="D5282" t="s">
        <v>16</v>
      </c>
      <c r="E5282">
        <v>0</v>
      </c>
    </row>
    <row r="5283" spans="3:5">
      <c r="C5283" t="s">
        <v>15</v>
      </c>
      <c r="D5283" t="s">
        <v>16</v>
      </c>
      <c r="E5283">
        <v>0</v>
      </c>
    </row>
    <row r="5284" spans="3:5">
      <c r="C5284" t="s">
        <v>17</v>
      </c>
      <c r="D5284" t="s">
        <v>18</v>
      </c>
      <c r="E5284">
        <v>0</v>
      </c>
    </row>
    <row r="5285" spans="3:5">
      <c r="C5285" t="s">
        <v>17</v>
      </c>
      <c r="D5285" t="s">
        <v>18</v>
      </c>
      <c r="E5285">
        <v>0</v>
      </c>
    </row>
    <row r="5286" spans="3:5">
      <c r="C5286" t="s">
        <v>17</v>
      </c>
      <c r="D5286" t="s">
        <v>18</v>
      </c>
      <c r="E5286">
        <v>0</v>
      </c>
    </row>
    <row r="5287" spans="3:5">
      <c r="C5287" t="s">
        <v>15</v>
      </c>
      <c r="D5287" t="s">
        <v>16</v>
      </c>
      <c r="E5287">
        <v>0</v>
      </c>
    </row>
    <row r="5288" spans="3:5">
      <c r="C5288" t="s">
        <v>15</v>
      </c>
      <c r="D5288" t="s">
        <v>16</v>
      </c>
      <c r="E5288">
        <v>0</v>
      </c>
    </row>
    <row r="5289" spans="3:5">
      <c r="C5289" t="s">
        <v>17</v>
      </c>
      <c r="D5289" t="s">
        <v>18</v>
      </c>
      <c r="E5289">
        <v>0</v>
      </c>
    </row>
    <row r="5290" spans="3:5">
      <c r="C5290" t="s">
        <v>15</v>
      </c>
      <c r="D5290" t="s">
        <v>16</v>
      </c>
      <c r="E5290">
        <v>0</v>
      </c>
    </row>
    <row r="5291" spans="3:5">
      <c r="C5291" t="s">
        <v>17</v>
      </c>
      <c r="D5291" t="s">
        <v>18</v>
      </c>
      <c r="E5291">
        <v>0</v>
      </c>
    </row>
    <row r="5292" spans="3:5">
      <c r="C5292" t="s">
        <v>15</v>
      </c>
      <c r="D5292" t="s">
        <v>16</v>
      </c>
      <c r="E5292">
        <v>0</v>
      </c>
    </row>
    <row r="5293" spans="3:5">
      <c r="C5293" t="s">
        <v>17</v>
      </c>
      <c r="D5293" t="s">
        <v>18</v>
      </c>
      <c r="E5293">
        <v>0</v>
      </c>
    </row>
    <row r="5294" spans="3:5">
      <c r="C5294" t="s">
        <v>17</v>
      </c>
      <c r="D5294" t="s">
        <v>18</v>
      </c>
      <c r="E5294">
        <v>0</v>
      </c>
    </row>
    <row r="5295" spans="3:5">
      <c r="C5295" t="s">
        <v>15</v>
      </c>
      <c r="D5295" t="s">
        <v>16</v>
      </c>
      <c r="E5295">
        <v>0</v>
      </c>
    </row>
    <row r="5296" spans="3:5">
      <c r="C5296" t="s">
        <v>15</v>
      </c>
      <c r="D5296" t="s">
        <v>16</v>
      </c>
      <c r="E5296">
        <v>0</v>
      </c>
    </row>
    <row r="5297" spans="3:5">
      <c r="C5297" t="s">
        <v>17</v>
      </c>
      <c r="D5297" t="s">
        <v>18</v>
      </c>
      <c r="E5297">
        <v>0</v>
      </c>
    </row>
    <row r="5298" spans="3:5">
      <c r="C5298" t="s">
        <v>15</v>
      </c>
      <c r="D5298" t="s">
        <v>16</v>
      </c>
      <c r="E5298">
        <v>0</v>
      </c>
    </row>
    <row r="5299" spans="3:5">
      <c r="C5299" t="s">
        <v>17</v>
      </c>
      <c r="D5299" t="s">
        <v>18</v>
      </c>
      <c r="E5299">
        <v>0</v>
      </c>
    </row>
    <row r="5300" spans="3:5">
      <c r="C5300" t="s">
        <v>17</v>
      </c>
      <c r="D5300" t="s">
        <v>18</v>
      </c>
      <c r="E5300">
        <v>0</v>
      </c>
    </row>
    <row r="5301" spans="3:5">
      <c r="C5301" t="s">
        <v>17</v>
      </c>
      <c r="D5301" t="s">
        <v>18</v>
      </c>
      <c r="E5301">
        <v>0</v>
      </c>
    </row>
    <row r="5302" spans="3:5">
      <c r="C5302" t="s">
        <v>17</v>
      </c>
      <c r="D5302" t="s">
        <v>18</v>
      </c>
      <c r="E5302">
        <v>0</v>
      </c>
    </row>
    <row r="5303" spans="3:5">
      <c r="C5303" t="s">
        <v>15</v>
      </c>
      <c r="D5303" t="s">
        <v>16</v>
      </c>
      <c r="E5303">
        <v>0</v>
      </c>
    </row>
    <row r="5304" spans="3:5">
      <c r="C5304" t="s">
        <v>17</v>
      </c>
      <c r="D5304" t="s">
        <v>18</v>
      </c>
      <c r="E5304">
        <v>0</v>
      </c>
    </row>
    <row r="5305" spans="3:5">
      <c r="C5305" t="s">
        <v>15</v>
      </c>
      <c r="D5305" t="s">
        <v>16</v>
      </c>
      <c r="E5305">
        <v>0</v>
      </c>
    </row>
    <row r="5306" spans="3:5">
      <c r="C5306" t="s">
        <v>15</v>
      </c>
      <c r="D5306" t="s">
        <v>16</v>
      </c>
      <c r="E5306">
        <v>0</v>
      </c>
    </row>
    <row r="5307" spans="3:5">
      <c r="C5307" t="s">
        <v>17</v>
      </c>
      <c r="D5307" t="s">
        <v>18</v>
      </c>
      <c r="E5307">
        <v>0</v>
      </c>
    </row>
    <row r="5308" spans="3:5">
      <c r="C5308" t="s">
        <v>15</v>
      </c>
      <c r="D5308" t="s">
        <v>16</v>
      </c>
      <c r="E5308">
        <v>0</v>
      </c>
    </row>
    <row r="5309" spans="3:5">
      <c r="C5309" t="s">
        <v>17</v>
      </c>
      <c r="D5309" t="s">
        <v>18</v>
      </c>
      <c r="E5309">
        <v>0</v>
      </c>
    </row>
    <row r="5310" spans="3:5">
      <c r="C5310" t="s">
        <v>17</v>
      </c>
      <c r="D5310" t="s">
        <v>18</v>
      </c>
      <c r="E5310">
        <v>0</v>
      </c>
    </row>
    <row r="5311" spans="3:5">
      <c r="C5311" t="s">
        <v>15</v>
      </c>
      <c r="D5311" t="s">
        <v>16</v>
      </c>
      <c r="E5311">
        <v>0</v>
      </c>
    </row>
    <row r="5312" spans="3:5">
      <c r="C5312" t="s">
        <v>15</v>
      </c>
      <c r="D5312" t="s">
        <v>16</v>
      </c>
      <c r="E5312">
        <v>0</v>
      </c>
    </row>
    <row r="5313" spans="3:5">
      <c r="C5313" t="s">
        <v>15</v>
      </c>
      <c r="D5313" t="s">
        <v>16</v>
      </c>
      <c r="E5313">
        <v>0</v>
      </c>
    </row>
    <row r="5314" spans="3:5">
      <c r="C5314" t="s">
        <v>15</v>
      </c>
      <c r="D5314" t="s">
        <v>16</v>
      </c>
      <c r="E5314">
        <v>0</v>
      </c>
    </row>
    <row r="5315" spans="3:5">
      <c r="C5315" t="s">
        <v>17</v>
      </c>
      <c r="D5315" t="s">
        <v>18</v>
      </c>
      <c r="E5315">
        <v>0</v>
      </c>
    </row>
    <row r="5316" spans="3:5">
      <c r="C5316" t="s">
        <v>15</v>
      </c>
      <c r="D5316" t="s">
        <v>16</v>
      </c>
      <c r="E5316">
        <v>0</v>
      </c>
    </row>
    <row r="5317" spans="3:5">
      <c r="C5317" t="s">
        <v>15</v>
      </c>
      <c r="D5317" t="s">
        <v>16</v>
      </c>
      <c r="E5317">
        <v>0</v>
      </c>
    </row>
    <row r="5318" spans="3:5">
      <c r="C5318" t="s">
        <v>15</v>
      </c>
      <c r="D5318" t="s">
        <v>16</v>
      </c>
      <c r="E5318">
        <v>0</v>
      </c>
    </row>
    <row r="5319" spans="3:5">
      <c r="C5319" t="s">
        <v>15</v>
      </c>
      <c r="D5319" t="s">
        <v>16</v>
      </c>
      <c r="E5319">
        <v>0</v>
      </c>
    </row>
    <row r="5320" spans="3:5">
      <c r="C5320" t="s">
        <v>15</v>
      </c>
      <c r="D5320" t="s">
        <v>16</v>
      </c>
      <c r="E5320">
        <v>0</v>
      </c>
    </row>
    <row r="5321" spans="3:5">
      <c r="C5321" t="s">
        <v>15</v>
      </c>
      <c r="D5321" t="s">
        <v>16</v>
      </c>
      <c r="E5321">
        <v>0</v>
      </c>
    </row>
    <row r="5322" spans="3:5">
      <c r="C5322" t="s">
        <v>17</v>
      </c>
      <c r="D5322" t="s">
        <v>18</v>
      </c>
      <c r="E5322">
        <v>0</v>
      </c>
    </row>
    <row r="5323" spans="3:5">
      <c r="C5323" t="s">
        <v>17</v>
      </c>
      <c r="D5323" t="s">
        <v>18</v>
      </c>
      <c r="E5323">
        <v>0</v>
      </c>
    </row>
    <row r="5324" spans="3:5">
      <c r="C5324" t="s">
        <v>17</v>
      </c>
      <c r="D5324" t="s">
        <v>18</v>
      </c>
      <c r="E5324">
        <v>0</v>
      </c>
    </row>
    <row r="5325" spans="3:5">
      <c r="C5325" t="s">
        <v>15</v>
      </c>
      <c r="D5325" t="s">
        <v>16</v>
      </c>
      <c r="E5325">
        <v>0</v>
      </c>
    </row>
    <row r="5326" spans="3:5">
      <c r="C5326" t="s">
        <v>17</v>
      </c>
      <c r="D5326" t="s">
        <v>18</v>
      </c>
      <c r="E5326">
        <v>0</v>
      </c>
    </row>
    <row r="5327" spans="3:5">
      <c r="C5327" t="s">
        <v>17</v>
      </c>
      <c r="D5327" t="s">
        <v>18</v>
      </c>
      <c r="E5327">
        <v>0</v>
      </c>
    </row>
    <row r="5328" spans="3:5">
      <c r="C5328" t="s">
        <v>15</v>
      </c>
      <c r="D5328" t="s">
        <v>16</v>
      </c>
      <c r="E5328">
        <v>0</v>
      </c>
    </row>
    <row r="5329" spans="3:5">
      <c r="C5329" t="s">
        <v>17</v>
      </c>
      <c r="D5329" t="s">
        <v>18</v>
      </c>
      <c r="E5329">
        <v>0</v>
      </c>
    </row>
    <row r="5330" spans="3:5">
      <c r="C5330" t="s">
        <v>17</v>
      </c>
      <c r="D5330" t="s">
        <v>18</v>
      </c>
      <c r="E5330">
        <v>0</v>
      </c>
    </row>
    <row r="5331" spans="3:5">
      <c r="C5331" t="s">
        <v>17</v>
      </c>
      <c r="D5331" t="s">
        <v>18</v>
      </c>
      <c r="E5331">
        <v>0</v>
      </c>
    </row>
    <row r="5332" spans="3:5">
      <c r="C5332" t="s">
        <v>17</v>
      </c>
      <c r="D5332" t="s">
        <v>18</v>
      </c>
      <c r="E5332">
        <v>0</v>
      </c>
    </row>
    <row r="5333" spans="3:5">
      <c r="C5333" t="s">
        <v>17</v>
      </c>
      <c r="D5333" t="s">
        <v>18</v>
      </c>
      <c r="E5333">
        <v>0</v>
      </c>
    </row>
    <row r="5334" spans="3:5">
      <c r="C5334" t="s">
        <v>17</v>
      </c>
      <c r="D5334" t="s">
        <v>18</v>
      </c>
      <c r="E5334">
        <v>0</v>
      </c>
    </row>
    <row r="5335" spans="3:5">
      <c r="C5335" t="s">
        <v>15</v>
      </c>
      <c r="D5335" t="s">
        <v>16</v>
      </c>
      <c r="E5335">
        <v>0</v>
      </c>
    </row>
    <row r="5336" spans="3:5">
      <c r="C5336" t="s">
        <v>17</v>
      </c>
      <c r="D5336" t="s">
        <v>18</v>
      </c>
      <c r="E5336">
        <v>0</v>
      </c>
    </row>
    <row r="5337" spans="3:5">
      <c r="C5337" t="s">
        <v>17</v>
      </c>
      <c r="D5337" t="s">
        <v>18</v>
      </c>
      <c r="E5337">
        <v>0</v>
      </c>
    </row>
    <row r="5338" spans="3:5">
      <c r="C5338" t="s">
        <v>15</v>
      </c>
      <c r="D5338" t="s">
        <v>16</v>
      </c>
      <c r="E5338">
        <v>0</v>
      </c>
    </row>
    <row r="5339" spans="3:5">
      <c r="C5339" t="s">
        <v>17</v>
      </c>
      <c r="D5339" t="s">
        <v>18</v>
      </c>
      <c r="E5339">
        <v>0</v>
      </c>
    </row>
    <row r="5340" spans="3:5">
      <c r="C5340" t="s">
        <v>15</v>
      </c>
      <c r="D5340" t="s">
        <v>16</v>
      </c>
      <c r="E5340">
        <v>0</v>
      </c>
    </row>
    <row r="5341" spans="3:5">
      <c r="C5341" t="s">
        <v>15</v>
      </c>
      <c r="D5341" t="s">
        <v>16</v>
      </c>
      <c r="E5341">
        <v>0</v>
      </c>
    </row>
    <row r="5342" spans="3:5">
      <c r="C5342" t="s">
        <v>17</v>
      </c>
      <c r="D5342" t="s">
        <v>18</v>
      </c>
      <c r="E5342">
        <v>0</v>
      </c>
    </row>
    <row r="5343" spans="3:5">
      <c r="C5343" t="s">
        <v>15</v>
      </c>
      <c r="D5343" t="s">
        <v>16</v>
      </c>
      <c r="E5343">
        <v>0</v>
      </c>
    </row>
    <row r="5344" spans="3:5">
      <c r="C5344" t="s">
        <v>15</v>
      </c>
      <c r="D5344" t="s">
        <v>16</v>
      </c>
      <c r="E5344">
        <v>0</v>
      </c>
    </row>
    <row r="5345" spans="3:5">
      <c r="C5345" t="s">
        <v>17</v>
      </c>
      <c r="D5345" t="s">
        <v>18</v>
      </c>
      <c r="E5345">
        <v>0</v>
      </c>
    </row>
    <row r="5346" spans="3:5">
      <c r="C5346" t="s">
        <v>17</v>
      </c>
      <c r="D5346" t="s">
        <v>18</v>
      </c>
      <c r="E5346">
        <v>0</v>
      </c>
    </row>
    <row r="5347" spans="3:5">
      <c r="C5347" t="s">
        <v>17</v>
      </c>
      <c r="D5347" t="s">
        <v>18</v>
      </c>
      <c r="E5347">
        <v>0</v>
      </c>
    </row>
    <row r="5348" spans="3:5">
      <c r="C5348" t="s">
        <v>15</v>
      </c>
      <c r="D5348" t="s">
        <v>16</v>
      </c>
      <c r="E5348">
        <v>0</v>
      </c>
    </row>
    <row r="5349" spans="3:5">
      <c r="C5349" t="s">
        <v>17</v>
      </c>
      <c r="D5349" t="s">
        <v>18</v>
      </c>
      <c r="E5349">
        <v>0</v>
      </c>
    </row>
    <row r="5350" spans="3:5">
      <c r="C5350" t="s">
        <v>17</v>
      </c>
      <c r="D5350" t="s">
        <v>18</v>
      </c>
      <c r="E5350">
        <v>0</v>
      </c>
    </row>
    <row r="5351" spans="3:5">
      <c r="C5351" t="s">
        <v>15</v>
      </c>
      <c r="D5351" t="s">
        <v>16</v>
      </c>
      <c r="E5351">
        <v>0</v>
      </c>
    </row>
    <row r="5352" spans="3:5">
      <c r="C5352" t="s">
        <v>17</v>
      </c>
      <c r="D5352" t="s">
        <v>18</v>
      </c>
      <c r="E5352">
        <v>0</v>
      </c>
    </row>
    <row r="5353" spans="3:5">
      <c r="C5353" t="s">
        <v>17</v>
      </c>
      <c r="D5353" t="s">
        <v>18</v>
      </c>
      <c r="E5353">
        <v>0</v>
      </c>
    </row>
    <row r="5354" spans="3:5">
      <c r="C5354" t="s">
        <v>15</v>
      </c>
      <c r="D5354" t="s">
        <v>16</v>
      </c>
      <c r="E5354">
        <v>0</v>
      </c>
    </row>
    <row r="5355" spans="3:5">
      <c r="C5355" t="s">
        <v>15</v>
      </c>
      <c r="D5355" t="s">
        <v>16</v>
      </c>
      <c r="E5355">
        <v>0</v>
      </c>
    </row>
    <row r="5356" spans="3:5">
      <c r="C5356" t="s">
        <v>15</v>
      </c>
      <c r="D5356" t="s">
        <v>16</v>
      </c>
      <c r="E5356">
        <v>0</v>
      </c>
    </row>
    <row r="5357" spans="3:5">
      <c r="C5357" t="s">
        <v>17</v>
      </c>
      <c r="D5357" t="s">
        <v>18</v>
      </c>
      <c r="E5357">
        <v>0</v>
      </c>
    </row>
    <row r="5358" spans="3:5">
      <c r="C5358" t="s">
        <v>15</v>
      </c>
      <c r="D5358" t="s">
        <v>16</v>
      </c>
      <c r="E5358">
        <v>0</v>
      </c>
    </row>
    <row r="5359" spans="3:5">
      <c r="C5359" t="s">
        <v>15</v>
      </c>
      <c r="D5359" t="s">
        <v>16</v>
      </c>
      <c r="E5359">
        <v>0</v>
      </c>
    </row>
    <row r="5360" spans="3:5">
      <c r="C5360" t="s">
        <v>15</v>
      </c>
      <c r="D5360" t="s">
        <v>16</v>
      </c>
      <c r="E5360">
        <v>0</v>
      </c>
    </row>
    <row r="5361" spans="3:5">
      <c r="C5361" t="s">
        <v>17</v>
      </c>
      <c r="D5361" t="s">
        <v>18</v>
      </c>
      <c r="E5361">
        <v>0</v>
      </c>
    </row>
    <row r="5362" spans="3:5">
      <c r="C5362" t="s">
        <v>17</v>
      </c>
      <c r="D5362" t="s">
        <v>18</v>
      </c>
      <c r="E5362">
        <v>0</v>
      </c>
    </row>
    <row r="5363" spans="3:5">
      <c r="C5363" t="s">
        <v>15</v>
      </c>
      <c r="D5363" t="s">
        <v>16</v>
      </c>
      <c r="E5363">
        <v>0</v>
      </c>
    </row>
    <row r="5364" spans="3:5">
      <c r="C5364" t="s">
        <v>17</v>
      </c>
      <c r="D5364" t="s">
        <v>18</v>
      </c>
      <c r="E5364">
        <v>0</v>
      </c>
    </row>
    <row r="5365" spans="3:5">
      <c r="C5365" t="s">
        <v>15</v>
      </c>
      <c r="D5365" t="s">
        <v>16</v>
      </c>
      <c r="E5365">
        <v>0</v>
      </c>
    </row>
    <row r="5366" spans="3:5">
      <c r="C5366" t="s">
        <v>17</v>
      </c>
      <c r="D5366" t="s">
        <v>18</v>
      </c>
      <c r="E5366">
        <v>0</v>
      </c>
    </row>
    <row r="5367" spans="3:5">
      <c r="C5367" t="s">
        <v>17</v>
      </c>
      <c r="D5367" t="s">
        <v>18</v>
      </c>
      <c r="E5367">
        <v>0</v>
      </c>
    </row>
    <row r="5368" spans="3:5">
      <c r="C5368" t="s">
        <v>15</v>
      </c>
      <c r="D5368" t="s">
        <v>16</v>
      </c>
      <c r="E5368">
        <v>0</v>
      </c>
    </row>
    <row r="5369" spans="3:5">
      <c r="C5369" t="s">
        <v>15</v>
      </c>
      <c r="D5369" t="s">
        <v>16</v>
      </c>
      <c r="E5369">
        <v>0</v>
      </c>
    </row>
    <row r="5370" spans="3:5">
      <c r="C5370" t="s">
        <v>17</v>
      </c>
      <c r="D5370" t="s">
        <v>18</v>
      </c>
      <c r="E5370">
        <v>0</v>
      </c>
    </row>
    <row r="5371" spans="3:5">
      <c r="C5371" t="s">
        <v>15</v>
      </c>
      <c r="D5371" t="s">
        <v>16</v>
      </c>
      <c r="E5371">
        <v>0</v>
      </c>
    </row>
    <row r="5372" spans="3:5">
      <c r="C5372" t="s">
        <v>17</v>
      </c>
      <c r="D5372" t="s">
        <v>18</v>
      </c>
      <c r="E5372">
        <v>0</v>
      </c>
    </row>
    <row r="5373" spans="3:5">
      <c r="C5373" t="s">
        <v>17</v>
      </c>
      <c r="D5373" t="s">
        <v>18</v>
      </c>
      <c r="E5373">
        <v>0</v>
      </c>
    </row>
    <row r="5374" spans="3:5">
      <c r="C5374" t="s">
        <v>15</v>
      </c>
      <c r="D5374" t="s">
        <v>16</v>
      </c>
      <c r="E5374">
        <v>0</v>
      </c>
    </row>
    <row r="5375" spans="3:5">
      <c r="C5375" t="s">
        <v>15</v>
      </c>
      <c r="D5375" t="s">
        <v>16</v>
      </c>
      <c r="E5375">
        <v>0</v>
      </c>
    </row>
    <row r="5376" spans="3:5">
      <c r="C5376" t="s">
        <v>17</v>
      </c>
      <c r="D5376" t="s">
        <v>18</v>
      </c>
      <c r="E5376">
        <v>0</v>
      </c>
    </row>
    <row r="5377" spans="3:5">
      <c r="C5377" t="s">
        <v>17</v>
      </c>
      <c r="D5377" t="s">
        <v>18</v>
      </c>
      <c r="E5377">
        <v>0</v>
      </c>
    </row>
    <row r="5378" spans="3:5">
      <c r="C5378" t="s">
        <v>15</v>
      </c>
      <c r="D5378" t="s">
        <v>16</v>
      </c>
      <c r="E5378">
        <v>0</v>
      </c>
    </row>
    <row r="5379" spans="3:5">
      <c r="C5379" t="s">
        <v>17</v>
      </c>
      <c r="D5379" t="s">
        <v>18</v>
      </c>
      <c r="E5379">
        <v>0</v>
      </c>
    </row>
    <row r="5380" spans="3:5">
      <c r="C5380" t="s">
        <v>15</v>
      </c>
      <c r="D5380" t="s">
        <v>16</v>
      </c>
      <c r="E5380">
        <v>0</v>
      </c>
    </row>
    <row r="5381" spans="3:5">
      <c r="C5381" t="s">
        <v>17</v>
      </c>
      <c r="D5381" t="s">
        <v>18</v>
      </c>
      <c r="E5381">
        <v>0</v>
      </c>
    </row>
    <row r="5382" spans="3:5">
      <c r="C5382" t="s">
        <v>15</v>
      </c>
      <c r="D5382" t="s">
        <v>16</v>
      </c>
      <c r="E5382">
        <v>0</v>
      </c>
    </row>
    <row r="5383" spans="3:5">
      <c r="C5383" t="s">
        <v>17</v>
      </c>
      <c r="D5383" t="s">
        <v>18</v>
      </c>
      <c r="E5383">
        <v>0</v>
      </c>
    </row>
    <row r="5384" spans="3:5">
      <c r="C5384" t="s">
        <v>15</v>
      </c>
      <c r="D5384" t="s">
        <v>16</v>
      </c>
      <c r="E5384">
        <v>0</v>
      </c>
    </row>
    <row r="5385" spans="3:5">
      <c r="C5385" t="s">
        <v>17</v>
      </c>
      <c r="D5385" t="s">
        <v>18</v>
      </c>
      <c r="E5385">
        <v>0</v>
      </c>
    </row>
    <row r="5386" spans="3:5">
      <c r="C5386" t="s">
        <v>17</v>
      </c>
      <c r="D5386" t="s">
        <v>18</v>
      </c>
      <c r="E5386">
        <v>0</v>
      </c>
    </row>
    <row r="5387" spans="3:5">
      <c r="C5387" t="s">
        <v>15</v>
      </c>
      <c r="D5387" t="s">
        <v>16</v>
      </c>
      <c r="E5387">
        <v>0</v>
      </c>
    </row>
    <row r="5388" spans="3:5">
      <c r="C5388" t="s">
        <v>17</v>
      </c>
      <c r="D5388" t="s">
        <v>18</v>
      </c>
      <c r="E5388">
        <v>0</v>
      </c>
    </row>
    <row r="5389" spans="3:5">
      <c r="C5389" t="s">
        <v>17</v>
      </c>
      <c r="D5389" t="s">
        <v>18</v>
      </c>
      <c r="E5389">
        <v>0</v>
      </c>
    </row>
    <row r="5390" spans="3:5">
      <c r="C5390" t="s">
        <v>17</v>
      </c>
      <c r="D5390" t="s">
        <v>18</v>
      </c>
      <c r="E5390">
        <v>0</v>
      </c>
    </row>
    <row r="5391" spans="3:5">
      <c r="C5391" t="s">
        <v>17</v>
      </c>
      <c r="D5391" t="s">
        <v>18</v>
      </c>
      <c r="E5391">
        <v>0</v>
      </c>
    </row>
    <row r="5392" spans="3:5">
      <c r="C5392" t="s">
        <v>17</v>
      </c>
      <c r="D5392" t="s">
        <v>18</v>
      </c>
      <c r="E5392">
        <v>1</v>
      </c>
    </row>
    <row r="5393" spans="3:5">
      <c r="C5393" t="s">
        <v>17</v>
      </c>
      <c r="D5393" t="s">
        <v>18</v>
      </c>
      <c r="E5393">
        <v>0</v>
      </c>
    </row>
    <row r="5394" spans="3:5">
      <c r="C5394" t="s">
        <v>15</v>
      </c>
      <c r="D5394" t="s">
        <v>16</v>
      </c>
      <c r="E5394">
        <v>0</v>
      </c>
    </row>
    <row r="5395" spans="3:5">
      <c r="C5395" t="s">
        <v>17</v>
      </c>
      <c r="D5395" t="s">
        <v>18</v>
      </c>
      <c r="E5395">
        <v>0</v>
      </c>
    </row>
    <row r="5396" spans="3:5">
      <c r="C5396" t="s">
        <v>17</v>
      </c>
      <c r="D5396" t="s">
        <v>18</v>
      </c>
      <c r="E5396">
        <v>0</v>
      </c>
    </row>
    <row r="5397" spans="3:5">
      <c r="C5397" t="s">
        <v>15</v>
      </c>
      <c r="D5397" t="s">
        <v>16</v>
      </c>
      <c r="E5397">
        <v>0</v>
      </c>
    </row>
    <row r="5398" spans="3:5">
      <c r="C5398" t="s">
        <v>17</v>
      </c>
      <c r="D5398" t="s">
        <v>18</v>
      </c>
      <c r="E5398">
        <v>0</v>
      </c>
    </row>
    <row r="5399" spans="3:5">
      <c r="C5399" t="s">
        <v>15</v>
      </c>
      <c r="D5399" t="s">
        <v>16</v>
      </c>
      <c r="E5399">
        <v>0</v>
      </c>
    </row>
    <row r="5400" spans="3:5">
      <c r="C5400" t="s">
        <v>15</v>
      </c>
      <c r="D5400" t="s">
        <v>16</v>
      </c>
      <c r="E5400">
        <v>0</v>
      </c>
    </row>
    <row r="5401" spans="3:5">
      <c r="C5401" t="s">
        <v>15</v>
      </c>
      <c r="D5401" t="s">
        <v>16</v>
      </c>
      <c r="E5401">
        <v>0</v>
      </c>
    </row>
    <row r="5402" spans="3:5">
      <c r="C5402" t="s">
        <v>15</v>
      </c>
      <c r="D5402" t="s">
        <v>16</v>
      </c>
      <c r="E5402">
        <v>0</v>
      </c>
    </row>
    <row r="5403" spans="3:5">
      <c r="C5403" t="s">
        <v>17</v>
      </c>
      <c r="D5403" t="s">
        <v>18</v>
      </c>
      <c r="E5403">
        <v>0</v>
      </c>
    </row>
    <row r="5404" spans="3:5">
      <c r="C5404" t="s">
        <v>15</v>
      </c>
      <c r="D5404" t="s">
        <v>16</v>
      </c>
      <c r="E5404">
        <v>0</v>
      </c>
    </row>
    <row r="5405" spans="3:5">
      <c r="C5405" t="s">
        <v>17</v>
      </c>
      <c r="D5405" t="s">
        <v>18</v>
      </c>
      <c r="E5405">
        <v>1</v>
      </c>
    </row>
    <row r="5406" spans="3:5">
      <c r="C5406" t="s">
        <v>15</v>
      </c>
      <c r="D5406" t="s">
        <v>16</v>
      </c>
      <c r="E5406">
        <v>0</v>
      </c>
    </row>
    <row r="5407" spans="3:5">
      <c r="C5407" t="s">
        <v>17</v>
      </c>
      <c r="D5407" t="s">
        <v>18</v>
      </c>
      <c r="E5407">
        <v>0</v>
      </c>
    </row>
    <row r="5408" spans="3:5">
      <c r="C5408" t="s">
        <v>17</v>
      </c>
      <c r="D5408" t="s">
        <v>18</v>
      </c>
      <c r="E5408">
        <v>0</v>
      </c>
    </row>
    <row r="5409" spans="3:5">
      <c r="C5409" t="s">
        <v>17</v>
      </c>
      <c r="D5409" t="s">
        <v>18</v>
      </c>
      <c r="E5409">
        <v>1</v>
      </c>
    </row>
    <row r="5410" spans="3:5">
      <c r="C5410" t="s">
        <v>17</v>
      </c>
      <c r="D5410" t="s">
        <v>18</v>
      </c>
      <c r="E5410">
        <v>1</v>
      </c>
    </row>
    <row r="5411" spans="3:5">
      <c r="C5411" t="s">
        <v>15</v>
      </c>
      <c r="D5411" t="s">
        <v>16</v>
      </c>
      <c r="E5411">
        <v>0</v>
      </c>
    </row>
    <row r="5412" spans="3:5">
      <c r="C5412" t="s">
        <v>17</v>
      </c>
      <c r="D5412" t="s">
        <v>18</v>
      </c>
      <c r="E5412">
        <v>0</v>
      </c>
    </row>
    <row r="5413" spans="3:5">
      <c r="C5413" t="s">
        <v>15</v>
      </c>
      <c r="D5413" t="s">
        <v>16</v>
      </c>
      <c r="E5413">
        <v>0</v>
      </c>
    </row>
    <row r="5414" spans="3:5">
      <c r="C5414" t="s">
        <v>15</v>
      </c>
      <c r="D5414" t="s">
        <v>16</v>
      </c>
      <c r="E5414">
        <v>1</v>
      </c>
    </row>
    <row r="5415" spans="3:5">
      <c r="C5415" t="s">
        <v>17</v>
      </c>
      <c r="D5415" t="s">
        <v>18</v>
      </c>
      <c r="E5415">
        <v>0</v>
      </c>
    </row>
    <row r="5416" spans="3:5">
      <c r="C5416" t="s">
        <v>15</v>
      </c>
      <c r="D5416" t="s">
        <v>16</v>
      </c>
      <c r="E5416">
        <v>0</v>
      </c>
    </row>
    <row r="5417" spans="3:5">
      <c r="C5417" t="s">
        <v>15</v>
      </c>
      <c r="D5417" t="s">
        <v>16</v>
      </c>
      <c r="E5417">
        <v>0</v>
      </c>
    </row>
    <row r="5418" spans="3:5">
      <c r="C5418" t="s">
        <v>15</v>
      </c>
      <c r="D5418" t="s">
        <v>16</v>
      </c>
      <c r="E5418">
        <v>0</v>
      </c>
    </row>
    <row r="5419" spans="3:5">
      <c r="C5419" t="s">
        <v>15</v>
      </c>
      <c r="D5419" t="s">
        <v>16</v>
      </c>
      <c r="E5419">
        <v>0</v>
      </c>
    </row>
    <row r="5420" spans="3:5">
      <c r="C5420" t="s">
        <v>15</v>
      </c>
      <c r="D5420" t="s">
        <v>16</v>
      </c>
      <c r="E5420">
        <v>0</v>
      </c>
    </row>
    <row r="5421" spans="3:5">
      <c r="C5421" t="s">
        <v>17</v>
      </c>
      <c r="D5421" t="s">
        <v>18</v>
      </c>
      <c r="E5421">
        <v>0</v>
      </c>
    </row>
    <row r="5422" spans="3:5">
      <c r="C5422" t="s">
        <v>17</v>
      </c>
      <c r="D5422" t="s">
        <v>18</v>
      </c>
      <c r="E5422">
        <v>1</v>
      </c>
    </row>
    <row r="5423" spans="3:5">
      <c r="C5423" t="s">
        <v>15</v>
      </c>
      <c r="D5423" t="s">
        <v>16</v>
      </c>
      <c r="E5423">
        <v>0</v>
      </c>
    </row>
    <row r="5424" spans="3:5">
      <c r="C5424" t="s">
        <v>17</v>
      </c>
      <c r="D5424" t="s">
        <v>18</v>
      </c>
      <c r="E5424">
        <v>0</v>
      </c>
    </row>
    <row r="5425" spans="3:5">
      <c r="C5425" t="s">
        <v>15</v>
      </c>
      <c r="D5425" t="s">
        <v>16</v>
      </c>
      <c r="E5425">
        <v>0</v>
      </c>
    </row>
    <row r="5426" spans="3:5">
      <c r="C5426" t="s">
        <v>17</v>
      </c>
      <c r="D5426" t="s">
        <v>18</v>
      </c>
      <c r="E5426">
        <v>0</v>
      </c>
    </row>
    <row r="5427" spans="3:5">
      <c r="C5427" t="s">
        <v>17</v>
      </c>
      <c r="D5427" t="s">
        <v>18</v>
      </c>
      <c r="E5427">
        <v>0</v>
      </c>
    </row>
    <row r="5428" spans="3:5">
      <c r="C5428" t="s">
        <v>15</v>
      </c>
      <c r="D5428" t="s">
        <v>16</v>
      </c>
      <c r="E5428">
        <v>0</v>
      </c>
    </row>
    <row r="5429" spans="3:5">
      <c r="C5429" t="s">
        <v>17</v>
      </c>
      <c r="D5429" t="s">
        <v>18</v>
      </c>
      <c r="E5429">
        <v>0</v>
      </c>
    </row>
    <row r="5430" spans="3:5">
      <c r="C5430" t="s">
        <v>17</v>
      </c>
      <c r="D5430" t="s">
        <v>18</v>
      </c>
      <c r="E5430">
        <v>0</v>
      </c>
    </row>
    <row r="5431" spans="3:5">
      <c r="C5431" t="s">
        <v>17</v>
      </c>
      <c r="D5431" t="s">
        <v>18</v>
      </c>
      <c r="E5431">
        <v>0</v>
      </c>
    </row>
    <row r="5432" spans="3:5">
      <c r="C5432" t="s">
        <v>15</v>
      </c>
      <c r="D5432" t="s">
        <v>16</v>
      </c>
      <c r="E5432">
        <v>0</v>
      </c>
    </row>
    <row r="5433" spans="3:5">
      <c r="C5433" t="s">
        <v>17</v>
      </c>
      <c r="D5433" t="s">
        <v>18</v>
      </c>
      <c r="E5433">
        <v>0</v>
      </c>
    </row>
    <row r="5434" spans="3:5">
      <c r="C5434" t="s">
        <v>15</v>
      </c>
      <c r="D5434" t="s">
        <v>16</v>
      </c>
      <c r="E5434">
        <v>0</v>
      </c>
    </row>
    <row r="5435" spans="3:5">
      <c r="C5435" t="s">
        <v>15</v>
      </c>
      <c r="D5435" t="s">
        <v>16</v>
      </c>
      <c r="E5435">
        <v>0</v>
      </c>
    </row>
    <row r="5436" spans="3:5">
      <c r="C5436" t="s">
        <v>15</v>
      </c>
      <c r="D5436" t="s">
        <v>16</v>
      </c>
      <c r="E5436">
        <v>0</v>
      </c>
    </row>
    <row r="5437" spans="3:5">
      <c r="C5437" t="s">
        <v>15</v>
      </c>
      <c r="D5437" t="s">
        <v>16</v>
      </c>
      <c r="E5437">
        <v>0</v>
      </c>
    </row>
    <row r="5438" spans="3:5">
      <c r="C5438" t="s">
        <v>15</v>
      </c>
      <c r="D5438" t="s">
        <v>16</v>
      </c>
      <c r="E5438">
        <v>0</v>
      </c>
    </row>
    <row r="5439" spans="3:5">
      <c r="C5439" t="s">
        <v>17</v>
      </c>
      <c r="D5439" t="s">
        <v>18</v>
      </c>
      <c r="E5439">
        <v>0</v>
      </c>
    </row>
    <row r="5440" spans="3:5">
      <c r="C5440" t="s">
        <v>17</v>
      </c>
      <c r="D5440" t="s">
        <v>18</v>
      </c>
      <c r="E5440">
        <v>0</v>
      </c>
    </row>
    <row r="5441" spans="3:5">
      <c r="C5441" t="s">
        <v>17</v>
      </c>
      <c r="D5441" t="s">
        <v>18</v>
      </c>
      <c r="E5441">
        <v>0</v>
      </c>
    </row>
    <row r="5442" spans="3:5">
      <c r="C5442" t="s">
        <v>15</v>
      </c>
      <c r="D5442" t="s">
        <v>16</v>
      </c>
      <c r="E5442">
        <v>0</v>
      </c>
    </row>
    <row r="5443" spans="3:5">
      <c r="C5443" t="s">
        <v>17</v>
      </c>
      <c r="D5443" t="s">
        <v>18</v>
      </c>
      <c r="E5443">
        <v>0</v>
      </c>
    </row>
    <row r="5444" spans="3:5">
      <c r="C5444" t="s">
        <v>15</v>
      </c>
      <c r="D5444" t="s">
        <v>16</v>
      </c>
      <c r="E5444">
        <v>0</v>
      </c>
    </row>
    <row r="5445" spans="3:5">
      <c r="C5445" t="s">
        <v>17</v>
      </c>
      <c r="D5445" t="s">
        <v>18</v>
      </c>
      <c r="E5445">
        <v>0</v>
      </c>
    </row>
    <row r="5446" spans="3:5">
      <c r="C5446" t="s">
        <v>17</v>
      </c>
      <c r="D5446" t="s">
        <v>18</v>
      </c>
      <c r="E5446">
        <v>1</v>
      </c>
    </row>
    <row r="5447" spans="3:5">
      <c r="C5447" t="s">
        <v>15</v>
      </c>
      <c r="D5447" t="s">
        <v>16</v>
      </c>
      <c r="E5447">
        <v>0</v>
      </c>
    </row>
    <row r="5448" spans="3:5">
      <c r="C5448" t="s">
        <v>15</v>
      </c>
      <c r="D5448" t="s">
        <v>16</v>
      </c>
      <c r="E5448">
        <v>0</v>
      </c>
    </row>
    <row r="5449" spans="3:5">
      <c r="C5449" t="s">
        <v>15</v>
      </c>
      <c r="D5449" t="s">
        <v>16</v>
      </c>
      <c r="E5449">
        <v>0</v>
      </c>
    </row>
    <row r="5450" spans="3:5">
      <c r="C5450" t="s">
        <v>17</v>
      </c>
      <c r="D5450" t="s">
        <v>18</v>
      </c>
      <c r="E5450">
        <v>0</v>
      </c>
    </row>
    <row r="5451" spans="3:5">
      <c r="C5451" t="s">
        <v>17</v>
      </c>
      <c r="D5451" t="s">
        <v>18</v>
      </c>
      <c r="E5451">
        <v>0</v>
      </c>
    </row>
    <row r="5452" spans="3:5">
      <c r="C5452" t="s">
        <v>17</v>
      </c>
      <c r="D5452" t="s">
        <v>18</v>
      </c>
      <c r="E5452">
        <v>0</v>
      </c>
    </row>
    <row r="5453" spans="3:5">
      <c r="C5453" t="s">
        <v>15</v>
      </c>
      <c r="D5453" t="s">
        <v>16</v>
      </c>
      <c r="E5453">
        <v>0</v>
      </c>
    </row>
    <row r="5454" spans="3:5">
      <c r="C5454" t="s">
        <v>17</v>
      </c>
      <c r="D5454" t="s">
        <v>18</v>
      </c>
      <c r="E5454">
        <v>0</v>
      </c>
    </row>
    <row r="5455" spans="3:5">
      <c r="C5455" t="s">
        <v>15</v>
      </c>
      <c r="D5455" t="s">
        <v>16</v>
      </c>
      <c r="E5455">
        <v>0</v>
      </c>
    </row>
    <row r="5456" spans="3:5">
      <c r="C5456" t="s">
        <v>15</v>
      </c>
      <c r="D5456" t="s">
        <v>16</v>
      </c>
      <c r="E5456">
        <v>0</v>
      </c>
    </row>
    <row r="5457" spans="3:5">
      <c r="C5457" t="s">
        <v>17</v>
      </c>
      <c r="D5457" t="s">
        <v>18</v>
      </c>
      <c r="E5457">
        <v>0</v>
      </c>
    </row>
    <row r="5458" spans="3:5">
      <c r="C5458" t="s">
        <v>17</v>
      </c>
      <c r="D5458" t="s">
        <v>18</v>
      </c>
      <c r="E5458">
        <v>0</v>
      </c>
    </row>
    <row r="5459" spans="3:5">
      <c r="C5459" t="s">
        <v>15</v>
      </c>
      <c r="D5459" t="s">
        <v>16</v>
      </c>
      <c r="E5459">
        <v>0</v>
      </c>
    </row>
    <row r="5460" spans="3:5">
      <c r="C5460" t="s">
        <v>17</v>
      </c>
      <c r="D5460" t="s">
        <v>18</v>
      </c>
      <c r="E5460">
        <v>0</v>
      </c>
    </row>
    <row r="5461" spans="3:5">
      <c r="C5461" t="s">
        <v>17</v>
      </c>
      <c r="D5461" t="s">
        <v>18</v>
      </c>
      <c r="E5461">
        <v>0</v>
      </c>
    </row>
    <row r="5462" spans="3:5">
      <c r="C5462" t="s">
        <v>17</v>
      </c>
      <c r="D5462" t="s">
        <v>18</v>
      </c>
      <c r="E5462">
        <v>0</v>
      </c>
    </row>
    <row r="5463" spans="3:5">
      <c r="C5463" t="s">
        <v>17</v>
      </c>
      <c r="D5463" t="s">
        <v>18</v>
      </c>
      <c r="E5463">
        <v>0</v>
      </c>
    </row>
    <row r="5464" spans="3:5">
      <c r="C5464" t="s">
        <v>17</v>
      </c>
      <c r="D5464" t="s">
        <v>18</v>
      </c>
      <c r="E5464">
        <v>0</v>
      </c>
    </row>
    <row r="5465" spans="3:5">
      <c r="C5465" t="s">
        <v>15</v>
      </c>
      <c r="D5465" t="s">
        <v>16</v>
      </c>
      <c r="E5465">
        <v>0</v>
      </c>
    </row>
    <row r="5466" spans="3:5">
      <c r="C5466" t="s">
        <v>15</v>
      </c>
      <c r="D5466" t="s">
        <v>16</v>
      </c>
      <c r="E5466">
        <v>0</v>
      </c>
    </row>
    <row r="5467" spans="3:5">
      <c r="C5467" t="s">
        <v>15</v>
      </c>
      <c r="D5467" t="s">
        <v>16</v>
      </c>
      <c r="E5467">
        <v>0</v>
      </c>
    </row>
    <row r="5468" spans="3:5">
      <c r="C5468" t="s">
        <v>15</v>
      </c>
      <c r="D5468" t="s">
        <v>16</v>
      </c>
      <c r="E5468">
        <v>0</v>
      </c>
    </row>
    <row r="5469" spans="3:5">
      <c r="C5469" t="s">
        <v>17</v>
      </c>
      <c r="D5469" t="s">
        <v>18</v>
      </c>
      <c r="E5469">
        <v>0</v>
      </c>
    </row>
    <row r="5470" spans="3:5">
      <c r="C5470" t="s">
        <v>15</v>
      </c>
      <c r="D5470" t="s">
        <v>16</v>
      </c>
      <c r="E5470">
        <v>0</v>
      </c>
    </row>
    <row r="5471" spans="3:5">
      <c r="C5471" t="s">
        <v>17</v>
      </c>
      <c r="D5471" t="s">
        <v>18</v>
      </c>
      <c r="E5471">
        <v>0</v>
      </c>
    </row>
    <row r="5472" spans="3:5">
      <c r="C5472" t="s">
        <v>15</v>
      </c>
      <c r="D5472" t="s">
        <v>16</v>
      </c>
      <c r="E5472">
        <v>0</v>
      </c>
    </row>
    <row r="5473" spans="3:5">
      <c r="C5473" t="s">
        <v>15</v>
      </c>
      <c r="D5473" t="s">
        <v>16</v>
      </c>
      <c r="E5473">
        <v>0</v>
      </c>
    </row>
    <row r="5474" spans="3:5">
      <c r="C5474" t="s">
        <v>17</v>
      </c>
      <c r="D5474" t="s">
        <v>18</v>
      </c>
      <c r="E5474">
        <v>0</v>
      </c>
    </row>
    <row r="5475" spans="3:5">
      <c r="C5475" t="s">
        <v>15</v>
      </c>
      <c r="D5475" t="s">
        <v>16</v>
      </c>
      <c r="E5475">
        <v>0</v>
      </c>
    </row>
    <row r="5476" spans="3:5">
      <c r="C5476" t="s">
        <v>15</v>
      </c>
      <c r="D5476" t="s">
        <v>16</v>
      </c>
      <c r="E5476">
        <v>0</v>
      </c>
    </row>
    <row r="5477" spans="3:5">
      <c r="C5477" t="s">
        <v>15</v>
      </c>
      <c r="D5477" t="s">
        <v>16</v>
      </c>
      <c r="E5477">
        <v>0</v>
      </c>
    </row>
    <row r="5478" spans="3:5">
      <c r="C5478" t="s">
        <v>15</v>
      </c>
      <c r="D5478" t="s">
        <v>16</v>
      </c>
      <c r="E5478">
        <v>0</v>
      </c>
    </row>
    <row r="5479" spans="3:5">
      <c r="C5479" t="s">
        <v>17</v>
      </c>
      <c r="D5479" t="s">
        <v>18</v>
      </c>
      <c r="E5479">
        <v>0</v>
      </c>
    </row>
    <row r="5480" spans="3:5">
      <c r="C5480" t="s">
        <v>17</v>
      </c>
      <c r="D5480" t="s">
        <v>18</v>
      </c>
      <c r="E5480">
        <v>0</v>
      </c>
    </row>
    <row r="5481" spans="3:5">
      <c r="C5481" t="s">
        <v>17</v>
      </c>
      <c r="D5481" t="s">
        <v>18</v>
      </c>
      <c r="E5481">
        <v>0</v>
      </c>
    </row>
    <row r="5482" spans="3:5">
      <c r="C5482" t="s">
        <v>17</v>
      </c>
      <c r="D5482" t="s">
        <v>18</v>
      </c>
      <c r="E5482">
        <v>0</v>
      </c>
    </row>
    <row r="5483" spans="3:5">
      <c r="C5483" t="s">
        <v>15</v>
      </c>
      <c r="D5483" t="s">
        <v>16</v>
      </c>
      <c r="E5483">
        <v>0</v>
      </c>
    </row>
    <row r="5484" spans="3:5">
      <c r="C5484" t="s">
        <v>17</v>
      </c>
      <c r="D5484" t="s">
        <v>18</v>
      </c>
      <c r="E5484">
        <v>0</v>
      </c>
    </row>
    <row r="5485" spans="3:5">
      <c r="C5485" t="s">
        <v>17</v>
      </c>
      <c r="D5485" t="s">
        <v>18</v>
      </c>
      <c r="E5485">
        <v>0</v>
      </c>
    </row>
    <row r="5486" spans="3:5">
      <c r="C5486" t="s">
        <v>15</v>
      </c>
      <c r="D5486" t="s">
        <v>16</v>
      </c>
      <c r="E5486">
        <v>0</v>
      </c>
    </row>
    <row r="5487" spans="3:5">
      <c r="C5487" t="s">
        <v>17</v>
      </c>
      <c r="D5487" t="s">
        <v>18</v>
      </c>
      <c r="E5487">
        <v>0</v>
      </c>
    </row>
    <row r="5488" spans="3:5">
      <c r="C5488" t="s">
        <v>17</v>
      </c>
      <c r="D5488" t="s">
        <v>18</v>
      </c>
      <c r="E5488">
        <v>0</v>
      </c>
    </row>
    <row r="5489" spans="3:5">
      <c r="C5489" t="s">
        <v>17</v>
      </c>
      <c r="D5489" t="s">
        <v>18</v>
      </c>
      <c r="E5489">
        <v>1</v>
      </c>
    </row>
    <row r="5490" spans="3:5">
      <c r="C5490" t="s">
        <v>15</v>
      </c>
      <c r="D5490" t="s">
        <v>16</v>
      </c>
      <c r="E5490">
        <v>0</v>
      </c>
    </row>
    <row r="5491" spans="3:5">
      <c r="C5491" t="s">
        <v>15</v>
      </c>
      <c r="D5491" t="s">
        <v>16</v>
      </c>
      <c r="E5491">
        <v>0</v>
      </c>
    </row>
    <row r="5492" spans="3:5">
      <c r="C5492" t="s">
        <v>17</v>
      </c>
      <c r="D5492" t="s">
        <v>18</v>
      </c>
      <c r="E5492">
        <v>0</v>
      </c>
    </row>
    <row r="5493" spans="3:5">
      <c r="C5493" t="s">
        <v>15</v>
      </c>
      <c r="D5493" t="s">
        <v>16</v>
      </c>
      <c r="E5493">
        <v>0</v>
      </c>
    </row>
    <row r="5494" spans="3:5">
      <c r="C5494" t="s">
        <v>17</v>
      </c>
      <c r="D5494" t="s">
        <v>18</v>
      </c>
      <c r="E5494">
        <v>0</v>
      </c>
    </row>
    <row r="5495" spans="3:5">
      <c r="C5495" t="s">
        <v>17</v>
      </c>
      <c r="D5495" t="s">
        <v>18</v>
      </c>
      <c r="E5495">
        <v>0</v>
      </c>
    </row>
    <row r="5496" spans="3:5">
      <c r="C5496" t="s">
        <v>17</v>
      </c>
      <c r="D5496" t="s">
        <v>18</v>
      </c>
      <c r="E5496">
        <v>0</v>
      </c>
    </row>
    <row r="5497" spans="3:5">
      <c r="C5497" t="s">
        <v>17</v>
      </c>
      <c r="D5497" t="s">
        <v>18</v>
      </c>
      <c r="E5497">
        <v>0</v>
      </c>
    </row>
    <row r="5498" spans="3:5">
      <c r="C5498" t="s">
        <v>15</v>
      </c>
      <c r="D5498" t="s">
        <v>16</v>
      </c>
      <c r="E5498">
        <v>0</v>
      </c>
    </row>
    <row r="5499" spans="3:5">
      <c r="C5499" t="s">
        <v>15</v>
      </c>
      <c r="D5499" t="s">
        <v>16</v>
      </c>
      <c r="E5499">
        <v>0</v>
      </c>
    </row>
    <row r="5500" spans="3:5">
      <c r="C5500" t="s">
        <v>15</v>
      </c>
      <c r="D5500" t="s">
        <v>16</v>
      </c>
      <c r="E5500">
        <v>0</v>
      </c>
    </row>
    <row r="5501" spans="3:5">
      <c r="C5501" t="s">
        <v>17</v>
      </c>
      <c r="D5501" t="s">
        <v>18</v>
      </c>
      <c r="E5501">
        <v>0</v>
      </c>
    </row>
    <row r="5502" spans="3:5">
      <c r="C5502" t="s">
        <v>15</v>
      </c>
      <c r="D5502" t="s">
        <v>16</v>
      </c>
      <c r="E5502">
        <v>0</v>
      </c>
    </row>
    <row r="5503" spans="3:5">
      <c r="C5503" t="s">
        <v>17</v>
      </c>
      <c r="D5503" t="s">
        <v>18</v>
      </c>
      <c r="E5503">
        <v>0</v>
      </c>
    </row>
    <row r="5504" spans="3:5">
      <c r="C5504" t="s">
        <v>17</v>
      </c>
      <c r="D5504" t="s">
        <v>18</v>
      </c>
      <c r="E5504">
        <v>0</v>
      </c>
    </row>
    <row r="5505" spans="3:5">
      <c r="C5505" t="s">
        <v>15</v>
      </c>
      <c r="D5505" t="s">
        <v>16</v>
      </c>
      <c r="E5505">
        <v>0</v>
      </c>
    </row>
    <row r="5506" spans="3:5">
      <c r="C5506" t="s">
        <v>17</v>
      </c>
      <c r="D5506" t="s">
        <v>18</v>
      </c>
      <c r="E5506">
        <v>0</v>
      </c>
    </row>
    <row r="5507" spans="3:5">
      <c r="C5507" t="s">
        <v>15</v>
      </c>
      <c r="D5507" t="s">
        <v>16</v>
      </c>
      <c r="E5507">
        <v>0</v>
      </c>
    </row>
    <row r="5508" spans="3:5">
      <c r="C5508" t="s">
        <v>17</v>
      </c>
      <c r="D5508" t="s">
        <v>18</v>
      </c>
      <c r="E5508">
        <v>0</v>
      </c>
    </row>
    <row r="5509" spans="3:5">
      <c r="C5509" t="s">
        <v>15</v>
      </c>
      <c r="D5509" t="s">
        <v>16</v>
      </c>
      <c r="E5509">
        <v>0</v>
      </c>
    </row>
    <row r="5510" spans="3:5">
      <c r="C5510" t="s">
        <v>15</v>
      </c>
      <c r="D5510" t="s">
        <v>16</v>
      </c>
      <c r="E5510">
        <v>0</v>
      </c>
    </row>
    <row r="5511" spans="3:5">
      <c r="C5511" t="s">
        <v>17</v>
      </c>
      <c r="D5511" t="s">
        <v>18</v>
      </c>
      <c r="E5511">
        <v>0</v>
      </c>
    </row>
    <row r="5512" spans="3:5">
      <c r="C5512" t="s">
        <v>17</v>
      </c>
      <c r="D5512" t="s">
        <v>18</v>
      </c>
      <c r="E5512">
        <v>0</v>
      </c>
    </row>
    <row r="5513" spans="3:5">
      <c r="C5513" t="s">
        <v>15</v>
      </c>
      <c r="D5513" t="s">
        <v>16</v>
      </c>
      <c r="E5513">
        <v>0</v>
      </c>
    </row>
    <row r="5514" spans="3:5">
      <c r="C5514" t="s">
        <v>17</v>
      </c>
      <c r="D5514" t="s">
        <v>18</v>
      </c>
      <c r="E5514">
        <v>0</v>
      </c>
    </row>
    <row r="5515" spans="3:5">
      <c r="C5515" t="s">
        <v>15</v>
      </c>
      <c r="D5515" t="s">
        <v>16</v>
      </c>
      <c r="E5515">
        <v>0</v>
      </c>
    </row>
    <row r="5516" spans="3:5">
      <c r="C5516" t="s">
        <v>17</v>
      </c>
      <c r="D5516" t="s">
        <v>18</v>
      </c>
      <c r="E5516">
        <v>0</v>
      </c>
    </row>
    <row r="5517" spans="3:5">
      <c r="C5517" t="s">
        <v>15</v>
      </c>
      <c r="D5517" t="s">
        <v>16</v>
      </c>
      <c r="E5517">
        <v>0</v>
      </c>
    </row>
    <row r="5518" spans="3:5">
      <c r="C5518" t="s">
        <v>15</v>
      </c>
      <c r="D5518" t="s">
        <v>16</v>
      </c>
      <c r="E5518">
        <v>0</v>
      </c>
    </row>
    <row r="5519" spans="3:5">
      <c r="C5519" t="s">
        <v>15</v>
      </c>
      <c r="D5519" t="s">
        <v>16</v>
      </c>
      <c r="E5519">
        <v>0</v>
      </c>
    </row>
    <row r="5520" spans="3:5">
      <c r="C5520" t="s">
        <v>17</v>
      </c>
      <c r="D5520" t="s">
        <v>18</v>
      </c>
      <c r="E5520">
        <v>0</v>
      </c>
    </row>
    <row r="5521" spans="3:5">
      <c r="C5521" t="s">
        <v>15</v>
      </c>
      <c r="D5521" t="s">
        <v>16</v>
      </c>
      <c r="E5521">
        <v>0</v>
      </c>
    </row>
    <row r="5522" spans="3:5">
      <c r="C5522" t="s">
        <v>17</v>
      </c>
      <c r="D5522" t="s">
        <v>18</v>
      </c>
      <c r="E5522">
        <v>0</v>
      </c>
    </row>
    <row r="5523" spans="3:5">
      <c r="C5523" t="s">
        <v>15</v>
      </c>
      <c r="D5523" t="s">
        <v>16</v>
      </c>
      <c r="E5523">
        <v>0</v>
      </c>
    </row>
    <row r="5524" spans="3:5">
      <c r="C5524" t="s">
        <v>15</v>
      </c>
      <c r="D5524" t="s">
        <v>16</v>
      </c>
      <c r="E5524">
        <v>1</v>
      </c>
    </row>
    <row r="5525" spans="3:5">
      <c r="C5525" t="s">
        <v>17</v>
      </c>
      <c r="D5525" t="s">
        <v>18</v>
      </c>
      <c r="E5525">
        <v>0</v>
      </c>
    </row>
    <row r="5526" spans="3:5">
      <c r="C5526" t="s">
        <v>15</v>
      </c>
      <c r="D5526" t="s">
        <v>16</v>
      </c>
      <c r="E5526">
        <v>0</v>
      </c>
    </row>
    <row r="5527" spans="3:5">
      <c r="C5527" t="s">
        <v>15</v>
      </c>
      <c r="D5527" t="s">
        <v>16</v>
      </c>
      <c r="E5527">
        <v>1</v>
      </c>
    </row>
    <row r="5528" spans="3:5">
      <c r="C5528" t="s">
        <v>17</v>
      </c>
      <c r="D5528" t="s">
        <v>18</v>
      </c>
      <c r="E5528">
        <v>0</v>
      </c>
    </row>
    <row r="5529" spans="3:5">
      <c r="C5529" t="s">
        <v>15</v>
      </c>
      <c r="D5529" t="s">
        <v>16</v>
      </c>
      <c r="E5529">
        <v>0</v>
      </c>
    </row>
    <row r="5530" spans="3:5">
      <c r="C5530" t="s">
        <v>17</v>
      </c>
      <c r="D5530" t="s">
        <v>18</v>
      </c>
      <c r="E5530">
        <v>0</v>
      </c>
    </row>
    <row r="5531" spans="3:5">
      <c r="C5531" t="s">
        <v>17</v>
      </c>
      <c r="D5531" t="s">
        <v>18</v>
      </c>
      <c r="E5531">
        <v>0</v>
      </c>
    </row>
    <row r="5532" spans="3:5">
      <c r="C5532" t="s">
        <v>17</v>
      </c>
      <c r="D5532" t="s">
        <v>18</v>
      </c>
      <c r="E5532">
        <v>0</v>
      </c>
    </row>
    <row r="5533" spans="3:5">
      <c r="C5533" t="s">
        <v>15</v>
      </c>
      <c r="D5533" t="s">
        <v>16</v>
      </c>
      <c r="E5533">
        <v>0</v>
      </c>
    </row>
    <row r="5534" spans="3:5">
      <c r="C5534" t="s">
        <v>15</v>
      </c>
      <c r="D5534" t="s">
        <v>16</v>
      </c>
      <c r="E5534">
        <v>0</v>
      </c>
    </row>
    <row r="5535" spans="3:5">
      <c r="C5535" t="s">
        <v>15</v>
      </c>
      <c r="D5535" t="s">
        <v>16</v>
      </c>
      <c r="E5535">
        <v>0</v>
      </c>
    </row>
    <row r="5536" spans="3:5">
      <c r="C5536" t="s">
        <v>15</v>
      </c>
      <c r="D5536" t="s">
        <v>16</v>
      </c>
      <c r="E5536">
        <v>0</v>
      </c>
    </row>
    <row r="5537" spans="3:5">
      <c r="C5537" t="s">
        <v>17</v>
      </c>
      <c r="D5537" t="s">
        <v>18</v>
      </c>
      <c r="E5537">
        <v>0</v>
      </c>
    </row>
    <row r="5538" spans="3:5">
      <c r="C5538" t="s">
        <v>17</v>
      </c>
      <c r="D5538" t="s">
        <v>18</v>
      </c>
      <c r="E5538">
        <v>0</v>
      </c>
    </row>
    <row r="5539" spans="3:5">
      <c r="C5539" t="s">
        <v>17</v>
      </c>
      <c r="D5539" t="s">
        <v>18</v>
      </c>
      <c r="E5539">
        <v>0</v>
      </c>
    </row>
    <row r="5540" spans="3:5">
      <c r="C5540" t="s">
        <v>17</v>
      </c>
      <c r="D5540" t="s">
        <v>18</v>
      </c>
      <c r="E5540">
        <v>0</v>
      </c>
    </row>
    <row r="5541" spans="3:5">
      <c r="C5541" t="s">
        <v>17</v>
      </c>
      <c r="D5541" t="s">
        <v>18</v>
      </c>
      <c r="E5541">
        <v>0</v>
      </c>
    </row>
    <row r="5542" spans="3:5">
      <c r="C5542" t="s">
        <v>15</v>
      </c>
      <c r="D5542" t="s">
        <v>16</v>
      </c>
      <c r="E5542">
        <v>0</v>
      </c>
    </row>
    <row r="5543" spans="3:5">
      <c r="C5543" t="s">
        <v>17</v>
      </c>
      <c r="D5543" t="s">
        <v>18</v>
      </c>
      <c r="E5543">
        <v>0</v>
      </c>
    </row>
    <row r="5544" spans="3:5">
      <c r="C5544" t="s">
        <v>17</v>
      </c>
      <c r="D5544" t="s">
        <v>18</v>
      </c>
      <c r="E5544">
        <v>0</v>
      </c>
    </row>
    <row r="5545" spans="3:5">
      <c r="C5545" t="s">
        <v>17</v>
      </c>
      <c r="D5545" t="s">
        <v>18</v>
      </c>
      <c r="E5545">
        <v>0</v>
      </c>
    </row>
    <row r="5546" spans="3:5">
      <c r="C5546" t="s">
        <v>17</v>
      </c>
      <c r="D5546" t="s">
        <v>18</v>
      </c>
      <c r="E5546">
        <v>0</v>
      </c>
    </row>
    <row r="5547" spans="3:5">
      <c r="C5547" t="s">
        <v>15</v>
      </c>
      <c r="D5547" t="s">
        <v>16</v>
      </c>
      <c r="E5547">
        <v>0</v>
      </c>
    </row>
    <row r="5548" spans="3:5">
      <c r="C5548" t="s">
        <v>15</v>
      </c>
      <c r="D5548" t="s">
        <v>16</v>
      </c>
      <c r="E5548">
        <v>0</v>
      </c>
    </row>
    <row r="5549" spans="3:5">
      <c r="C5549" t="s">
        <v>17</v>
      </c>
      <c r="D5549" t="s">
        <v>18</v>
      </c>
      <c r="E5549">
        <v>0</v>
      </c>
    </row>
    <row r="5550" spans="3:5">
      <c r="C5550" t="s">
        <v>15</v>
      </c>
      <c r="D5550" t="s">
        <v>16</v>
      </c>
      <c r="E5550">
        <v>0</v>
      </c>
    </row>
    <row r="5551" spans="3:5">
      <c r="C5551" t="s">
        <v>15</v>
      </c>
      <c r="D5551" t="s">
        <v>16</v>
      </c>
      <c r="E5551">
        <v>0</v>
      </c>
    </row>
    <row r="5552" spans="3:5">
      <c r="C5552" t="s">
        <v>17</v>
      </c>
      <c r="D5552" t="s">
        <v>18</v>
      </c>
      <c r="E5552">
        <v>0</v>
      </c>
    </row>
    <row r="5553" spans="3:5">
      <c r="C5553" t="s">
        <v>17</v>
      </c>
      <c r="D5553" t="s">
        <v>18</v>
      </c>
      <c r="E5553">
        <v>0</v>
      </c>
    </row>
    <row r="5554" spans="3:5">
      <c r="C5554" t="s">
        <v>17</v>
      </c>
      <c r="D5554" t="s">
        <v>18</v>
      </c>
      <c r="E5554">
        <v>0</v>
      </c>
    </row>
    <row r="5555" spans="3:5">
      <c r="C5555" t="s">
        <v>15</v>
      </c>
      <c r="D5555" t="s">
        <v>16</v>
      </c>
      <c r="E5555">
        <v>0</v>
      </c>
    </row>
    <row r="5556" spans="3:5">
      <c r="C5556" t="s">
        <v>17</v>
      </c>
      <c r="D5556" t="s">
        <v>18</v>
      </c>
      <c r="E5556">
        <v>0</v>
      </c>
    </row>
    <row r="5557" spans="3:5">
      <c r="C5557" t="s">
        <v>17</v>
      </c>
      <c r="D5557" t="s">
        <v>18</v>
      </c>
      <c r="E5557">
        <v>0</v>
      </c>
    </row>
    <row r="5558" spans="3:5">
      <c r="C5558" t="s">
        <v>15</v>
      </c>
      <c r="D5558" t="s">
        <v>16</v>
      </c>
      <c r="E5558">
        <v>0</v>
      </c>
    </row>
    <row r="5559" spans="3:5">
      <c r="C5559" t="s">
        <v>15</v>
      </c>
      <c r="D5559" t="s">
        <v>16</v>
      </c>
      <c r="E5559">
        <v>0</v>
      </c>
    </row>
    <row r="5560" spans="3:5">
      <c r="C5560" t="s">
        <v>17</v>
      </c>
      <c r="D5560" t="s">
        <v>18</v>
      </c>
      <c r="E5560">
        <v>0</v>
      </c>
    </row>
    <row r="5561" spans="3:5">
      <c r="C5561" t="s">
        <v>17</v>
      </c>
      <c r="D5561" t="s">
        <v>18</v>
      </c>
      <c r="E5561">
        <v>0</v>
      </c>
    </row>
    <row r="5562" spans="3:5">
      <c r="C5562" t="s">
        <v>17</v>
      </c>
      <c r="D5562" t="s">
        <v>18</v>
      </c>
      <c r="E5562">
        <v>0</v>
      </c>
    </row>
    <row r="5563" spans="3:5">
      <c r="C5563" t="s">
        <v>17</v>
      </c>
      <c r="D5563" t="s">
        <v>18</v>
      </c>
      <c r="E5563">
        <v>0</v>
      </c>
    </row>
    <row r="5564" spans="3:5">
      <c r="C5564" t="s">
        <v>15</v>
      </c>
      <c r="D5564" t="s">
        <v>16</v>
      </c>
      <c r="E5564">
        <v>0</v>
      </c>
    </row>
    <row r="5565" spans="3:5">
      <c r="C5565" t="s">
        <v>17</v>
      </c>
      <c r="D5565" t="s">
        <v>18</v>
      </c>
      <c r="E5565">
        <v>0</v>
      </c>
    </row>
    <row r="5566" spans="3:5">
      <c r="C5566" t="s">
        <v>15</v>
      </c>
      <c r="D5566" t="s">
        <v>16</v>
      </c>
      <c r="E5566">
        <v>0</v>
      </c>
    </row>
    <row r="5567" spans="3:5">
      <c r="C5567" t="s">
        <v>15</v>
      </c>
      <c r="D5567" t="s">
        <v>16</v>
      </c>
      <c r="E5567">
        <v>0</v>
      </c>
    </row>
    <row r="5568" spans="3:5">
      <c r="C5568" t="s">
        <v>17</v>
      </c>
      <c r="D5568" t="s">
        <v>18</v>
      </c>
      <c r="E5568">
        <v>0</v>
      </c>
    </row>
    <row r="5569" spans="3:5">
      <c r="C5569" t="s">
        <v>15</v>
      </c>
      <c r="D5569" t="s">
        <v>16</v>
      </c>
      <c r="E5569">
        <v>0</v>
      </c>
    </row>
    <row r="5570" spans="3:5">
      <c r="C5570" t="s">
        <v>17</v>
      </c>
      <c r="D5570" t="s">
        <v>18</v>
      </c>
      <c r="E5570">
        <v>0</v>
      </c>
    </row>
    <row r="5571" spans="3:5">
      <c r="C5571" t="s">
        <v>17</v>
      </c>
      <c r="D5571" t="s">
        <v>18</v>
      </c>
      <c r="E5571">
        <v>0</v>
      </c>
    </row>
    <row r="5572" spans="3:5">
      <c r="C5572" t="s">
        <v>15</v>
      </c>
      <c r="D5572" t="s">
        <v>16</v>
      </c>
      <c r="E5572">
        <v>0</v>
      </c>
    </row>
    <row r="5573" spans="3:5">
      <c r="C5573" t="s">
        <v>15</v>
      </c>
      <c r="D5573" t="s">
        <v>16</v>
      </c>
      <c r="E5573">
        <v>0</v>
      </c>
    </row>
    <row r="5574" spans="3:5">
      <c r="C5574" t="s">
        <v>15</v>
      </c>
      <c r="D5574" t="s">
        <v>16</v>
      </c>
      <c r="E5574">
        <v>0</v>
      </c>
    </row>
    <row r="5575" spans="3:5">
      <c r="C5575" t="s">
        <v>15</v>
      </c>
      <c r="D5575" t="s">
        <v>16</v>
      </c>
      <c r="E5575">
        <v>0</v>
      </c>
    </row>
    <row r="5576" spans="3:5">
      <c r="C5576" t="s">
        <v>15</v>
      </c>
      <c r="D5576" t="s">
        <v>16</v>
      </c>
      <c r="E5576">
        <v>0</v>
      </c>
    </row>
    <row r="5577" spans="3:5">
      <c r="C5577" t="s">
        <v>15</v>
      </c>
      <c r="D5577" t="s">
        <v>16</v>
      </c>
      <c r="E5577">
        <v>0</v>
      </c>
    </row>
    <row r="5578" spans="3:5">
      <c r="C5578" t="s">
        <v>15</v>
      </c>
      <c r="D5578" t="s">
        <v>16</v>
      </c>
      <c r="E5578">
        <v>0</v>
      </c>
    </row>
    <row r="5579" spans="3:5">
      <c r="C5579" t="s">
        <v>17</v>
      </c>
      <c r="D5579" t="s">
        <v>18</v>
      </c>
      <c r="E5579">
        <v>0</v>
      </c>
    </row>
    <row r="5580" spans="3:5">
      <c r="C5580" t="s">
        <v>17</v>
      </c>
      <c r="D5580" t="s">
        <v>18</v>
      </c>
      <c r="E5580">
        <v>0</v>
      </c>
    </row>
    <row r="5581" spans="3:5">
      <c r="C5581" t="s">
        <v>17</v>
      </c>
      <c r="D5581" t="s">
        <v>18</v>
      </c>
      <c r="E5581">
        <v>1</v>
      </c>
    </row>
    <row r="5582" spans="3:5">
      <c r="C5582" t="s">
        <v>17</v>
      </c>
      <c r="D5582" t="s">
        <v>18</v>
      </c>
      <c r="E5582">
        <v>0</v>
      </c>
    </row>
    <row r="5583" spans="3:5">
      <c r="C5583" t="s">
        <v>15</v>
      </c>
      <c r="D5583" t="s">
        <v>16</v>
      </c>
      <c r="E5583">
        <v>0</v>
      </c>
    </row>
    <row r="5584" spans="3:5">
      <c r="C5584" t="s">
        <v>15</v>
      </c>
      <c r="D5584" t="s">
        <v>16</v>
      </c>
      <c r="E5584">
        <v>0</v>
      </c>
    </row>
    <row r="5585" spans="3:5">
      <c r="C5585" t="s">
        <v>17</v>
      </c>
      <c r="D5585" t="s">
        <v>18</v>
      </c>
      <c r="E5585">
        <v>0</v>
      </c>
    </row>
    <row r="5586" spans="3:5">
      <c r="C5586" t="s">
        <v>15</v>
      </c>
      <c r="D5586" t="s">
        <v>16</v>
      </c>
      <c r="E5586">
        <v>0</v>
      </c>
    </row>
    <row r="5587" spans="3:5">
      <c r="C5587" t="s">
        <v>17</v>
      </c>
      <c r="D5587" t="s">
        <v>18</v>
      </c>
      <c r="E5587">
        <v>0</v>
      </c>
    </row>
    <row r="5588" spans="3:5">
      <c r="C5588" t="s">
        <v>15</v>
      </c>
      <c r="D5588" t="s">
        <v>16</v>
      </c>
      <c r="E5588">
        <v>0</v>
      </c>
    </row>
    <row r="5589" spans="3:5">
      <c r="C5589" t="s">
        <v>17</v>
      </c>
      <c r="D5589" t="s">
        <v>18</v>
      </c>
      <c r="E5589">
        <v>0</v>
      </c>
    </row>
    <row r="5590" spans="3:5">
      <c r="C5590" t="s">
        <v>17</v>
      </c>
      <c r="D5590" t="s">
        <v>18</v>
      </c>
      <c r="E5590">
        <v>0</v>
      </c>
    </row>
    <row r="5591" spans="3:5">
      <c r="C5591" t="s">
        <v>17</v>
      </c>
      <c r="D5591" t="s">
        <v>18</v>
      </c>
      <c r="E5591">
        <v>0</v>
      </c>
    </row>
    <row r="5592" spans="3:5">
      <c r="C5592" t="s">
        <v>15</v>
      </c>
      <c r="D5592" t="s">
        <v>16</v>
      </c>
      <c r="E5592">
        <v>0</v>
      </c>
    </row>
    <row r="5593" spans="3:5">
      <c r="C5593" t="s">
        <v>15</v>
      </c>
      <c r="D5593" t="s">
        <v>16</v>
      </c>
      <c r="E5593">
        <v>0</v>
      </c>
    </row>
    <row r="5594" spans="3:5">
      <c r="C5594" t="s">
        <v>17</v>
      </c>
      <c r="D5594" t="s">
        <v>18</v>
      </c>
      <c r="E5594">
        <v>0</v>
      </c>
    </row>
    <row r="5595" spans="3:5">
      <c r="C5595" t="s">
        <v>17</v>
      </c>
      <c r="D5595" t="s">
        <v>18</v>
      </c>
      <c r="E5595">
        <v>0</v>
      </c>
    </row>
    <row r="5596" spans="3:5">
      <c r="C5596" t="s">
        <v>15</v>
      </c>
      <c r="D5596" t="s">
        <v>16</v>
      </c>
      <c r="E5596">
        <v>0</v>
      </c>
    </row>
    <row r="5597" spans="3:5">
      <c r="C5597" t="s">
        <v>15</v>
      </c>
      <c r="D5597" t="s">
        <v>16</v>
      </c>
      <c r="E5597">
        <v>0</v>
      </c>
    </row>
    <row r="5598" spans="3:5">
      <c r="C5598" t="s">
        <v>15</v>
      </c>
      <c r="D5598" t="s">
        <v>16</v>
      </c>
      <c r="E5598">
        <v>0</v>
      </c>
    </row>
    <row r="5599" spans="3:5">
      <c r="C5599" t="s">
        <v>17</v>
      </c>
      <c r="D5599" t="s">
        <v>18</v>
      </c>
      <c r="E5599">
        <v>0</v>
      </c>
    </row>
    <row r="5600" spans="3:5">
      <c r="C5600" t="s">
        <v>17</v>
      </c>
      <c r="D5600" t="s">
        <v>18</v>
      </c>
      <c r="E5600">
        <v>0</v>
      </c>
    </row>
    <row r="5601" spans="3:5">
      <c r="C5601" t="s">
        <v>15</v>
      </c>
      <c r="D5601" t="s">
        <v>16</v>
      </c>
      <c r="E5601">
        <v>0</v>
      </c>
    </row>
    <row r="5602" spans="3:5">
      <c r="C5602" t="s">
        <v>17</v>
      </c>
      <c r="D5602" t="s">
        <v>18</v>
      </c>
      <c r="E5602">
        <v>0</v>
      </c>
    </row>
    <row r="5603" spans="3:5">
      <c r="C5603" t="s">
        <v>17</v>
      </c>
      <c r="D5603" t="s">
        <v>18</v>
      </c>
      <c r="E5603">
        <v>0</v>
      </c>
    </row>
    <row r="5604" spans="3:5">
      <c r="C5604" t="s">
        <v>15</v>
      </c>
      <c r="D5604" t="s">
        <v>16</v>
      </c>
      <c r="E5604">
        <v>0</v>
      </c>
    </row>
    <row r="5605" spans="3:5">
      <c r="C5605" t="s">
        <v>15</v>
      </c>
      <c r="D5605" t="s">
        <v>16</v>
      </c>
      <c r="E5605">
        <v>0</v>
      </c>
    </row>
    <row r="5606" spans="3:5">
      <c r="C5606" t="s">
        <v>15</v>
      </c>
      <c r="D5606" t="s">
        <v>16</v>
      </c>
      <c r="E5606">
        <v>0</v>
      </c>
    </row>
    <row r="5607" spans="3:5">
      <c r="C5607" t="s">
        <v>17</v>
      </c>
      <c r="D5607" t="s">
        <v>18</v>
      </c>
      <c r="E5607">
        <v>0</v>
      </c>
    </row>
    <row r="5608" spans="3:5">
      <c r="C5608" t="s">
        <v>17</v>
      </c>
      <c r="D5608" t="s">
        <v>18</v>
      </c>
      <c r="E5608">
        <v>0</v>
      </c>
    </row>
    <row r="5609" spans="3:5">
      <c r="C5609" t="s">
        <v>17</v>
      </c>
      <c r="D5609" t="s">
        <v>18</v>
      </c>
      <c r="E5609">
        <v>0</v>
      </c>
    </row>
    <row r="5610" spans="3:5">
      <c r="C5610" t="s">
        <v>17</v>
      </c>
      <c r="D5610" t="s">
        <v>18</v>
      </c>
      <c r="E5610">
        <v>0</v>
      </c>
    </row>
    <row r="5611" spans="3:5">
      <c r="C5611" t="s">
        <v>17</v>
      </c>
      <c r="D5611" t="s">
        <v>18</v>
      </c>
      <c r="E5611">
        <v>0</v>
      </c>
    </row>
    <row r="5612" spans="3:5">
      <c r="C5612" t="s">
        <v>15</v>
      </c>
      <c r="D5612" t="s">
        <v>16</v>
      </c>
      <c r="E5612">
        <v>0</v>
      </c>
    </row>
    <row r="5613" spans="3:5">
      <c r="C5613" t="s">
        <v>15</v>
      </c>
      <c r="D5613" t="s">
        <v>16</v>
      </c>
      <c r="E5613">
        <v>0</v>
      </c>
    </row>
    <row r="5614" spans="3:5">
      <c r="C5614" t="s">
        <v>17</v>
      </c>
      <c r="D5614" t="s">
        <v>18</v>
      </c>
      <c r="E5614">
        <v>0</v>
      </c>
    </row>
    <row r="5615" spans="3:5">
      <c r="C5615" t="s">
        <v>17</v>
      </c>
      <c r="D5615" t="s">
        <v>18</v>
      </c>
      <c r="E5615">
        <v>0</v>
      </c>
    </row>
    <row r="5616" spans="3:5">
      <c r="C5616" t="s">
        <v>15</v>
      </c>
      <c r="D5616" t="s">
        <v>16</v>
      </c>
      <c r="E5616">
        <v>1</v>
      </c>
    </row>
    <row r="5617" spans="3:5">
      <c r="C5617" t="s">
        <v>15</v>
      </c>
      <c r="D5617" t="s">
        <v>16</v>
      </c>
      <c r="E5617">
        <v>0</v>
      </c>
    </row>
    <row r="5618" spans="3:5">
      <c r="C5618" t="s">
        <v>17</v>
      </c>
      <c r="D5618" t="s">
        <v>18</v>
      </c>
      <c r="E5618">
        <v>0</v>
      </c>
    </row>
    <row r="5619" spans="3:5">
      <c r="C5619" t="s">
        <v>17</v>
      </c>
      <c r="D5619" t="s">
        <v>18</v>
      </c>
      <c r="E5619">
        <v>0</v>
      </c>
    </row>
    <row r="5620" spans="3:5">
      <c r="C5620" t="s">
        <v>15</v>
      </c>
      <c r="D5620" t="s">
        <v>16</v>
      </c>
      <c r="E5620">
        <v>0</v>
      </c>
    </row>
    <row r="5621" spans="3:5">
      <c r="C5621" t="s">
        <v>17</v>
      </c>
      <c r="D5621" t="s">
        <v>18</v>
      </c>
      <c r="E5621">
        <v>0</v>
      </c>
    </row>
    <row r="5622" spans="3:5">
      <c r="C5622" t="s">
        <v>15</v>
      </c>
      <c r="D5622" t="s">
        <v>16</v>
      </c>
      <c r="E5622">
        <v>0</v>
      </c>
    </row>
    <row r="5623" spans="3:5">
      <c r="C5623" t="s">
        <v>17</v>
      </c>
      <c r="D5623" t="s">
        <v>18</v>
      </c>
      <c r="E5623">
        <v>0</v>
      </c>
    </row>
    <row r="5624" spans="3:5">
      <c r="C5624" t="s">
        <v>17</v>
      </c>
      <c r="D5624" t="s">
        <v>18</v>
      </c>
      <c r="E5624">
        <v>0</v>
      </c>
    </row>
    <row r="5625" spans="3:5">
      <c r="C5625" t="s">
        <v>15</v>
      </c>
      <c r="D5625" t="s">
        <v>16</v>
      </c>
      <c r="E5625">
        <v>0</v>
      </c>
    </row>
    <row r="5626" spans="3:5">
      <c r="C5626" t="s">
        <v>17</v>
      </c>
      <c r="D5626" t="s">
        <v>18</v>
      </c>
      <c r="E5626">
        <v>0</v>
      </c>
    </row>
    <row r="5627" spans="3:5">
      <c r="C5627" t="s">
        <v>17</v>
      </c>
      <c r="D5627" t="s">
        <v>18</v>
      </c>
      <c r="E5627">
        <v>0</v>
      </c>
    </row>
    <row r="5628" spans="3:5">
      <c r="C5628" t="s">
        <v>17</v>
      </c>
      <c r="D5628" t="s">
        <v>18</v>
      </c>
      <c r="E5628">
        <v>0</v>
      </c>
    </row>
    <row r="5629" spans="3:5">
      <c r="C5629" t="s">
        <v>17</v>
      </c>
      <c r="D5629" t="s">
        <v>18</v>
      </c>
      <c r="E5629">
        <v>0</v>
      </c>
    </row>
    <row r="5630" spans="3:5">
      <c r="C5630" t="s">
        <v>17</v>
      </c>
      <c r="D5630" t="s">
        <v>18</v>
      </c>
      <c r="E5630">
        <v>0</v>
      </c>
    </row>
    <row r="5631" spans="3:5">
      <c r="C5631" t="s">
        <v>17</v>
      </c>
      <c r="D5631" t="s">
        <v>18</v>
      </c>
      <c r="E5631">
        <v>0</v>
      </c>
    </row>
    <row r="5632" spans="3:5">
      <c r="C5632" t="s">
        <v>15</v>
      </c>
      <c r="D5632" t="s">
        <v>16</v>
      </c>
      <c r="E5632">
        <v>0</v>
      </c>
    </row>
    <row r="5633" spans="3:5">
      <c r="C5633" t="s">
        <v>17</v>
      </c>
      <c r="D5633" t="s">
        <v>18</v>
      </c>
      <c r="E5633">
        <v>0</v>
      </c>
    </row>
    <row r="5634" spans="3:5">
      <c r="C5634" t="s">
        <v>15</v>
      </c>
      <c r="D5634" t="s">
        <v>16</v>
      </c>
      <c r="E5634">
        <v>0</v>
      </c>
    </row>
    <row r="5635" spans="3:5">
      <c r="C5635" t="s">
        <v>15</v>
      </c>
      <c r="D5635" t="s">
        <v>16</v>
      </c>
      <c r="E5635">
        <v>0</v>
      </c>
    </row>
    <row r="5636" spans="3:5">
      <c r="C5636" t="s">
        <v>15</v>
      </c>
      <c r="D5636" t="s">
        <v>16</v>
      </c>
      <c r="E5636">
        <v>0</v>
      </c>
    </row>
    <row r="5637" spans="3:5">
      <c r="C5637" t="s">
        <v>15</v>
      </c>
      <c r="D5637" t="s">
        <v>16</v>
      </c>
      <c r="E5637">
        <v>0</v>
      </c>
    </row>
    <row r="5638" spans="3:5">
      <c r="C5638" t="s">
        <v>15</v>
      </c>
      <c r="D5638" t="s">
        <v>16</v>
      </c>
      <c r="E5638">
        <v>0</v>
      </c>
    </row>
    <row r="5639" spans="3:5">
      <c r="C5639" t="s">
        <v>17</v>
      </c>
      <c r="D5639" t="s">
        <v>18</v>
      </c>
      <c r="E5639">
        <v>0</v>
      </c>
    </row>
    <row r="5640" spans="3:5">
      <c r="C5640" t="s">
        <v>17</v>
      </c>
      <c r="D5640" t="s">
        <v>18</v>
      </c>
      <c r="E5640">
        <v>0</v>
      </c>
    </row>
    <row r="5641" spans="3:5">
      <c r="C5641" t="s">
        <v>17</v>
      </c>
      <c r="D5641" t="s">
        <v>18</v>
      </c>
      <c r="E5641">
        <v>0</v>
      </c>
    </row>
    <row r="5642" spans="3:5">
      <c r="C5642" t="s">
        <v>17</v>
      </c>
      <c r="D5642" t="s">
        <v>18</v>
      </c>
      <c r="E5642">
        <v>0</v>
      </c>
    </row>
    <row r="5643" spans="3:5">
      <c r="C5643" t="s">
        <v>15</v>
      </c>
      <c r="D5643" t="s">
        <v>16</v>
      </c>
      <c r="E5643">
        <v>0</v>
      </c>
    </row>
    <row r="5644" spans="3:5">
      <c r="C5644" t="s">
        <v>17</v>
      </c>
      <c r="D5644" t="s">
        <v>18</v>
      </c>
      <c r="E5644">
        <v>0</v>
      </c>
    </row>
    <row r="5645" spans="3:5">
      <c r="C5645" t="s">
        <v>15</v>
      </c>
      <c r="D5645" t="s">
        <v>16</v>
      </c>
      <c r="E5645">
        <v>0</v>
      </c>
    </row>
    <row r="5646" spans="3:5">
      <c r="C5646" t="s">
        <v>17</v>
      </c>
      <c r="D5646" t="s">
        <v>18</v>
      </c>
      <c r="E5646">
        <v>0</v>
      </c>
    </row>
    <row r="5647" spans="3:5">
      <c r="C5647" t="s">
        <v>17</v>
      </c>
      <c r="D5647" t="s">
        <v>18</v>
      </c>
      <c r="E5647">
        <v>0</v>
      </c>
    </row>
    <row r="5648" spans="3:5">
      <c r="C5648" t="s">
        <v>15</v>
      </c>
      <c r="D5648" t="s">
        <v>16</v>
      </c>
      <c r="E5648">
        <v>0</v>
      </c>
    </row>
    <row r="5649" spans="3:5">
      <c r="C5649" t="s">
        <v>15</v>
      </c>
      <c r="D5649" t="s">
        <v>16</v>
      </c>
      <c r="E5649">
        <v>0</v>
      </c>
    </row>
    <row r="5650" spans="3:5">
      <c r="C5650" t="s">
        <v>17</v>
      </c>
      <c r="D5650" t="s">
        <v>18</v>
      </c>
      <c r="E5650">
        <v>0</v>
      </c>
    </row>
    <row r="5651" spans="3:5">
      <c r="C5651" t="s">
        <v>17</v>
      </c>
      <c r="D5651" t="s">
        <v>18</v>
      </c>
      <c r="E5651">
        <v>0</v>
      </c>
    </row>
    <row r="5652" spans="3:5">
      <c r="C5652" t="s">
        <v>17</v>
      </c>
      <c r="D5652" t="s">
        <v>18</v>
      </c>
      <c r="E5652">
        <v>0</v>
      </c>
    </row>
    <row r="5653" spans="3:5">
      <c r="C5653" t="s">
        <v>17</v>
      </c>
      <c r="D5653" t="s">
        <v>18</v>
      </c>
      <c r="E5653">
        <v>0</v>
      </c>
    </row>
    <row r="5654" spans="3:5">
      <c r="C5654" t="s">
        <v>15</v>
      </c>
      <c r="D5654" t="s">
        <v>16</v>
      </c>
      <c r="E5654">
        <v>0</v>
      </c>
    </row>
    <row r="5655" spans="3:5">
      <c r="C5655" t="s">
        <v>17</v>
      </c>
      <c r="D5655" t="s">
        <v>18</v>
      </c>
      <c r="E5655">
        <v>0</v>
      </c>
    </row>
    <row r="5656" spans="3:5">
      <c r="C5656" t="s">
        <v>15</v>
      </c>
      <c r="D5656" t="s">
        <v>16</v>
      </c>
      <c r="E5656">
        <v>0</v>
      </c>
    </row>
    <row r="5657" spans="3:5">
      <c r="C5657" t="s">
        <v>17</v>
      </c>
      <c r="D5657" t="s">
        <v>18</v>
      </c>
      <c r="E5657">
        <v>0</v>
      </c>
    </row>
    <row r="5658" spans="3:5">
      <c r="C5658" t="s">
        <v>17</v>
      </c>
      <c r="D5658" t="s">
        <v>18</v>
      </c>
      <c r="E5658">
        <v>0</v>
      </c>
    </row>
    <row r="5659" spans="3:5">
      <c r="C5659" t="s">
        <v>15</v>
      </c>
      <c r="D5659" t="s">
        <v>16</v>
      </c>
      <c r="E5659">
        <v>0</v>
      </c>
    </row>
    <row r="5660" spans="3:5">
      <c r="C5660" t="s">
        <v>17</v>
      </c>
      <c r="D5660" t="s">
        <v>18</v>
      </c>
      <c r="E5660">
        <v>0</v>
      </c>
    </row>
    <row r="5661" spans="3:5">
      <c r="C5661" t="s">
        <v>17</v>
      </c>
      <c r="D5661" t="s">
        <v>18</v>
      </c>
      <c r="E5661">
        <v>0</v>
      </c>
    </row>
    <row r="5662" spans="3:5">
      <c r="C5662" t="s">
        <v>15</v>
      </c>
      <c r="D5662" t="s">
        <v>16</v>
      </c>
      <c r="E5662">
        <v>0</v>
      </c>
    </row>
    <row r="5663" spans="3:5">
      <c r="C5663" t="s">
        <v>15</v>
      </c>
      <c r="D5663" t="s">
        <v>16</v>
      </c>
      <c r="E5663">
        <v>0</v>
      </c>
    </row>
    <row r="5664" spans="3:5">
      <c r="C5664" t="s">
        <v>17</v>
      </c>
      <c r="D5664" t="s">
        <v>18</v>
      </c>
      <c r="E5664">
        <v>0</v>
      </c>
    </row>
    <row r="5665" spans="3:5">
      <c r="C5665" t="s">
        <v>17</v>
      </c>
      <c r="D5665" t="s">
        <v>18</v>
      </c>
      <c r="E5665">
        <v>0</v>
      </c>
    </row>
    <row r="5666" spans="3:5">
      <c r="C5666" t="s">
        <v>17</v>
      </c>
      <c r="D5666" t="s">
        <v>18</v>
      </c>
      <c r="E5666">
        <v>0</v>
      </c>
    </row>
    <row r="5667" spans="3:5">
      <c r="C5667" t="s">
        <v>17</v>
      </c>
      <c r="D5667" t="s">
        <v>18</v>
      </c>
      <c r="E5667">
        <v>0</v>
      </c>
    </row>
    <row r="5668" spans="3:5">
      <c r="C5668" t="s">
        <v>15</v>
      </c>
      <c r="D5668" t="s">
        <v>16</v>
      </c>
      <c r="E5668">
        <v>0</v>
      </c>
    </row>
    <row r="5669" spans="3:5">
      <c r="C5669" t="s">
        <v>17</v>
      </c>
      <c r="D5669" t="s">
        <v>18</v>
      </c>
      <c r="E5669">
        <v>0</v>
      </c>
    </row>
    <row r="5670" spans="3:5">
      <c r="C5670" t="s">
        <v>15</v>
      </c>
      <c r="D5670" t="s">
        <v>16</v>
      </c>
      <c r="E5670">
        <v>0</v>
      </c>
    </row>
    <row r="5671" spans="3:5">
      <c r="C5671" t="s">
        <v>17</v>
      </c>
      <c r="D5671" t="s">
        <v>18</v>
      </c>
      <c r="E5671">
        <v>0</v>
      </c>
    </row>
    <row r="5672" spans="3:5">
      <c r="C5672" t="s">
        <v>17</v>
      </c>
      <c r="D5672" t="s">
        <v>18</v>
      </c>
      <c r="E5672">
        <v>0</v>
      </c>
    </row>
    <row r="5673" spans="3:5">
      <c r="C5673" t="s">
        <v>17</v>
      </c>
      <c r="D5673" t="s">
        <v>18</v>
      </c>
      <c r="E5673">
        <v>1</v>
      </c>
    </row>
    <row r="5674" spans="3:5">
      <c r="C5674" t="s">
        <v>17</v>
      </c>
      <c r="D5674" t="s">
        <v>18</v>
      </c>
      <c r="E5674">
        <v>0</v>
      </c>
    </row>
    <row r="5675" spans="3:5">
      <c r="C5675" t="s">
        <v>17</v>
      </c>
      <c r="D5675" t="s">
        <v>18</v>
      </c>
      <c r="E5675">
        <v>0</v>
      </c>
    </row>
    <row r="5676" spans="3:5">
      <c r="C5676" t="s">
        <v>15</v>
      </c>
      <c r="D5676" t="s">
        <v>16</v>
      </c>
      <c r="E5676">
        <v>0</v>
      </c>
    </row>
    <row r="5677" spans="3:5">
      <c r="C5677" t="s">
        <v>15</v>
      </c>
      <c r="D5677" t="s">
        <v>16</v>
      </c>
      <c r="E5677">
        <v>0</v>
      </c>
    </row>
    <row r="5678" spans="3:5">
      <c r="C5678" t="s">
        <v>15</v>
      </c>
      <c r="D5678" t="s">
        <v>16</v>
      </c>
      <c r="E5678">
        <v>0</v>
      </c>
    </row>
    <row r="5679" spans="3:5">
      <c r="C5679" t="s">
        <v>17</v>
      </c>
      <c r="D5679" t="s">
        <v>18</v>
      </c>
      <c r="E5679">
        <v>0</v>
      </c>
    </row>
    <row r="5680" spans="3:5">
      <c r="C5680" t="s">
        <v>15</v>
      </c>
      <c r="D5680" t="s">
        <v>16</v>
      </c>
      <c r="E5680">
        <v>0</v>
      </c>
    </row>
    <row r="5681" spans="3:5">
      <c r="C5681" t="s">
        <v>17</v>
      </c>
      <c r="D5681" t="s">
        <v>18</v>
      </c>
      <c r="E5681">
        <v>0</v>
      </c>
    </row>
    <row r="5682" spans="3:5">
      <c r="C5682" t="s">
        <v>17</v>
      </c>
      <c r="D5682" t="s">
        <v>18</v>
      </c>
      <c r="E5682">
        <v>0</v>
      </c>
    </row>
    <row r="5683" spans="3:5">
      <c r="C5683" t="s">
        <v>17</v>
      </c>
      <c r="D5683" t="s">
        <v>18</v>
      </c>
      <c r="E5683">
        <v>0</v>
      </c>
    </row>
    <row r="5684" spans="3:5">
      <c r="C5684" t="s">
        <v>15</v>
      </c>
      <c r="D5684" t="s">
        <v>16</v>
      </c>
      <c r="E5684">
        <v>0</v>
      </c>
    </row>
    <row r="5685" spans="3:5">
      <c r="C5685" t="s">
        <v>17</v>
      </c>
      <c r="D5685" t="s">
        <v>18</v>
      </c>
      <c r="E5685">
        <v>0</v>
      </c>
    </row>
    <row r="5686" spans="3:5">
      <c r="C5686" t="s">
        <v>15</v>
      </c>
      <c r="D5686" t="s">
        <v>16</v>
      </c>
      <c r="E5686">
        <v>0</v>
      </c>
    </row>
    <row r="5687" spans="3:5">
      <c r="C5687" t="s">
        <v>17</v>
      </c>
      <c r="D5687" t="s">
        <v>18</v>
      </c>
      <c r="E5687">
        <v>0</v>
      </c>
    </row>
    <row r="5688" spans="3:5">
      <c r="C5688" t="s">
        <v>17</v>
      </c>
      <c r="D5688" t="s">
        <v>18</v>
      </c>
      <c r="E5688">
        <v>0</v>
      </c>
    </row>
    <row r="5689" spans="3:5">
      <c r="C5689" t="s">
        <v>17</v>
      </c>
      <c r="D5689" t="s">
        <v>18</v>
      </c>
      <c r="E5689">
        <v>0</v>
      </c>
    </row>
    <row r="5690" spans="3:5">
      <c r="C5690" t="s">
        <v>15</v>
      </c>
      <c r="D5690" t="s">
        <v>16</v>
      </c>
      <c r="E5690">
        <v>0</v>
      </c>
    </row>
    <row r="5691" spans="3:5">
      <c r="C5691" t="s">
        <v>17</v>
      </c>
      <c r="D5691" t="s">
        <v>18</v>
      </c>
      <c r="E5691">
        <v>0</v>
      </c>
    </row>
    <row r="5692" spans="3:5">
      <c r="C5692" t="s">
        <v>17</v>
      </c>
      <c r="D5692" t="s">
        <v>18</v>
      </c>
      <c r="E5692">
        <v>0</v>
      </c>
    </row>
    <row r="5693" spans="3:5">
      <c r="C5693" t="s">
        <v>17</v>
      </c>
      <c r="D5693" t="s">
        <v>18</v>
      </c>
      <c r="E5693">
        <v>0</v>
      </c>
    </row>
    <row r="5694" spans="3:5">
      <c r="C5694" t="s">
        <v>15</v>
      </c>
      <c r="D5694" t="s">
        <v>16</v>
      </c>
      <c r="E5694">
        <v>0</v>
      </c>
    </row>
    <row r="5695" spans="3:5">
      <c r="C5695" t="s">
        <v>17</v>
      </c>
      <c r="D5695" t="s">
        <v>18</v>
      </c>
      <c r="E5695">
        <v>0</v>
      </c>
    </row>
    <row r="5696" spans="3:5">
      <c r="C5696" t="s">
        <v>15</v>
      </c>
      <c r="D5696" t="s">
        <v>16</v>
      </c>
      <c r="E5696">
        <v>0</v>
      </c>
    </row>
    <row r="5697" spans="3:5">
      <c r="C5697" t="s">
        <v>17</v>
      </c>
      <c r="D5697" t="s">
        <v>18</v>
      </c>
      <c r="E5697">
        <v>0</v>
      </c>
    </row>
    <row r="5698" spans="3:5">
      <c r="C5698" t="s">
        <v>17</v>
      </c>
      <c r="D5698" t="s">
        <v>18</v>
      </c>
      <c r="E5698">
        <v>0</v>
      </c>
    </row>
    <row r="5699" spans="3:5">
      <c r="C5699" t="s">
        <v>15</v>
      </c>
      <c r="D5699" t="s">
        <v>16</v>
      </c>
      <c r="E5699">
        <v>0</v>
      </c>
    </row>
    <row r="5700" spans="3:5">
      <c r="C5700" t="s">
        <v>15</v>
      </c>
      <c r="D5700" t="s">
        <v>16</v>
      </c>
      <c r="E5700">
        <v>0</v>
      </c>
    </row>
    <row r="5701" spans="3:5">
      <c r="C5701" t="s">
        <v>15</v>
      </c>
      <c r="D5701" t="s">
        <v>16</v>
      </c>
      <c r="E5701">
        <v>0</v>
      </c>
    </row>
    <row r="5702" spans="3:5">
      <c r="C5702" t="s">
        <v>17</v>
      </c>
      <c r="D5702" t="s">
        <v>18</v>
      </c>
      <c r="E5702">
        <v>0</v>
      </c>
    </row>
    <row r="5703" spans="3:5">
      <c r="C5703" t="s">
        <v>17</v>
      </c>
      <c r="D5703" t="s">
        <v>18</v>
      </c>
      <c r="E5703">
        <v>0</v>
      </c>
    </row>
    <row r="5704" spans="3:5">
      <c r="C5704" t="s">
        <v>15</v>
      </c>
      <c r="D5704" t="s">
        <v>16</v>
      </c>
      <c r="E5704">
        <v>0</v>
      </c>
    </row>
    <row r="5705" spans="3:5">
      <c r="C5705" t="s">
        <v>17</v>
      </c>
      <c r="D5705" t="s">
        <v>18</v>
      </c>
      <c r="E5705">
        <v>0</v>
      </c>
    </row>
    <row r="5706" spans="3:5">
      <c r="C5706" t="s">
        <v>15</v>
      </c>
      <c r="D5706" t="s">
        <v>16</v>
      </c>
      <c r="E5706">
        <v>0</v>
      </c>
    </row>
    <row r="5707" spans="3:5">
      <c r="C5707" t="s">
        <v>15</v>
      </c>
      <c r="D5707" t="s">
        <v>16</v>
      </c>
      <c r="E5707">
        <v>0</v>
      </c>
    </row>
    <row r="5708" spans="3:5">
      <c r="C5708" t="s">
        <v>15</v>
      </c>
      <c r="D5708" t="s">
        <v>16</v>
      </c>
      <c r="E5708">
        <v>0</v>
      </c>
    </row>
    <row r="5709" spans="3:5">
      <c r="C5709" t="s">
        <v>17</v>
      </c>
      <c r="D5709" t="s">
        <v>18</v>
      </c>
      <c r="E5709">
        <v>0</v>
      </c>
    </row>
    <row r="5710" spans="3:5">
      <c r="C5710" t="s">
        <v>15</v>
      </c>
      <c r="D5710" t="s">
        <v>16</v>
      </c>
      <c r="E5710">
        <v>0</v>
      </c>
    </row>
    <row r="5711" spans="3:5">
      <c r="C5711" t="s">
        <v>17</v>
      </c>
      <c r="D5711" t="s">
        <v>18</v>
      </c>
      <c r="E5711">
        <v>0</v>
      </c>
    </row>
    <row r="5712" spans="3:5">
      <c r="C5712" t="s">
        <v>15</v>
      </c>
      <c r="D5712" t="s">
        <v>16</v>
      </c>
      <c r="E5712">
        <v>0</v>
      </c>
    </row>
    <row r="5713" spans="3:5">
      <c r="C5713" t="s">
        <v>15</v>
      </c>
      <c r="D5713" t="s">
        <v>16</v>
      </c>
      <c r="E5713">
        <v>0</v>
      </c>
    </row>
    <row r="5714" spans="3:5">
      <c r="C5714" t="s">
        <v>17</v>
      </c>
      <c r="D5714" t="s">
        <v>18</v>
      </c>
      <c r="E5714">
        <v>0</v>
      </c>
    </row>
    <row r="5715" spans="3:5">
      <c r="C5715" t="s">
        <v>15</v>
      </c>
      <c r="D5715" t="s">
        <v>16</v>
      </c>
      <c r="E5715">
        <v>0</v>
      </c>
    </row>
    <row r="5716" spans="3:5">
      <c r="C5716" t="s">
        <v>17</v>
      </c>
      <c r="D5716" t="s">
        <v>18</v>
      </c>
      <c r="E5716">
        <v>0</v>
      </c>
    </row>
    <row r="5717" spans="3:5">
      <c r="C5717" t="s">
        <v>17</v>
      </c>
      <c r="D5717" t="s">
        <v>18</v>
      </c>
      <c r="E5717">
        <v>0</v>
      </c>
    </row>
    <row r="5718" spans="3:5">
      <c r="C5718" t="s">
        <v>15</v>
      </c>
      <c r="D5718" t="s">
        <v>16</v>
      </c>
      <c r="E5718">
        <v>0</v>
      </c>
    </row>
    <row r="5719" spans="3:5">
      <c r="C5719" t="s">
        <v>17</v>
      </c>
      <c r="D5719" t="s">
        <v>18</v>
      </c>
      <c r="E5719">
        <v>1</v>
      </c>
    </row>
    <row r="5720" spans="3:5">
      <c r="C5720" t="s">
        <v>17</v>
      </c>
      <c r="D5720" t="s">
        <v>18</v>
      </c>
      <c r="E5720">
        <v>0</v>
      </c>
    </row>
    <row r="5721" spans="3:5">
      <c r="C5721" t="s">
        <v>17</v>
      </c>
      <c r="D5721" t="s">
        <v>18</v>
      </c>
      <c r="E5721">
        <v>0</v>
      </c>
    </row>
    <row r="5722" spans="3:5">
      <c r="C5722" t="s">
        <v>15</v>
      </c>
      <c r="D5722" t="s">
        <v>16</v>
      </c>
      <c r="E5722">
        <v>0</v>
      </c>
    </row>
    <row r="5723" spans="3:5">
      <c r="C5723" t="s">
        <v>17</v>
      </c>
      <c r="D5723" t="s">
        <v>18</v>
      </c>
      <c r="E5723">
        <v>0</v>
      </c>
    </row>
    <row r="5724" spans="3:5">
      <c r="C5724" t="s">
        <v>17</v>
      </c>
      <c r="D5724" t="s">
        <v>18</v>
      </c>
      <c r="E5724">
        <v>0</v>
      </c>
    </row>
    <row r="5725" spans="3:5">
      <c r="C5725" t="s">
        <v>17</v>
      </c>
      <c r="D5725" t="s">
        <v>18</v>
      </c>
      <c r="E5725">
        <v>0</v>
      </c>
    </row>
    <row r="5726" spans="3:5">
      <c r="C5726" t="s">
        <v>15</v>
      </c>
      <c r="D5726" t="s">
        <v>16</v>
      </c>
      <c r="E5726">
        <v>0</v>
      </c>
    </row>
    <row r="5727" spans="3:5">
      <c r="C5727" t="s">
        <v>15</v>
      </c>
      <c r="D5727" t="s">
        <v>16</v>
      </c>
      <c r="E5727">
        <v>0</v>
      </c>
    </row>
    <row r="5728" spans="3:5">
      <c r="C5728" t="s">
        <v>17</v>
      </c>
      <c r="D5728" t="s">
        <v>18</v>
      </c>
      <c r="E5728">
        <v>0</v>
      </c>
    </row>
    <row r="5729" spans="3:5">
      <c r="C5729" t="s">
        <v>17</v>
      </c>
      <c r="D5729" t="s">
        <v>18</v>
      </c>
      <c r="E5729">
        <v>0</v>
      </c>
    </row>
    <row r="5730" spans="3:5">
      <c r="C5730" t="s">
        <v>17</v>
      </c>
      <c r="D5730" t="s">
        <v>18</v>
      </c>
      <c r="E5730">
        <v>0</v>
      </c>
    </row>
    <row r="5731" spans="3:5">
      <c r="C5731" t="s">
        <v>15</v>
      </c>
      <c r="D5731" t="s">
        <v>16</v>
      </c>
      <c r="E5731">
        <v>0</v>
      </c>
    </row>
    <row r="5732" spans="3:5">
      <c r="C5732" t="s">
        <v>17</v>
      </c>
      <c r="D5732" t="s">
        <v>18</v>
      </c>
      <c r="E5732">
        <v>0</v>
      </c>
    </row>
    <row r="5733" spans="3:5">
      <c r="C5733" t="s">
        <v>15</v>
      </c>
      <c r="D5733" t="s">
        <v>16</v>
      </c>
      <c r="E5733">
        <v>0</v>
      </c>
    </row>
    <row r="5734" spans="3:5">
      <c r="C5734" t="s">
        <v>15</v>
      </c>
      <c r="D5734" t="s">
        <v>16</v>
      </c>
      <c r="E5734">
        <v>0</v>
      </c>
    </row>
    <row r="5735" spans="3:5">
      <c r="C5735" t="s">
        <v>17</v>
      </c>
      <c r="D5735" t="s">
        <v>18</v>
      </c>
      <c r="E5735">
        <v>0</v>
      </c>
    </row>
    <row r="5736" spans="3:5">
      <c r="C5736" t="s">
        <v>15</v>
      </c>
      <c r="D5736" t="s">
        <v>16</v>
      </c>
      <c r="E5736">
        <v>0</v>
      </c>
    </row>
    <row r="5737" spans="3:5">
      <c r="C5737" t="s">
        <v>17</v>
      </c>
      <c r="D5737" t="s">
        <v>18</v>
      </c>
      <c r="E5737">
        <v>0</v>
      </c>
    </row>
    <row r="5738" spans="3:5">
      <c r="C5738" t="s">
        <v>17</v>
      </c>
      <c r="D5738" t="s">
        <v>18</v>
      </c>
      <c r="E5738">
        <v>0</v>
      </c>
    </row>
    <row r="5739" spans="3:5">
      <c r="C5739" t="s">
        <v>15</v>
      </c>
      <c r="D5739" t="s">
        <v>16</v>
      </c>
      <c r="E5739">
        <v>0</v>
      </c>
    </row>
    <row r="5740" spans="3:5">
      <c r="C5740" t="s">
        <v>15</v>
      </c>
      <c r="D5740" t="s">
        <v>16</v>
      </c>
      <c r="E5740">
        <v>0</v>
      </c>
    </row>
    <row r="5741" spans="3:5">
      <c r="C5741" t="s">
        <v>15</v>
      </c>
      <c r="D5741" t="s">
        <v>16</v>
      </c>
      <c r="E5741">
        <v>0</v>
      </c>
    </row>
    <row r="5742" spans="3:5">
      <c r="C5742" t="s">
        <v>17</v>
      </c>
      <c r="D5742" t="s">
        <v>18</v>
      </c>
      <c r="E5742">
        <v>0</v>
      </c>
    </row>
    <row r="5743" spans="3:5">
      <c r="C5743" t="s">
        <v>15</v>
      </c>
      <c r="D5743" t="s">
        <v>16</v>
      </c>
      <c r="E5743">
        <v>0</v>
      </c>
    </row>
    <row r="5744" spans="3:5">
      <c r="C5744" t="s">
        <v>17</v>
      </c>
      <c r="D5744" t="s">
        <v>18</v>
      </c>
      <c r="E5744">
        <v>1</v>
      </c>
    </row>
    <row r="5745" spans="3:5">
      <c r="C5745" t="s">
        <v>17</v>
      </c>
      <c r="D5745" t="s">
        <v>18</v>
      </c>
      <c r="E5745">
        <v>0</v>
      </c>
    </row>
    <row r="5746" spans="3:5">
      <c r="C5746" t="s">
        <v>15</v>
      </c>
      <c r="D5746" t="s">
        <v>16</v>
      </c>
      <c r="E5746">
        <v>0</v>
      </c>
    </row>
    <row r="5747" spans="3:5">
      <c r="C5747" t="s">
        <v>17</v>
      </c>
      <c r="D5747" t="s">
        <v>18</v>
      </c>
      <c r="E5747">
        <v>0</v>
      </c>
    </row>
    <row r="5748" spans="3:5">
      <c r="C5748" t="s">
        <v>17</v>
      </c>
      <c r="D5748" t="s">
        <v>18</v>
      </c>
      <c r="E5748">
        <v>0</v>
      </c>
    </row>
    <row r="5749" spans="3:5">
      <c r="C5749" t="s">
        <v>15</v>
      </c>
      <c r="D5749" t="s">
        <v>16</v>
      </c>
      <c r="E5749">
        <v>0</v>
      </c>
    </row>
    <row r="5750" spans="3:5">
      <c r="C5750" t="s">
        <v>17</v>
      </c>
      <c r="D5750" t="s">
        <v>18</v>
      </c>
      <c r="E5750">
        <v>0</v>
      </c>
    </row>
    <row r="5751" spans="3:5">
      <c r="C5751" t="s">
        <v>15</v>
      </c>
      <c r="D5751" t="s">
        <v>16</v>
      </c>
      <c r="E5751">
        <v>0</v>
      </c>
    </row>
    <row r="5752" spans="3:5">
      <c r="C5752" t="s">
        <v>17</v>
      </c>
      <c r="D5752" t="s">
        <v>18</v>
      </c>
      <c r="E5752">
        <v>1</v>
      </c>
    </row>
    <row r="5753" spans="3:5">
      <c r="C5753" t="s">
        <v>15</v>
      </c>
      <c r="D5753" t="s">
        <v>16</v>
      </c>
      <c r="E5753">
        <v>0</v>
      </c>
    </row>
    <row r="5754" spans="3:5">
      <c r="C5754" t="s">
        <v>17</v>
      </c>
      <c r="D5754" t="s">
        <v>18</v>
      </c>
      <c r="E5754">
        <v>0</v>
      </c>
    </row>
    <row r="5755" spans="3:5">
      <c r="C5755" t="s">
        <v>17</v>
      </c>
      <c r="D5755" t="s">
        <v>18</v>
      </c>
      <c r="E5755">
        <v>0</v>
      </c>
    </row>
    <row r="5756" spans="3:5">
      <c r="C5756" t="s">
        <v>17</v>
      </c>
      <c r="D5756" t="s">
        <v>18</v>
      </c>
      <c r="E5756">
        <v>0</v>
      </c>
    </row>
    <row r="5757" spans="3:5">
      <c r="C5757" t="s">
        <v>15</v>
      </c>
      <c r="D5757" t="s">
        <v>16</v>
      </c>
      <c r="E5757">
        <v>0</v>
      </c>
    </row>
    <row r="5758" spans="3:5">
      <c r="C5758" t="s">
        <v>17</v>
      </c>
      <c r="D5758" t="s">
        <v>18</v>
      </c>
      <c r="E5758">
        <v>1</v>
      </c>
    </row>
    <row r="5759" spans="3:5">
      <c r="C5759" t="s">
        <v>17</v>
      </c>
      <c r="D5759" t="s">
        <v>18</v>
      </c>
      <c r="E5759">
        <v>0</v>
      </c>
    </row>
    <row r="5760" spans="3:5">
      <c r="C5760" t="s">
        <v>15</v>
      </c>
      <c r="D5760" t="s">
        <v>16</v>
      </c>
      <c r="E5760">
        <v>0</v>
      </c>
    </row>
    <row r="5761" spans="3:5">
      <c r="C5761" t="s">
        <v>17</v>
      </c>
      <c r="D5761" t="s">
        <v>18</v>
      </c>
      <c r="E5761">
        <v>0</v>
      </c>
    </row>
    <row r="5762" spans="3:5">
      <c r="C5762" t="s">
        <v>15</v>
      </c>
      <c r="D5762" t="s">
        <v>16</v>
      </c>
      <c r="E5762">
        <v>0</v>
      </c>
    </row>
    <row r="5763" spans="3:5">
      <c r="C5763" t="s">
        <v>15</v>
      </c>
      <c r="D5763" t="s">
        <v>16</v>
      </c>
      <c r="E5763">
        <v>0</v>
      </c>
    </row>
    <row r="5764" spans="3:5">
      <c r="C5764" t="s">
        <v>15</v>
      </c>
      <c r="D5764" t="s">
        <v>16</v>
      </c>
      <c r="E5764">
        <v>0</v>
      </c>
    </row>
    <row r="5765" spans="3:5">
      <c r="C5765" t="s">
        <v>15</v>
      </c>
      <c r="D5765" t="s">
        <v>16</v>
      </c>
      <c r="E5765">
        <v>0</v>
      </c>
    </row>
    <row r="5766" spans="3:5">
      <c r="C5766" t="s">
        <v>17</v>
      </c>
      <c r="D5766" t="s">
        <v>18</v>
      </c>
      <c r="E5766">
        <v>0</v>
      </c>
    </row>
    <row r="5767" spans="3:5">
      <c r="C5767" t="s">
        <v>15</v>
      </c>
      <c r="D5767" t="s">
        <v>16</v>
      </c>
      <c r="E5767">
        <v>0</v>
      </c>
    </row>
    <row r="5768" spans="3:5">
      <c r="C5768" t="s">
        <v>17</v>
      </c>
      <c r="D5768" t="s">
        <v>18</v>
      </c>
      <c r="E5768">
        <v>0</v>
      </c>
    </row>
    <row r="5769" spans="3:5">
      <c r="C5769" t="s">
        <v>15</v>
      </c>
      <c r="D5769" t="s">
        <v>16</v>
      </c>
      <c r="E5769">
        <v>0</v>
      </c>
    </row>
    <row r="5770" spans="3:5">
      <c r="C5770" t="s">
        <v>17</v>
      </c>
      <c r="D5770" t="s">
        <v>18</v>
      </c>
      <c r="E5770">
        <v>0</v>
      </c>
    </row>
    <row r="5771" spans="3:5">
      <c r="C5771" t="s">
        <v>17</v>
      </c>
      <c r="D5771" t="s">
        <v>18</v>
      </c>
      <c r="E5771">
        <v>0</v>
      </c>
    </row>
    <row r="5772" spans="3:5">
      <c r="C5772" t="s">
        <v>17</v>
      </c>
      <c r="D5772" t="s">
        <v>18</v>
      </c>
      <c r="E5772">
        <v>0</v>
      </c>
    </row>
    <row r="5773" spans="3:5">
      <c r="C5773" t="s">
        <v>17</v>
      </c>
      <c r="D5773" t="s">
        <v>18</v>
      </c>
      <c r="E5773">
        <v>1</v>
      </c>
    </row>
    <row r="5774" spans="3:5">
      <c r="C5774" t="s">
        <v>17</v>
      </c>
      <c r="D5774" t="s">
        <v>18</v>
      </c>
      <c r="E5774">
        <v>0</v>
      </c>
    </row>
    <row r="5775" spans="3:5">
      <c r="C5775" t="s">
        <v>17</v>
      </c>
      <c r="D5775" t="s">
        <v>18</v>
      </c>
      <c r="E5775">
        <v>0</v>
      </c>
    </row>
    <row r="5776" spans="3:5">
      <c r="C5776" t="s">
        <v>17</v>
      </c>
      <c r="D5776" t="s">
        <v>18</v>
      </c>
      <c r="E5776">
        <v>0</v>
      </c>
    </row>
    <row r="5777" spans="3:5">
      <c r="C5777" t="s">
        <v>15</v>
      </c>
      <c r="D5777" t="s">
        <v>16</v>
      </c>
      <c r="E5777">
        <v>0</v>
      </c>
    </row>
    <row r="5778" spans="3:5">
      <c r="C5778" t="s">
        <v>15</v>
      </c>
      <c r="D5778" t="s">
        <v>16</v>
      </c>
      <c r="E5778">
        <v>0</v>
      </c>
    </row>
    <row r="5779" spans="3:5">
      <c r="C5779" t="s">
        <v>17</v>
      </c>
      <c r="D5779" t="s">
        <v>18</v>
      </c>
      <c r="E5779">
        <v>0</v>
      </c>
    </row>
    <row r="5780" spans="3:5">
      <c r="C5780" t="s">
        <v>17</v>
      </c>
      <c r="D5780" t="s">
        <v>18</v>
      </c>
      <c r="E5780">
        <v>0</v>
      </c>
    </row>
    <row r="5781" spans="3:5">
      <c r="C5781" t="s">
        <v>17</v>
      </c>
      <c r="D5781" t="s">
        <v>18</v>
      </c>
      <c r="E5781">
        <v>0</v>
      </c>
    </row>
    <row r="5782" spans="3:5">
      <c r="C5782" t="s">
        <v>17</v>
      </c>
      <c r="D5782" t="s">
        <v>18</v>
      </c>
      <c r="E5782">
        <v>0</v>
      </c>
    </row>
    <row r="5783" spans="3:5">
      <c r="C5783" t="s">
        <v>15</v>
      </c>
      <c r="D5783" t="s">
        <v>16</v>
      </c>
      <c r="E5783">
        <v>0</v>
      </c>
    </row>
    <row r="5784" spans="3:5">
      <c r="C5784" t="s">
        <v>15</v>
      </c>
      <c r="D5784" t="s">
        <v>16</v>
      </c>
      <c r="E5784">
        <v>0</v>
      </c>
    </row>
    <row r="5785" spans="3:5">
      <c r="C5785" t="s">
        <v>17</v>
      </c>
      <c r="D5785" t="s">
        <v>18</v>
      </c>
      <c r="E5785">
        <v>0</v>
      </c>
    </row>
    <row r="5786" spans="3:5">
      <c r="C5786" t="s">
        <v>15</v>
      </c>
      <c r="D5786" t="s">
        <v>16</v>
      </c>
      <c r="E5786">
        <v>0</v>
      </c>
    </row>
    <row r="5787" spans="3:5">
      <c r="C5787" t="s">
        <v>17</v>
      </c>
      <c r="D5787" t="s">
        <v>18</v>
      </c>
      <c r="E5787">
        <v>0</v>
      </c>
    </row>
    <row r="5788" spans="3:5">
      <c r="C5788" t="s">
        <v>15</v>
      </c>
      <c r="D5788" t="s">
        <v>16</v>
      </c>
      <c r="E5788">
        <v>0</v>
      </c>
    </row>
    <row r="5789" spans="3:5">
      <c r="C5789" t="s">
        <v>15</v>
      </c>
      <c r="D5789" t="s">
        <v>16</v>
      </c>
      <c r="E5789">
        <v>0</v>
      </c>
    </row>
    <row r="5790" spans="3:5">
      <c r="C5790" t="s">
        <v>15</v>
      </c>
      <c r="D5790" t="s">
        <v>16</v>
      </c>
      <c r="E5790">
        <v>0</v>
      </c>
    </row>
    <row r="5791" spans="3:5">
      <c r="C5791" t="s">
        <v>17</v>
      </c>
      <c r="D5791" t="s">
        <v>18</v>
      </c>
      <c r="E5791">
        <v>0</v>
      </c>
    </row>
    <row r="5792" spans="3:5">
      <c r="C5792" t="s">
        <v>15</v>
      </c>
      <c r="D5792" t="s">
        <v>16</v>
      </c>
      <c r="E5792">
        <v>0</v>
      </c>
    </row>
    <row r="5793" spans="3:5">
      <c r="C5793" t="s">
        <v>15</v>
      </c>
      <c r="D5793" t="s">
        <v>16</v>
      </c>
      <c r="E5793">
        <v>0</v>
      </c>
    </row>
    <row r="5794" spans="3:5">
      <c r="C5794" t="s">
        <v>15</v>
      </c>
      <c r="D5794" t="s">
        <v>16</v>
      </c>
      <c r="E5794">
        <v>0</v>
      </c>
    </row>
    <row r="5795" spans="3:5">
      <c r="C5795" t="s">
        <v>17</v>
      </c>
      <c r="D5795" t="s">
        <v>18</v>
      </c>
      <c r="E5795">
        <v>0</v>
      </c>
    </row>
    <row r="5796" spans="3:5">
      <c r="C5796" t="s">
        <v>17</v>
      </c>
      <c r="D5796" t="s">
        <v>18</v>
      </c>
      <c r="E5796">
        <v>1</v>
      </c>
    </row>
    <row r="5797" spans="3:5">
      <c r="C5797" t="s">
        <v>15</v>
      </c>
      <c r="D5797" t="s">
        <v>16</v>
      </c>
      <c r="E5797">
        <v>0</v>
      </c>
    </row>
    <row r="5798" spans="3:5">
      <c r="C5798" t="s">
        <v>15</v>
      </c>
      <c r="D5798" t="s">
        <v>16</v>
      </c>
      <c r="E5798">
        <v>0</v>
      </c>
    </row>
    <row r="5799" spans="3:5">
      <c r="C5799" t="s">
        <v>17</v>
      </c>
      <c r="D5799" t="s">
        <v>18</v>
      </c>
      <c r="E5799">
        <v>0</v>
      </c>
    </row>
    <row r="5800" spans="3:5">
      <c r="C5800" t="s">
        <v>17</v>
      </c>
      <c r="D5800" t="s">
        <v>18</v>
      </c>
      <c r="E5800">
        <v>0</v>
      </c>
    </row>
    <row r="5801" spans="3:5">
      <c r="C5801" t="s">
        <v>17</v>
      </c>
      <c r="D5801" t="s">
        <v>18</v>
      </c>
      <c r="E5801">
        <v>0</v>
      </c>
    </row>
    <row r="5802" spans="3:5">
      <c r="C5802" t="s">
        <v>15</v>
      </c>
      <c r="D5802" t="s">
        <v>16</v>
      </c>
      <c r="E5802">
        <v>1</v>
      </c>
    </row>
    <row r="5803" spans="3:5">
      <c r="C5803" t="s">
        <v>15</v>
      </c>
      <c r="D5803" t="s">
        <v>16</v>
      </c>
      <c r="E5803">
        <v>0</v>
      </c>
    </row>
    <row r="5804" spans="3:5">
      <c r="C5804" t="s">
        <v>15</v>
      </c>
      <c r="D5804" t="s">
        <v>16</v>
      </c>
      <c r="E5804">
        <v>0</v>
      </c>
    </row>
    <row r="5805" spans="3:5">
      <c r="C5805" t="s">
        <v>17</v>
      </c>
      <c r="D5805" t="s">
        <v>18</v>
      </c>
      <c r="E5805">
        <v>0</v>
      </c>
    </row>
    <row r="5806" spans="3:5">
      <c r="C5806" t="s">
        <v>17</v>
      </c>
      <c r="D5806" t="s">
        <v>18</v>
      </c>
      <c r="E5806">
        <v>0</v>
      </c>
    </row>
    <row r="5807" spans="3:5">
      <c r="C5807" t="s">
        <v>17</v>
      </c>
      <c r="D5807" t="s">
        <v>18</v>
      </c>
      <c r="E5807">
        <v>0</v>
      </c>
    </row>
    <row r="5808" spans="3:5">
      <c r="C5808" t="s">
        <v>15</v>
      </c>
      <c r="D5808" t="s">
        <v>16</v>
      </c>
      <c r="E5808">
        <v>0</v>
      </c>
    </row>
    <row r="5809" spans="3:5">
      <c r="C5809" t="s">
        <v>15</v>
      </c>
      <c r="D5809" t="s">
        <v>16</v>
      </c>
      <c r="E5809">
        <v>0</v>
      </c>
    </row>
    <row r="5810" spans="3:5">
      <c r="C5810" t="s">
        <v>15</v>
      </c>
      <c r="D5810" t="s">
        <v>16</v>
      </c>
      <c r="E5810">
        <v>0</v>
      </c>
    </row>
    <row r="5811" spans="3:5">
      <c r="C5811" t="s">
        <v>15</v>
      </c>
      <c r="D5811" t="s">
        <v>16</v>
      </c>
      <c r="E5811">
        <v>0</v>
      </c>
    </row>
    <row r="5812" spans="3:5">
      <c r="C5812" t="s">
        <v>17</v>
      </c>
      <c r="D5812" t="s">
        <v>18</v>
      </c>
      <c r="E5812">
        <v>0</v>
      </c>
    </row>
    <row r="5813" spans="3:5">
      <c r="C5813" t="s">
        <v>17</v>
      </c>
      <c r="D5813" t="s">
        <v>18</v>
      </c>
      <c r="E5813">
        <v>0</v>
      </c>
    </row>
    <row r="5814" spans="3:5">
      <c r="C5814" t="s">
        <v>15</v>
      </c>
      <c r="D5814" t="s">
        <v>16</v>
      </c>
      <c r="E5814">
        <v>0</v>
      </c>
    </row>
    <row r="5815" spans="3:5">
      <c r="C5815" t="s">
        <v>15</v>
      </c>
      <c r="D5815" t="s">
        <v>16</v>
      </c>
      <c r="E5815">
        <v>0</v>
      </c>
    </row>
    <row r="5816" spans="3:5">
      <c r="C5816" t="s">
        <v>17</v>
      </c>
      <c r="D5816" t="s">
        <v>18</v>
      </c>
      <c r="E5816">
        <v>0</v>
      </c>
    </row>
    <row r="5817" spans="3:5">
      <c r="C5817" t="s">
        <v>17</v>
      </c>
      <c r="D5817" t="s">
        <v>18</v>
      </c>
      <c r="E5817">
        <v>0</v>
      </c>
    </row>
    <row r="5818" spans="3:5">
      <c r="C5818" t="s">
        <v>15</v>
      </c>
      <c r="D5818" t="s">
        <v>16</v>
      </c>
      <c r="E5818">
        <v>0</v>
      </c>
    </row>
    <row r="5819" spans="3:5">
      <c r="C5819" t="s">
        <v>15</v>
      </c>
      <c r="D5819" t="s">
        <v>16</v>
      </c>
      <c r="E5819">
        <v>0</v>
      </c>
    </row>
    <row r="5820" spans="3:5">
      <c r="C5820" t="s">
        <v>15</v>
      </c>
      <c r="D5820" t="s">
        <v>16</v>
      </c>
      <c r="E5820">
        <v>0</v>
      </c>
    </row>
    <row r="5821" spans="3:5">
      <c r="C5821" t="s">
        <v>15</v>
      </c>
      <c r="D5821" t="s">
        <v>16</v>
      </c>
      <c r="E5821">
        <v>0</v>
      </c>
    </row>
    <row r="5822" spans="3:5">
      <c r="C5822" t="s">
        <v>15</v>
      </c>
      <c r="D5822" t="s">
        <v>16</v>
      </c>
      <c r="E5822">
        <v>0</v>
      </c>
    </row>
    <row r="5823" spans="3:5">
      <c r="C5823" t="s">
        <v>17</v>
      </c>
      <c r="D5823" t="s">
        <v>18</v>
      </c>
      <c r="E5823">
        <v>0</v>
      </c>
    </row>
    <row r="5824" spans="3:5">
      <c r="C5824" t="s">
        <v>17</v>
      </c>
      <c r="D5824" t="s">
        <v>18</v>
      </c>
      <c r="E5824">
        <v>0</v>
      </c>
    </row>
    <row r="5825" spans="3:5">
      <c r="C5825" t="s">
        <v>15</v>
      </c>
      <c r="D5825" t="s">
        <v>16</v>
      </c>
      <c r="E5825">
        <v>0</v>
      </c>
    </row>
    <row r="5826" spans="3:5">
      <c r="C5826" t="s">
        <v>15</v>
      </c>
      <c r="D5826" t="s">
        <v>16</v>
      </c>
      <c r="E5826">
        <v>0</v>
      </c>
    </row>
    <row r="5827" spans="3:5">
      <c r="C5827" t="s">
        <v>17</v>
      </c>
      <c r="D5827" t="s">
        <v>18</v>
      </c>
      <c r="E5827">
        <v>0</v>
      </c>
    </row>
    <row r="5828" spans="3:5">
      <c r="C5828" t="s">
        <v>15</v>
      </c>
      <c r="D5828" t="s">
        <v>16</v>
      </c>
      <c r="E5828">
        <v>0</v>
      </c>
    </row>
    <row r="5829" spans="3:5">
      <c r="C5829" t="s">
        <v>15</v>
      </c>
      <c r="D5829" t="s">
        <v>16</v>
      </c>
      <c r="E5829">
        <v>0</v>
      </c>
    </row>
    <row r="5830" spans="3:5">
      <c r="C5830" t="s">
        <v>15</v>
      </c>
      <c r="D5830" t="s">
        <v>16</v>
      </c>
      <c r="E5830">
        <v>0</v>
      </c>
    </row>
    <row r="5831" spans="3:5">
      <c r="C5831" t="s">
        <v>17</v>
      </c>
      <c r="D5831" t="s">
        <v>18</v>
      </c>
      <c r="E5831">
        <v>0</v>
      </c>
    </row>
    <row r="5832" spans="3:5">
      <c r="C5832" t="s">
        <v>17</v>
      </c>
      <c r="D5832" t="s">
        <v>18</v>
      </c>
      <c r="E5832">
        <v>0</v>
      </c>
    </row>
    <row r="5833" spans="3:5">
      <c r="C5833" t="s">
        <v>15</v>
      </c>
      <c r="D5833" t="s">
        <v>16</v>
      </c>
      <c r="E5833">
        <v>0</v>
      </c>
    </row>
    <row r="5834" spans="3:5">
      <c r="C5834" t="s">
        <v>17</v>
      </c>
      <c r="D5834" t="s">
        <v>18</v>
      </c>
      <c r="E5834">
        <v>0</v>
      </c>
    </row>
    <row r="5835" spans="3:5">
      <c r="C5835" t="s">
        <v>17</v>
      </c>
      <c r="D5835" t="s">
        <v>18</v>
      </c>
      <c r="E5835">
        <v>0</v>
      </c>
    </row>
    <row r="5836" spans="3:5">
      <c r="C5836" t="s">
        <v>17</v>
      </c>
      <c r="D5836" t="s">
        <v>18</v>
      </c>
      <c r="E5836">
        <v>0</v>
      </c>
    </row>
    <row r="5837" spans="3:5">
      <c r="C5837" t="s">
        <v>15</v>
      </c>
      <c r="D5837" t="s">
        <v>16</v>
      </c>
      <c r="E5837">
        <v>0</v>
      </c>
    </row>
    <row r="5838" spans="3:5">
      <c r="C5838" t="s">
        <v>15</v>
      </c>
      <c r="D5838" t="s">
        <v>16</v>
      </c>
      <c r="E5838">
        <v>0</v>
      </c>
    </row>
    <row r="5839" spans="3:5">
      <c r="C5839" t="s">
        <v>17</v>
      </c>
      <c r="D5839" t="s">
        <v>18</v>
      </c>
      <c r="E5839">
        <v>0</v>
      </c>
    </row>
    <row r="5840" spans="3:5">
      <c r="C5840" t="s">
        <v>15</v>
      </c>
      <c r="D5840" t="s">
        <v>16</v>
      </c>
      <c r="E5840">
        <v>0</v>
      </c>
    </row>
    <row r="5841" spans="3:5">
      <c r="C5841" t="s">
        <v>17</v>
      </c>
      <c r="D5841" t="s">
        <v>18</v>
      </c>
      <c r="E5841">
        <v>0</v>
      </c>
    </row>
    <row r="5842" spans="3:5">
      <c r="C5842" t="s">
        <v>15</v>
      </c>
      <c r="D5842" t="s">
        <v>16</v>
      </c>
      <c r="E5842">
        <v>0</v>
      </c>
    </row>
    <row r="5843" spans="3:5">
      <c r="C5843" t="s">
        <v>17</v>
      </c>
      <c r="D5843" t="s">
        <v>18</v>
      </c>
      <c r="E5843">
        <v>0</v>
      </c>
    </row>
    <row r="5844" spans="3:5">
      <c r="C5844" t="s">
        <v>15</v>
      </c>
      <c r="D5844" t="s">
        <v>16</v>
      </c>
      <c r="E5844">
        <v>0</v>
      </c>
    </row>
    <row r="5845" spans="3:5">
      <c r="C5845" t="s">
        <v>17</v>
      </c>
      <c r="D5845" t="s">
        <v>18</v>
      </c>
      <c r="E5845">
        <v>0</v>
      </c>
    </row>
    <row r="5846" spans="3:5">
      <c r="C5846" t="s">
        <v>15</v>
      </c>
      <c r="D5846" t="s">
        <v>16</v>
      </c>
      <c r="E5846">
        <v>0</v>
      </c>
    </row>
    <row r="5847" spans="3:5">
      <c r="C5847" t="s">
        <v>15</v>
      </c>
      <c r="D5847" t="s">
        <v>16</v>
      </c>
      <c r="E5847">
        <v>0</v>
      </c>
    </row>
    <row r="5848" spans="3:5">
      <c r="C5848" t="s">
        <v>17</v>
      </c>
      <c r="D5848" t="s">
        <v>18</v>
      </c>
      <c r="E5848">
        <v>0</v>
      </c>
    </row>
    <row r="5849" spans="3:5">
      <c r="C5849" t="s">
        <v>17</v>
      </c>
      <c r="D5849" t="s">
        <v>18</v>
      </c>
      <c r="E5849">
        <v>1</v>
      </c>
    </row>
    <row r="5850" spans="3:5">
      <c r="C5850" t="s">
        <v>15</v>
      </c>
      <c r="D5850" t="s">
        <v>16</v>
      </c>
      <c r="E5850">
        <v>0</v>
      </c>
    </row>
    <row r="5851" spans="3:5">
      <c r="C5851" t="s">
        <v>17</v>
      </c>
      <c r="D5851" t="s">
        <v>18</v>
      </c>
      <c r="E5851">
        <v>0</v>
      </c>
    </row>
    <row r="5852" spans="3:5">
      <c r="C5852" t="s">
        <v>15</v>
      </c>
      <c r="D5852" t="s">
        <v>16</v>
      </c>
      <c r="E5852">
        <v>0</v>
      </c>
    </row>
    <row r="5853" spans="3:5">
      <c r="C5853" t="s">
        <v>17</v>
      </c>
      <c r="D5853" t="s">
        <v>18</v>
      </c>
      <c r="E5853">
        <v>0</v>
      </c>
    </row>
    <row r="5854" spans="3:5">
      <c r="C5854" t="s">
        <v>15</v>
      </c>
      <c r="D5854" t="s">
        <v>16</v>
      </c>
      <c r="E5854">
        <v>0</v>
      </c>
    </row>
    <row r="5855" spans="3:5">
      <c r="C5855" t="s">
        <v>15</v>
      </c>
      <c r="D5855" t="s">
        <v>16</v>
      </c>
      <c r="E5855">
        <v>0</v>
      </c>
    </row>
    <row r="5856" spans="3:5">
      <c r="C5856" t="s">
        <v>15</v>
      </c>
      <c r="D5856" t="s">
        <v>16</v>
      </c>
      <c r="E5856">
        <v>0</v>
      </c>
    </row>
    <row r="5857" spans="3:5">
      <c r="C5857" t="s">
        <v>15</v>
      </c>
      <c r="D5857" t="s">
        <v>16</v>
      </c>
      <c r="E5857">
        <v>0</v>
      </c>
    </row>
    <row r="5858" spans="3:5">
      <c r="C5858" t="s">
        <v>17</v>
      </c>
      <c r="D5858" t="s">
        <v>18</v>
      </c>
      <c r="E5858">
        <v>0</v>
      </c>
    </row>
    <row r="5859" spans="3:5">
      <c r="C5859" t="s">
        <v>17</v>
      </c>
      <c r="D5859" t="s">
        <v>18</v>
      </c>
      <c r="E5859">
        <v>0</v>
      </c>
    </row>
    <row r="5860" spans="3:5">
      <c r="C5860" t="s">
        <v>17</v>
      </c>
      <c r="D5860" t="s">
        <v>18</v>
      </c>
      <c r="E5860">
        <v>0</v>
      </c>
    </row>
    <row r="5861" spans="3:5">
      <c r="C5861" t="s">
        <v>17</v>
      </c>
      <c r="D5861" t="s">
        <v>18</v>
      </c>
      <c r="E5861">
        <v>0</v>
      </c>
    </row>
    <row r="5862" spans="3:5">
      <c r="C5862" t="s">
        <v>15</v>
      </c>
      <c r="D5862" t="s">
        <v>16</v>
      </c>
      <c r="E5862">
        <v>0</v>
      </c>
    </row>
    <row r="5863" spans="3:5">
      <c r="C5863" t="s">
        <v>15</v>
      </c>
      <c r="D5863" t="s">
        <v>16</v>
      </c>
      <c r="E5863">
        <v>0</v>
      </c>
    </row>
    <row r="5864" spans="3:5">
      <c r="C5864" t="s">
        <v>17</v>
      </c>
      <c r="D5864" t="s">
        <v>18</v>
      </c>
      <c r="E5864">
        <v>0</v>
      </c>
    </row>
    <row r="5865" spans="3:5">
      <c r="C5865" t="s">
        <v>17</v>
      </c>
      <c r="D5865" t="s">
        <v>18</v>
      </c>
      <c r="E5865">
        <v>1</v>
      </c>
    </row>
    <row r="5866" spans="3:5">
      <c r="C5866" t="s">
        <v>15</v>
      </c>
      <c r="D5866" t="s">
        <v>16</v>
      </c>
      <c r="E5866">
        <v>0</v>
      </c>
    </row>
    <row r="5867" spans="3:5">
      <c r="C5867" t="s">
        <v>17</v>
      </c>
      <c r="D5867" t="s">
        <v>18</v>
      </c>
      <c r="E5867">
        <v>0</v>
      </c>
    </row>
    <row r="5868" spans="3:5">
      <c r="C5868" t="s">
        <v>15</v>
      </c>
      <c r="D5868" t="s">
        <v>16</v>
      </c>
      <c r="E5868">
        <v>0</v>
      </c>
    </row>
    <row r="5869" spans="3:5">
      <c r="C5869" t="s">
        <v>17</v>
      </c>
      <c r="D5869" t="s">
        <v>18</v>
      </c>
      <c r="E5869">
        <v>0</v>
      </c>
    </row>
    <row r="5870" spans="3:5">
      <c r="C5870" t="s">
        <v>17</v>
      </c>
      <c r="D5870" t="s">
        <v>18</v>
      </c>
      <c r="E5870">
        <v>0</v>
      </c>
    </row>
    <row r="5871" spans="3:5">
      <c r="C5871" t="s">
        <v>15</v>
      </c>
      <c r="D5871" t="s">
        <v>16</v>
      </c>
      <c r="E5871">
        <v>0</v>
      </c>
    </row>
    <row r="5872" spans="3:5">
      <c r="C5872" t="s">
        <v>15</v>
      </c>
      <c r="D5872" t="s">
        <v>16</v>
      </c>
      <c r="E5872">
        <v>0</v>
      </c>
    </row>
    <row r="5873" spans="3:5">
      <c r="C5873" t="s">
        <v>15</v>
      </c>
      <c r="D5873" t="s">
        <v>16</v>
      </c>
      <c r="E5873">
        <v>0</v>
      </c>
    </row>
    <row r="5874" spans="3:5">
      <c r="C5874" t="s">
        <v>17</v>
      </c>
      <c r="D5874" t="s">
        <v>18</v>
      </c>
      <c r="E5874">
        <v>0</v>
      </c>
    </row>
    <row r="5875" spans="3:5">
      <c r="C5875" t="s">
        <v>17</v>
      </c>
      <c r="D5875" t="s">
        <v>18</v>
      </c>
      <c r="E5875">
        <v>0</v>
      </c>
    </row>
    <row r="5876" spans="3:5">
      <c r="C5876" t="s">
        <v>17</v>
      </c>
      <c r="D5876" t="s">
        <v>18</v>
      </c>
      <c r="E5876">
        <v>0</v>
      </c>
    </row>
    <row r="5877" spans="3:5">
      <c r="C5877" t="s">
        <v>15</v>
      </c>
      <c r="D5877" t="s">
        <v>16</v>
      </c>
      <c r="E5877">
        <v>0</v>
      </c>
    </row>
    <row r="5878" spans="3:5">
      <c r="C5878" t="s">
        <v>17</v>
      </c>
      <c r="D5878" t="s">
        <v>18</v>
      </c>
      <c r="E5878">
        <v>0</v>
      </c>
    </row>
    <row r="5879" spans="3:5">
      <c r="C5879" t="s">
        <v>17</v>
      </c>
      <c r="D5879" t="s">
        <v>18</v>
      </c>
      <c r="E5879">
        <v>0</v>
      </c>
    </row>
    <row r="5880" spans="3:5">
      <c r="C5880" t="s">
        <v>15</v>
      </c>
      <c r="D5880" t="s">
        <v>16</v>
      </c>
      <c r="E5880">
        <v>0</v>
      </c>
    </row>
    <row r="5881" spans="3:5">
      <c r="C5881" t="s">
        <v>17</v>
      </c>
      <c r="D5881" t="s">
        <v>18</v>
      </c>
      <c r="E5881">
        <v>0</v>
      </c>
    </row>
    <row r="5882" spans="3:5">
      <c r="C5882" t="s">
        <v>15</v>
      </c>
      <c r="D5882" t="s">
        <v>16</v>
      </c>
      <c r="E5882">
        <v>0</v>
      </c>
    </row>
    <row r="5883" spans="3:5">
      <c r="C5883" t="s">
        <v>15</v>
      </c>
      <c r="D5883" t="s">
        <v>16</v>
      </c>
      <c r="E5883">
        <v>0</v>
      </c>
    </row>
    <row r="5884" spans="3:5">
      <c r="C5884" t="s">
        <v>17</v>
      </c>
      <c r="D5884" t="s">
        <v>18</v>
      </c>
      <c r="E5884">
        <v>0</v>
      </c>
    </row>
    <row r="5885" spans="3:5">
      <c r="C5885" t="s">
        <v>17</v>
      </c>
      <c r="D5885" t="s">
        <v>18</v>
      </c>
      <c r="E5885">
        <v>0</v>
      </c>
    </row>
    <row r="5886" spans="3:5">
      <c r="C5886" t="s">
        <v>17</v>
      </c>
      <c r="D5886" t="s">
        <v>18</v>
      </c>
      <c r="E5886">
        <v>0</v>
      </c>
    </row>
    <row r="5887" spans="3:5">
      <c r="C5887" t="s">
        <v>17</v>
      </c>
      <c r="D5887" t="s">
        <v>18</v>
      </c>
      <c r="E5887">
        <v>0</v>
      </c>
    </row>
    <row r="5888" spans="3:5">
      <c r="C5888" t="s">
        <v>17</v>
      </c>
      <c r="D5888" t="s">
        <v>18</v>
      </c>
      <c r="E5888">
        <v>0</v>
      </c>
    </row>
    <row r="5889" spans="3:5">
      <c r="C5889" t="s">
        <v>17</v>
      </c>
      <c r="D5889" t="s">
        <v>18</v>
      </c>
      <c r="E5889">
        <v>0</v>
      </c>
    </row>
    <row r="5890" spans="3:5">
      <c r="C5890" t="s">
        <v>17</v>
      </c>
      <c r="D5890" t="s">
        <v>18</v>
      </c>
      <c r="E5890">
        <v>0</v>
      </c>
    </row>
    <row r="5891" spans="3:5">
      <c r="C5891" t="s">
        <v>15</v>
      </c>
      <c r="D5891" t="s">
        <v>16</v>
      </c>
      <c r="E5891">
        <v>0</v>
      </c>
    </row>
    <row r="5892" spans="3:5">
      <c r="C5892" t="s">
        <v>17</v>
      </c>
      <c r="D5892" t="s">
        <v>18</v>
      </c>
      <c r="E5892">
        <v>1</v>
      </c>
    </row>
    <row r="5893" spans="3:5">
      <c r="C5893" t="s">
        <v>17</v>
      </c>
      <c r="D5893" t="s">
        <v>18</v>
      </c>
      <c r="E5893">
        <v>0</v>
      </c>
    </row>
    <row r="5894" spans="3:5">
      <c r="C5894" t="s">
        <v>17</v>
      </c>
      <c r="D5894" t="s">
        <v>18</v>
      </c>
      <c r="E5894">
        <v>0</v>
      </c>
    </row>
    <row r="5895" spans="3:5">
      <c r="C5895" t="s">
        <v>15</v>
      </c>
      <c r="D5895" t="s">
        <v>16</v>
      </c>
      <c r="E5895">
        <v>0</v>
      </c>
    </row>
    <row r="5896" spans="3:5">
      <c r="C5896" t="s">
        <v>17</v>
      </c>
      <c r="D5896" t="s">
        <v>18</v>
      </c>
      <c r="E5896">
        <v>0</v>
      </c>
    </row>
    <row r="5897" spans="3:5">
      <c r="C5897" t="s">
        <v>17</v>
      </c>
      <c r="D5897" t="s">
        <v>18</v>
      </c>
      <c r="E5897">
        <v>0</v>
      </c>
    </row>
    <row r="5898" spans="3:5">
      <c r="C5898" t="s">
        <v>17</v>
      </c>
      <c r="D5898" t="s">
        <v>18</v>
      </c>
      <c r="E5898">
        <v>0</v>
      </c>
    </row>
    <row r="5899" spans="3:5">
      <c r="C5899" t="s">
        <v>15</v>
      </c>
      <c r="D5899" t="s">
        <v>16</v>
      </c>
      <c r="E5899">
        <v>0</v>
      </c>
    </row>
    <row r="5900" spans="3:5">
      <c r="C5900" t="s">
        <v>15</v>
      </c>
      <c r="D5900" t="s">
        <v>16</v>
      </c>
      <c r="E5900">
        <v>1</v>
      </c>
    </row>
    <row r="5901" spans="3:5">
      <c r="C5901" t="s">
        <v>15</v>
      </c>
      <c r="D5901" t="s">
        <v>16</v>
      </c>
      <c r="E5901">
        <v>1</v>
      </c>
    </row>
    <row r="5902" spans="3:5">
      <c r="C5902" t="s">
        <v>15</v>
      </c>
      <c r="D5902" t="s">
        <v>16</v>
      </c>
      <c r="E5902">
        <v>0</v>
      </c>
    </row>
    <row r="5903" spans="3:5">
      <c r="C5903" t="s">
        <v>17</v>
      </c>
      <c r="D5903" t="s">
        <v>18</v>
      </c>
      <c r="E5903">
        <v>0</v>
      </c>
    </row>
    <row r="5904" spans="3:5">
      <c r="C5904" t="s">
        <v>15</v>
      </c>
      <c r="D5904" t="s">
        <v>16</v>
      </c>
      <c r="E5904">
        <v>0</v>
      </c>
    </row>
    <row r="5905" spans="3:5">
      <c r="C5905" t="s">
        <v>17</v>
      </c>
      <c r="D5905" t="s">
        <v>18</v>
      </c>
      <c r="E5905">
        <v>1</v>
      </c>
    </row>
    <row r="5906" spans="3:5">
      <c r="C5906" t="s">
        <v>15</v>
      </c>
      <c r="D5906" t="s">
        <v>16</v>
      </c>
      <c r="E5906">
        <v>1</v>
      </c>
    </row>
    <row r="5907" spans="3:5">
      <c r="C5907" t="s">
        <v>15</v>
      </c>
      <c r="D5907" t="s">
        <v>16</v>
      </c>
      <c r="E5907">
        <v>0</v>
      </c>
    </row>
    <row r="5908" spans="3:5">
      <c r="C5908" t="s">
        <v>15</v>
      </c>
      <c r="D5908" t="s">
        <v>16</v>
      </c>
      <c r="E5908">
        <v>0</v>
      </c>
    </row>
    <row r="5909" spans="3:5">
      <c r="C5909" t="s">
        <v>17</v>
      </c>
      <c r="D5909" t="s">
        <v>18</v>
      </c>
      <c r="E5909">
        <v>0</v>
      </c>
    </row>
    <row r="5910" spans="3:5">
      <c r="C5910" t="s">
        <v>15</v>
      </c>
      <c r="D5910" t="s">
        <v>16</v>
      </c>
      <c r="E5910">
        <v>0</v>
      </c>
    </row>
    <row r="5911" spans="3:5">
      <c r="C5911" t="s">
        <v>17</v>
      </c>
      <c r="D5911" t="s">
        <v>18</v>
      </c>
      <c r="E5911">
        <v>0</v>
      </c>
    </row>
    <row r="5912" spans="3:5">
      <c r="C5912" t="s">
        <v>17</v>
      </c>
      <c r="D5912" t="s">
        <v>18</v>
      </c>
      <c r="E5912">
        <v>0</v>
      </c>
    </row>
    <row r="5913" spans="3:5">
      <c r="C5913" t="s">
        <v>17</v>
      </c>
      <c r="D5913" t="s">
        <v>18</v>
      </c>
      <c r="E5913">
        <v>0</v>
      </c>
    </row>
    <row r="5914" spans="3:5">
      <c r="C5914" t="s">
        <v>15</v>
      </c>
      <c r="D5914" t="s">
        <v>16</v>
      </c>
      <c r="E5914">
        <v>0</v>
      </c>
    </row>
    <row r="5915" spans="3:5">
      <c r="C5915" t="s">
        <v>17</v>
      </c>
      <c r="D5915" t="s">
        <v>18</v>
      </c>
      <c r="E5915">
        <v>0</v>
      </c>
    </row>
    <row r="5916" spans="3:5">
      <c r="C5916" t="s">
        <v>15</v>
      </c>
      <c r="D5916" t="s">
        <v>16</v>
      </c>
      <c r="E5916">
        <v>0</v>
      </c>
    </row>
    <row r="5917" spans="3:5">
      <c r="C5917" t="s">
        <v>17</v>
      </c>
      <c r="D5917" t="s">
        <v>18</v>
      </c>
      <c r="E5917">
        <v>0</v>
      </c>
    </row>
    <row r="5918" spans="3:5">
      <c r="C5918" t="s">
        <v>17</v>
      </c>
      <c r="D5918" t="s">
        <v>18</v>
      </c>
      <c r="E5918">
        <v>0</v>
      </c>
    </row>
    <row r="5919" spans="3:5">
      <c r="C5919" t="s">
        <v>17</v>
      </c>
      <c r="D5919" t="s">
        <v>18</v>
      </c>
      <c r="E5919">
        <v>0</v>
      </c>
    </row>
    <row r="5920" spans="3:5">
      <c r="C5920" t="s">
        <v>17</v>
      </c>
      <c r="D5920" t="s">
        <v>18</v>
      </c>
      <c r="E5920">
        <v>0</v>
      </c>
    </row>
    <row r="5921" spans="3:5">
      <c r="C5921" t="s">
        <v>15</v>
      </c>
      <c r="D5921" t="s">
        <v>16</v>
      </c>
      <c r="E5921">
        <v>0</v>
      </c>
    </row>
    <row r="5922" spans="3:5">
      <c r="C5922" t="s">
        <v>17</v>
      </c>
      <c r="D5922" t="s">
        <v>18</v>
      </c>
      <c r="E5922">
        <v>0</v>
      </c>
    </row>
    <row r="5923" spans="3:5">
      <c r="C5923" t="s">
        <v>17</v>
      </c>
      <c r="D5923" t="s">
        <v>18</v>
      </c>
      <c r="E5923">
        <v>0</v>
      </c>
    </row>
    <row r="5924" spans="3:5">
      <c r="C5924" t="s">
        <v>15</v>
      </c>
      <c r="D5924" t="s">
        <v>16</v>
      </c>
      <c r="E5924">
        <v>0</v>
      </c>
    </row>
    <row r="5925" spans="3:5">
      <c r="C5925" t="s">
        <v>17</v>
      </c>
      <c r="D5925" t="s">
        <v>18</v>
      </c>
      <c r="E5925">
        <v>0</v>
      </c>
    </row>
    <row r="5926" spans="3:5">
      <c r="C5926" t="s">
        <v>17</v>
      </c>
      <c r="D5926" t="s">
        <v>18</v>
      </c>
      <c r="E5926">
        <v>0</v>
      </c>
    </row>
    <row r="5927" spans="3:5">
      <c r="C5927" t="s">
        <v>17</v>
      </c>
      <c r="D5927" t="s">
        <v>18</v>
      </c>
      <c r="E5927">
        <v>0</v>
      </c>
    </row>
    <row r="5928" spans="3:5">
      <c r="C5928" t="s">
        <v>17</v>
      </c>
      <c r="D5928" t="s">
        <v>18</v>
      </c>
      <c r="E5928">
        <v>0</v>
      </c>
    </row>
    <row r="5929" spans="3:5">
      <c r="C5929" t="s">
        <v>17</v>
      </c>
      <c r="D5929" t="s">
        <v>18</v>
      </c>
      <c r="E5929">
        <v>0</v>
      </c>
    </row>
    <row r="5930" spans="3:5">
      <c r="C5930" t="s">
        <v>17</v>
      </c>
      <c r="D5930" t="s">
        <v>18</v>
      </c>
      <c r="E5930">
        <v>0</v>
      </c>
    </row>
    <row r="5931" spans="3:5">
      <c r="C5931" t="s">
        <v>17</v>
      </c>
      <c r="D5931" t="s">
        <v>18</v>
      </c>
      <c r="E5931">
        <v>0</v>
      </c>
    </row>
    <row r="5932" spans="3:5">
      <c r="C5932" t="s">
        <v>17</v>
      </c>
      <c r="D5932" t="s">
        <v>18</v>
      </c>
      <c r="E5932">
        <v>0</v>
      </c>
    </row>
    <row r="5933" spans="3:5">
      <c r="C5933" t="s">
        <v>15</v>
      </c>
      <c r="D5933" t="s">
        <v>16</v>
      </c>
      <c r="E5933">
        <v>0</v>
      </c>
    </row>
    <row r="5934" spans="3:5">
      <c r="C5934" t="s">
        <v>17</v>
      </c>
      <c r="D5934" t="s">
        <v>18</v>
      </c>
      <c r="E5934">
        <v>1</v>
      </c>
    </row>
    <row r="5935" spans="3:5">
      <c r="C5935" t="s">
        <v>17</v>
      </c>
      <c r="D5935" t="s">
        <v>18</v>
      </c>
      <c r="E5935">
        <v>0</v>
      </c>
    </row>
    <row r="5936" spans="3:5">
      <c r="C5936" t="s">
        <v>15</v>
      </c>
      <c r="D5936" t="s">
        <v>16</v>
      </c>
      <c r="E5936">
        <v>0</v>
      </c>
    </row>
    <row r="5937" spans="3:5">
      <c r="C5937" t="s">
        <v>15</v>
      </c>
      <c r="D5937" t="s">
        <v>16</v>
      </c>
      <c r="E5937">
        <v>0</v>
      </c>
    </row>
    <row r="5938" spans="3:5">
      <c r="C5938" t="s">
        <v>15</v>
      </c>
      <c r="D5938" t="s">
        <v>16</v>
      </c>
      <c r="E5938">
        <v>0</v>
      </c>
    </row>
    <row r="5939" spans="3:5">
      <c r="C5939" t="s">
        <v>17</v>
      </c>
      <c r="D5939" t="s">
        <v>18</v>
      </c>
      <c r="E5939">
        <v>0</v>
      </c>
    </row>
    <row r="5940" spans="3:5">
      <c r="C5940" t="s">
        <v>17</v>
      </c>
      <c r="D5940" t="s">
        <v>18</v>
      </c>
      <c r="E5940">
        <v>0</v>
      </c>
    </row>
    <row r="5941" spans="3:5">
      <c r="C5941" t="s">
        <v>15</v>
      </c>
      <c r="D5941" t="s">
        <v>16</v>
      </c>
      <c r="E5941">
        <v>0</v>
      </c>
    </row>
    <row r="5942" spans="3:5">
      <c r="C5942" t="s">
        <v>17</v>
      </c>
      <c r="D5942" t="s">
        <v>18</v>
      </c>
      <c r="E5942">
        <v>0</v>
      </c>
    </row>
    <row r="5943" spans="3:5">
      <c r="C5943" t="s">
        <v>15</v>
      </c>
      <c r="D5943" t="s">
        <v>16</v>
      </c>
      <c r="E5943">
        <v>0</v>
      </c>
    </row>
    <row r="5944" spans="3:5">
      <c r="C5944" t="s">
        <v>17</v>
      </c>
      <c r="D5944" t="s">
        <v>18</v>
      </c>
      <c r="E5944">
        <v>0</v>
      </c>
    </row>
    <row r="5945" spans="3:5">
      <c r="C5945" t="s">
        <v>17</v>
      </c>
      <c r="D5945" t="s">
        <v>18</v>
      </c>
      <c r="E5945">
        <v>0</v>
      </c>
    </row>
    <row r="5946" spans="3:5">
      <c r="C5946" t="s">
        <v>15</v>
      </c>
      <c r="D5946" t="s">
        <v>16</v>
      </c>
      <c r="E5946">
        <v>0</v>
      </c>
    </row>
    <row r="5947" spans="3:5">
      <c r="C5947" t="s">
        <v>15</v>
      </c>
      <c r="D5947" t="s">
        <v>16</v>
      </c>
      <c r="E5947">
        <v>0</v>
      </c>
    </row>
    <row r="5948" spans="3:5">
      <c r="C5948" t="s">
        <v>15</v>
      </c>
      <c r="D5948" t="s">
        <v>16</v>
      </c>
      <c r="E5948">
        <v>0</v>
      </c>
    </row>
    <row r="5949" spans="3:5">
      <c r="C5949" t="s">
        <v>15</v>
      </c>
      <c r="D5949" t="s">
        <v>16</v>
      </c>
      <c r="E5949">
        <v>0</v>
      </c>
    </row>
    <row r="5950" spans="3:5">
      <c r="C5950" t="s">
        <v>15</v>
      </c>
      <c r="D5950" t="s">
        <v>16</v>
      </c>
      <c r="E5950">
        <v>0</v>
      </c>
    </row>
    <row r="5951" spans="3:5">
      <c r="C5951" t="s">
        <v>17</v>
      </c>
      <c r="D5951" t="s">
        <v>18</v>
      </c>
      <c r="E5951">
        <v>1</v>
      </c>
    </row>
    <row r="5952" spans="3:5">
      <c r="C5952" t="s">
        <v>17</v>
      </c>
      <c r="D5952" t="s">
        <v>18</v>
      </c>
      <c r="E5952">
        <v>0</v>
      </c>
    </row>
    <row r="5953" spans="3:5">
      <c r="C5953" t="s">
        <v>17</v>
      </c>
      <c r="D5953" t="s">
        <v>18</v>
      </c>
      <c r="E5953">
        <v>0</v>
      </c>
    </row>
    <row r="5954" spans="3:5">
      <c r="C5954" t="s">
        <v>17</v>
      </c>
      <c r="D5954" t="s">
        <v>18</v>
      </c>
      <c r="E5954">
        <v>0</v>
      </c>
    </row>
    <row r="5955" spans="3:5">
      <c r="C5955" t="s">
        <v>17</v>
      </c>
      <c r="D5955" t="s">
        <v>18</v>
      </c>
      <c r="E5955">
        <v>0</v>
      </c>
    </row>
    <row r="5956" spans="3:5">
      <c r="C5956" t="s">
        <v>17</v>
      </c>
      <c r="D5956" t="s">
        <v>18</v>
      </c>
      <c r="E5956">
        <v>0</v>
      </c>
    </row>
    <row r="5957" spans="3:5">
      <c r="C5957" t="s">
        <v>17</v>
      </c>
      <c r="D5957" t="s">
        <v>18</v>
      </c>
      <c r="E5957">
        <v>0</v>
      </c>
    </row>
    <row r="5958" spans="3:5">
      <c r="C5958" t="s">
        <v>17</v>
      </c>
      <c r="D5958" t="s">
        <v>18</v>
      </c>
      <c r="E5958">
        <v>0</v>
      </c>
    </row>
    <row r="5959" spans="3:5">
      <c r="C5959" t="s">
        <v>17</v>
      </c>
      <c r="D5959" t="s">
        <v>18</v>
      </c>
      <c r="E5959">
        <v>0</v>
      </c>
    </row>
    <row r="5960" spans="3:5">
      <c r="C5960" t="s">
        <v>15</v>
      </c>
      <c r="D5960" t="s">
        <v>16</v>
      </c>
      <c r="E5960">
        <v>0</v>
      </c>
    </row>
    <row r="5961" spans="3:5">
      <c r="C5961" t="s">
        <v>17</v>
      </c>
      <c r="D5961" t="s">
        <v>18</v>
      </c>
      <c r="E5961">
        <v>0</v>
      </c>
    </row>
    <row r="5962" spans="3:5">
      <c r="C5962" t="s">
        <v>15</v>
      </c>
      <c r="D5962" t="s">
        <v>16</v>
      </c>
      <c r="E5962">
        <v>0</v>
      </c>
    </row>
    <row r="5963" spans="3:5">
      <c r="C5963" t="s">
        <v>17</v>
      </c>
      <c r="D5963" t="s">
        <v>18</v>
      </c>
      <c r="E5963">
        <v>0</v>
      </c>
    </row>
    <row r="5964" spans="3:5">
      <c r="C5964" t="s">
        <v>15</v>
      </c>
      <c r="D5964" t="s">
        <v>16</v>
      </c>
      <c r="E5964">
        <v>0</v>
      </c>
    </row>
    <row r="5965" spans="3:5">
      <c r="C5965" t="s">
        <v>17</v>
      </c>
      <c r="D5965" t="s">
        <v>18</v>
      </c>
      <c r="E5965">
        <v>0</v>
      </c>
    </row>
    <row r="5966" spans="3:5">
      <c r="C5966" t="s">
        <v>17</v>
      </c>
      <c r="D5966" t="s">
        <v>18</v>
      </c>
      <c r="E5966">
        <v>0</v>
      </c>
    </row>
    <row r="5967" spans="3:5">
      <c r="C5967" t="s">
        <v>17</v>
      </c>
      <c r="D5967" t="s">
        <v>18</v>
      </c>
      <c r="E5967">
        <v>0</v>
      </c>
    </row>
    <row r="5968" spans="3:5">
      <c r="C5968" t="s">
        <v>17</v>
      </c>
      <c r="D5968" t="s">
        <v>18</v>
      </c>
      <c r="E5968">
        <v>0</v>
      </c>
    </row>
    <row r="5969" spans="3:5">
      <c r="C5969" t="s">
        <v>17</v>
      </c>
      <c r="D5969" t="s">
        <v>18</v>
      </c>
      <c r="E5969">
        <v>0</v>
      </c>
    </row>
    <row r="5970" spans="3:5">
      <c r="C5970" t="s">
        <v>17</v>
      </c>
      <c r="D5970" t="s">
        <v>18</v>
      </c>
      <c r="E5970">
        <v>0</v>
      </c>
    </row>
    <row r="5971" spans="3:5">
      <c r="C5971" t="s">
        <v>17</v>
      </c>
      <c r="D5971" t="s">
        <v>18</v>
      </c>
      <c r="E5971">
        <v>0</v>
      </c>
    </row>
    <row r="5972" spans="3:5">
      <c r="C5972" t="s">
        <v>17</v>
      </c>
      <c r="D5972" t="s">
        <v>18</v>
      </c>
      <c r="E5972">
        <v>0</v>
      </c>
    </row>
    <row r="5973" spans="3:5">
      <c r="C5973" t="s">
        <v>17</v>
      </c>
      <c r="D5973" t="s">
        <v>18</v>
      </c>
      <c r="E5973">
        <v>0</v>
      </c>
    </row>
    <row r="5974" spans="3:5">
      <c r="C5974" t="s">
        <v>17</v>
      </c>
      <c r="D5974" t="s">
        <v>18</v>
      </c>
      <c r="E5974">
        <v>0</v>
      </c>
    </row>
    <row r="5975" spans="3:5">
      <c r="C5975" t="s">
        <v>17</v>
      </c>
      <c r="D5975" t="s">
        <v>18</v>
      </c>
      <c r="E5975">
        <v>0</v>
      </c>
    </row>
    <row r="5976" spans="3:5">
      <c r="C5976" t="s">
        <v>15</v>
      </c>
      <c r="D5976" t="s">
        <v>16</v>
      </c>
      <c r="E5976">
        <v>0</v>
      </c>
    </row>
    <row r="5977" spans="3:5">
      <c r="C5977" t="s">
        <v>17</v>
      </c>
      <c r="D5977" t="s">
        <v>18</v>
      </c>
      <c r="E5977">
        <v>0</v>
      </c>
    </row>
    <row r="5978" spans="3:5">
      <c r="C5978" t="s">
        <v>15</v>
      </c>
      <c r="D5978" t="s">
        <v>16</v>
      </c>
      <c r="E5978">
        <v>0</v>
      </c>
    </row>
    <row r="5979" spans="3:5">
      <c r="C5979" t="s">
        <v>17</v>
      </c>
      <c r="D5979" t="s">
        <v>18</v>
      </c>
      <c r="E5979">
        <v>0</v>
      </c>
    </row>
    <row r="5980" spans="3:5">
      <c r="C5980" t="s">
        <v>17</v>
      </c>
      <c r="D5980" t="s">
        <v>18</v>
      </c>
      <c r="E5980">
        <v>0</v>
      </c>
    </row>
    <row r="5981" spans="3:5">
      <c r="C5981" t="s">
        <v>15</v>
      </c>
      <c r="D5981" t="s">
        <v>16</v>
      </c>
      <c r="E5981">
        <v>0</v>
      </c>
    </row>
    <row r="5982" spans="3:5">
      <c r="C5982" t="s">
        <v>15</v>
      </c>
      <c r="D5982" t="s">
        <v>16</v>
      </c>
      <c r="E5982">
        <v>0</v>
      </c>
    </row>
    <row r="5983" spans="3:5">
      <c r="C5983" t="s">
        <v>17</v>
      </c>
      <c r="D5983" t="s">
        <v>18</v>
      </c>
      <c r="E5983">
        <v>0</v>
      </c>
    </row>
    <row r="5984" spans="3:5">
      <c r="C5984" t="s">
        <v>17</v>
      </c>
      <c r="D5984" t="s">
        <v>18</v>
      </c>
      <c r="E5984">
        <v>0</v>
      </c>
    </row>
    <row r="5985" spans="3:5">
      <c r="C5985" t="s">
        <v>17</v>
      </c>
      <c r="D5985" t="s">
        <v>18</v>
      </c>
      <c r="E5985">
        <v>0</v>
      </c>
    </row>
    <row r="5986" spans="3:5">
      <c r="C5986" t="s">
        <v>15</v>
      </c>
      <c r="D5986" t="s">
        <v>16</v>
      </c>
      <c r="E5986">
        <v>0</v>
      </c>
    </row>
    <row r="5987" spans="3:5">
      <c r="C5987" t="s">
        <v>17</v>
      </c>
      <c r="D5987" t="s">
        <v>18</v>
      </c>
      <c r="E5987">
        <v>0</v>
      </c>
    </row>
    <row r="5988" spans="3:5">
      <c r="C5988" t="s">
        <v>17</v>
      </c>
      <c r="D5988" t="s">
        <v>18</v>
      </c>
      <c r="E5988">
        <v>0</v>
      </c>
    </row>
    <row r="5989" spans="3:5">
      <c r="C5989" t="s">
        <v>17</v>
      </c>
      <c r="D5989" t="s">
        <v>18</v>
      </c>
      <c r="E5989">
        <v>0</v>
      </c>
    </row>
    <row r="5990" spans="3:5">
      <c r="C5990" t="s">
        <v>17</v>
      </c>
      <c r="D5990" t="s">
        <v>18</v>
      </c>
      <c r="E5990">
        <v>0</v>
      </c>
    </row>
    <row r="5991" spans="3:5">
      <c r="C5991" t="s">
        <v>15</v>
      </c>
      <c r="D5991" t="s">
        <v>16</v>
      </c>
      <c r="E5991">
        <v>0</v>
      </c>
    </row>
    <row r="5992" spans="3:5">
      <c r="C5992" t="s">
        <v>17</v>
      </c>
      <c r="D5992" t="s">
        <v>18</v>
      </c>
      <c r="E5992">
        <v>0</v>
      </c>
    </row>
    <row r="5993" spans="3:5">
      <c r="C5993" t="s">
        <v>17</v>
      </c>
      <c r="D5993" t="s">
        <v>18</v>
      </c>
      <c r="E5993">
        <v>0</v>
      </c>
    </row>
    <row r="5994" spans="3:5">
      <c r="C5994" t="s">
        <v>15</v>
      </c>
      <c r="D5994" t="s">
        <v>16</v>
      </c>
      <c r="E5994">
        <v>0</v>
      </c>
    </row>
    <row r="5995" spans="3:5">
      <c r="C5995" t="s">
        <v>17</v>
      </c>
      <c r="D5995" t="s">
        <v>18</v>
      </c>
      <c r="E5995">
        <v>0</v>
      </c>
    </row>
    <row r="5996" spans="3:5">
      <c r="C5996" t="s">
        <v>17</v>
      </c>
      <c r="D5996" t="s">
        <v>18</v>
      </c>
      <c r="E5996">
        <v>0</v>
      </c>
    </row>
    <row r="5997" spans="3:5">
      <c r="C5997" t="s">
        <v>17</v>
      </c>
      <c r="D5997" t="s">
        <v>18</v>
      </c>
      <c r="E5997">
        <v>0</v>
      </c>
    </row>
    <row r="5998" spans="3:5">
      <c r="C5998" t="s">
        <v>17</v>
      </c>
      <c r="D5998" t="s">
        <v>18</v>
      </c>
      <c r="E5998">
        <v>0</v>
      </c>
    </row>
    <row r="5999" spans="3:5">
      <c r="C5999" t="s">
        <v>17</v>
      </c>
      <c r="D5999" t="s">
        <v>18</v>
      </c>
      <c r="E5999">
        <v>0</v>
      </c>
    </row>
    <row r="6000" spans="3:5">
      <c r="C6000" t="s">
        <v>15</v>
      </c>
      <c r="D6000" t="s">
        <v>16</v>
      </c>
      <c r="E6000">
        <v>0</v>
      </c>
    </row>
    <row r="6001" spans="3:5">
      <c r="C6001" t="s">
        <v>17</v>
      </c>
      <c r="D6001" t="s">
        <v>18</v>
      </c>
      <c r="E6001">
        <v>0</v>
      </c>
    </row>
    <row r="6002" spans="3:5">
      <c r="C6002" t="s">
        <v>17</v>
      </c>
      <c r="D6002" t="s">
        <v>18</v>
      </c>
      <c r="E6002">
        <v>0</v>
      </c>
    </row>
    <row r="6003" spans="3:5">
      <c r="C6003" t="s">
        <v>15</v>
      </c>
      <c r="D6003" t="s">
        <v>16</v>
      </c>
      <c r="E6003">
        <v>0</v>
      </c>
    </row>
    <row r="6004" spans="3:5">
      <c r="C6004" t="s">
        <v>15</v>
      </c>
      <c r="D6004" t="s">
        <v>16</v>
      </c>
      <c r="E6004">
        <v>0</v>
      </c>
    </row>
    <row r="6005" spans="3:5">
      <c r="C6005" t="s">
        <v>17</v>
      </c>
      <c r="D6005" t="s">
        <v>18</v>
      </c>
      <c r="E6005">
        <v>0</v>
      </c>
    </row>
    <row r="6006" spans="3:5">
      <c r="C6006" t="s">
        <v>15</v>
      </c>
      <c r="D6006" t="s">
        <v>16</v>
      </c>
      <c r="E6006">
        <v>0</v>
      </c>
    </row>
    <row r="6007" spans="3:5">
      <c r="C6007" t="s">
        <v>15</v>
      </c>
      <c r="D6007" t="s">
        <v>16</v>
      </c>
      <c r="E6007">
        <v>0</v>
      </c>
    </row>
    <row r="6008" spans="3:5">
      <c r="C6008" t="s">
        <v>17</v>
      </c>
      <c r="D6008" t="s">
        <v>18</v>
      </c>
      <c r="E6008">
        <v>0</v>
      </c>
    </row>
    <row r="6009" spans="3:5">
      <c r="C6009" t="s">
        <v>17</v>
      </c>
      <c r="D6009" t="s">
        <v>18</v>
      </c>
      <c r="E6009">
        <v>0</v>
      </c>
    </row>
    <row r="6010" spans="3:5">
      <c r="C6010" t="s">
        <v>15</v>
      </c>
      <c r="D6010" t="s">
        <v>16</v>
      </c>
      <c r="E6010">
        <v>0</v>
      </c>
    </row>
    <row r="6011" spans="3:5">
      <c r="C6011" t="s">
        <v>17</v>
      </c>
      <c r="D6011" t="s">
        <v>18</v>
      </c>
      <c r="E6011">
        <v>1</v>
      </c>
    </row>
    <row r="6012" spans="3:5">
      <c r="C6012" t="s">
        <v>17</v>
      </c>
      <c r="D6012" t="s">
        <v>18</v>
      </c>
      <c r="E6012">
        <v>0</v>
      </c>
    </row>
    <row r="6013" spans="3:5">
      <c r="C6013" t="s">
        <v>17</v>
      </c>
      <c r="D6013" t="s">
        <v>18</v>
      </c>
      <c r="E6013">
        <v>0</v>
      </c>
    </row>
    <row r="6014" spans="3:5">
      <c r="C6014" t="s">
        <v>17</v>
      </c>
      <c r="D6014" t="s">
        <v>18</v>
      </c>
      <c r="E6014">
        <v>0</v>
      </c>
    </row>
    <row r="6015" spans="3:5">
      <c r="C6015" t="s">
        <v>15</v>
      </c>
      <c r="D6015" t="s">
        <v>16</v>
      </c>
      <c r="E6015">
        <v>0</v>
      </c>
    </row>
    <row r="6016" spans="3:5">
      <c r="C6016" t="s">
        <v>17</v>
      </c>
      <c r="D6016" t="s">
        <v>18</v>
      </c>
      <c r="E6016">
        <v>0</v>
      </c>
    </row>
    <row r="6017" spans="3:5">
      <c r="C6017" t="s">
        <v>15</v>
      </c>
      <c r="D6017" t="s">
        <v>16</v>
      </c>
      <c r="E6017">
        <v>0</v>
      </c>
    </row>
    <row r="6018" spans="3:5">
      <c r="C6018" t="s">
        <v>17</v>
      </c>
      <c r="D6018" t="s">
        <v>18</v>
      </c>
      <c r="E6018">
        <v>0</v>
      </c>
    </row>
    <row r="6019" spans="3:5">
      <c r="C6019" t="s">
        <v>17</v>
      </c>
      <c r="D6019" t="s">
        <v>18</v>
      </c>
      <c r="E6019">
        <v>0</v>
      </c>
    </row>
    <row r="6020" spans="3:5">
      <c r="C6020" t="s">
        <v>17</v>
      </c>
      <c r="D6020" t="s">
        <v>18</v>
      </c>
      <c r="E6020">
        <v>0</v>
      </c>
    </row>
    <row r="6021" spans="3:5">
      <c r="C6021" t="s">
        <v>15</v>
      </c>
      <c r="D6021" t="s">
        <v>16</v>
      </c>
      <c r="E6021">
        <v>0</v>
      </c>
    </row>
    <row r="6022" spans="3:5">
      <c r="C6022" t="s">
        <v>17</v>
      </c>
      <c r="D6022" t="s">
        <v>18</v>
      </c>
      <c r="E6022">
        <v>0</v>
      </c>
    </row>
    <row r="6023" spans="3:5">
      <c r="C6023" t="s">
        <v>17</v>
      </c>
      <c r="D6023" t="s">
        <v>18</v>
      </c>
      <c r="E6023">
        <v>0</v>
      </c>
    </row>
    <row r="6024" spans="3:5">
      <c r="C6024" t="s">
        <v>17</v>
      </c>
      <c r="D6024" t="s">
        <v>18</v>
      </c>
      <c r="E6024">
        <v>0</v>
      </c>
    </row>
    <row r="6025" spans="3:5">
      <c r="C6025" t="s">
        <v>17</v>
      </c>
      <c r="D6025" t="s">
        <v>18</v>
      </c>
      <c r="E6025">
        <v>0</v>
      </c>
    </row>
    <row r="6026" spans="3:5">
      <c r="C6026" t="s">
        <v>15</v>
      </c>
      <c r="D6026" t="s">
        <v>16</v>
      </c>
      <c r="E6026">
        <v>0</v>
      </c>
    </row>
    <row r="6027" spans="3:5">
      <c r="C6027" t="s">
        <v>17</v>
      </c>
      <c r="D6027" t="s">
        <v>18</v>
      </c>
      <c r="E6027">
        <v>0</v>
      </c>
    </row>
    <row r="6028" spans="3:5">
      <c r="C6028" t="s">
        <v>15</v>
      </c>
      <c r="D6028" t="s">
        <v>16</v>
      </c>
      <c r="E6028">
        <v>0</v>
      </c>
    </row>
    <row r="6029" spans="3:5">
      <c r="C6029" t="s">
        <v>15</v>
      </c>
      <c r="D6029" t="s">
        <v>16</v>
      </c>
      <c r="E6029">
        <v>0</v>
      </c>
    </row>
    <row r="6030" spans="3:5">
      <c r="C6030" t="s">
        <v>15</v>
      </c>
      <c r="D6030" t="s">
        <v>16</v>
      </c>
      <c r="E6030">
        <v>0</v>
      </c>
    </row>
    <row r="6031" spans="3:5">
      <c r="C6031" t="s">
        <v>15</v>
      </c>
      <c r="D6031" t="s">
        <v>16</v>
      </c>
      <c r="E6031">
        <v>0</v>
      </c>
    </row>
    <row r="6032" spans="3:5">
      <c r="C6032" t="s">
        <v>17</v>
      </c>
      <c r="D6032" t="s">
        <v>18</v>
      </c>
      <c r="E6032">
        <v>0</v>
      </c>
    </row>
    <row r="6033" spans="3:5">
      <c r="C6033" t="s">
        <v>15</v>
      </c>
      <c r="D6033" t="s">
        <v>16</v>
      </c>
      <c r="E6033">
        <v>0</v>
      </c>
    </row>
    <row r="6034" spans="3:5">
      <c r="C6034" t="s">
        <v>15</v>
      </c>
      <c r="D6034" t="s">
        <v>16</v>
      </c>
      <c r="E6034">
        <v>0</v>
      </c>
    </row>
    <row r="6035" spans="3:5">
      <c r="C6035" t="s">
        <v>17</v>
      </c>
      <c r="D6035" t="s">
        <v>18</v>
      </c>
      <c r="E6035">
        <v>0</v>
      </c>
    </row>
    <row r="6036" spans="3:5">
      <c r="C6036" t="s">
        <v>15</v>
      </c>
      <c r="D6036" t="s">
        <v>16</v>
      </c>
      <c r="E6036">
        <v>0</v>
      </c>
    </row>
    <row r="6037" spans="3:5">
      <c r="C6037" t="s">
        <v>15</v>
      </c>
      <c r="D6037" t="s">
        <v>16</v>
      </c>
      <c r="E6037">
        <v>0</v>
      </c>
    </row>
    <row r="6038" spans="3:5">
      <c r="C6038" t="s">
        <v>17</v>
      </c>
      <c r="D6038" t="s">
        <v>18</v>
      </c>
      <c r="E6038">
        <v>0</v>
      </c>
    </row>
    <row r="6039" spans="3:5">
      <c r="C6039" t="s">
        <v>15</v>
      </c>
      <c r="D6039" t="s">
        <v>16</v>
      </c>
      <c r="E6039">
        <v>0</v>
      </c>
    </row>
    <row r="6040" spans="3:5">
      <c r="C6040" t="s">
        <v>17</v>
      </c>
      <c r="D6040" t="s">
        <v>18</v>
      </c>
      <c r="E6040">
        <v>0</v>
      </c>
    </row>
    <row r="6041" spans="3:5">
      <c r="C6041" t="s">
        <v>17</v>
      </c>
      <c r="D6041" t="s">
        <v>18</v>
      </c>
      <c r="E6041">
        <v>0</v>
      </c>
    </row>
    <row r="6042" spans="3:5">
      <c r="C6042" t="s">
        <v>15</v>
      </c>
      <c r="D6042" t="s">
        <v>16</v>
      </c>
      <c r="E6042">
        <v>0</v>
      </c>
    </row>
    <row r="6043" spans="3:5">
      <c r="C6043" t="s">
        <v>17</v>
      </c>
      <c r="D6043" t="s">
        <v>18</v>
      </c>
      <c r="E6043">
        <v>0</v>
      </c>
    </row>
    <row r="6044" spans="3:5">
      <c r="C6044" t="s">
        <v>17</v>
      </c>
      <c r="D6044" t="s">
        <v>18</v>
      </c>
      <c r="E6044">
        <v>0</v>
      </c>
    </row>
    <row r="6045" spans="3:5">
      <c r="C6045" t="s">
        <v>17</v>
      </c>
      <c r="D6045" t="s">
        <v>18</v>
      </c>
      <c r="E6045">
        <v>0</v>
      </c>
    </row>
    <row r="6046" spans="3:5">
      <c r="C6046" t="s">
        <v>15</v>
      </c>
      <c r="D6046" t="s">
        <v>16</v>
      </c>
      <c r="E6046">
        <v>0</v>
      </c>
    </row>
    <row r="6047" spans="3:5">
      <c r="C6047" t="s">
        <v>17</v>
      </c>
      <c r="D6047" t="s">
        <v>18</v>
      </c>
      <c r="E6047">
        <v>1</v>
      </c>
    </row>
    <row r="6048" spans="3:5">
      <c r="C6048" t="s">
        <v>17</v>
      </c>
      <c r="D6048" t="s">
        <v>18</v>
      </c>
      <c r="E6048">
        <v>0</v>
      </c>
    </row>
    <row r="6049" spans="3:5">
      <c r="C6049" t="s">
        <v>15</v>
      </c>
      <c r="D6049" t="s">
        <v>16</v>
      </c>
      <c r="E6049">
        <v>0</v>
      </c>
    </row>
    <row r="6050" spans="3:5">
      <c r="C6050" t="s">
        <v>15</v>
      </c>
      <c r="D6050" t="s">
        <v>16</v>
      </c>
      <c r="E6050">
        <v>0</v>
      </c>
    </row>
    <row r="6051" spans="3:5">
      <c r="C6051" t="s">
        <v>15</v>
      </c>
      <c r="D6051" t="s">
        <v>16</v>
      </c>
      <c r="E6051">
        <v>0</v>
      </c>
    </row>
    <row r="6052" spans="3:5">
      <c r="C6052" t="s">
        <v>15</v>
      </c>
      <c r="D6052" t="s">
        <v>16</v>
      </c>
      <c r="E6052">
        <v>0</v>
      </c>
    </row>
    <row r="6053" spans="3:5">
      <c r="C6053" t="s">
        <v>17</v>
      </c>
      <c r="D6053" t="s">
        <v>18</v>
      </c>
      <c r="E6053">
        <v>0</v>
      </c>
    </row>
    <row r="6054" spans="3:5">
      <c r="C6054" t="s">
        <v>15</v>
      </c>
      <c r="D6054" t="s">
        <v>16</v>
      </c>
      <c r="E6054">
        <v>0</v>
      </c>
    </row>
    <row r="6055" spans="3:5">
      <c r="C6055" t="s">
        <v>17</v>
      </c>
      <c r="D6055" t="s">
        <v>18</v>
      </c>
      <c r="E6055">
        <v>0</v>
      </c>
    </row>
    <row r="6056" spans="3:5">
      <c r="C6056" t="s">
        <v>15</v>
      </c>
      <c r="D6056" t="s">
        <v>16</v>
      </c>
      <c r="E6056">
        <v>1</v>
      </c>
    </row>
    <row r="6057" spans="3:5">
      <c r="C6057" t="s">
        <v>15</v>
      </c>
      <c r="D6057" t="s">
        <v>16</v>
      </c>
      <c r="E6057">
        <v>0</v>
      </c>
    </row>
    <row r="6058" spans="3:5">
      <c r="C6058" t="s">
        <v>15</v>
      </c>
      <c r="D6058" t="s">
        <v>16</v>
      </c>
      <c r="E6058">
        <v>0</v>
      </c>
    </row>
    <row r="6059" spans="3:5">
      <c r="C6059" t="s">
        <v>17</v>
      </c>
      <c r="D6059" t="s">
        <v>18</v>
      </c>
      <c r="E6059">
        <v>0</v>
      </c>
    </row>
    <row r="6060" spans="3:5">
      <c r="C6060" t="s">
        <v>17</v>
      </c>
      <c r="D6060" t="s">
        <v>18</v>
      </c>
      <c r="E6060">
        <v>0</v>
      </c>
    </row>
    <row r="6061" spans="3:5">
      <c r="C6061" t="s">
        <v>17</v>
      </c>
      <c r="D6061" t="s">
        <v>18</v>
      </c>
      <c r="E6061">
        <v>0</v>
      </c>
    </row>
    <row r="6062" spans="3:5">
      <c r="C6062" t="s">
        <v>17</v>
      </c>
      <c r="D6062" t="s">
        <v>18</v>
      </c>
      <c r="E6062">
        <v>0</v>
      </c>
    </row>
    <row r="6063" spans="3:5">
      <c r="C6063" t="s">
        <v>15</v>
      </c>
      <c r="D6063" t="s">
        <v>16</v>
      </c>
      <c r="E6063">
        <v>0</v>
      </c>
    </row>
    <row r="6064" spans="3:5">
      <c r="C6064" t="s">
        <v>15</v>
      </c>
      <c r="D6064" t="s">
        <v>16</v>
      </c>
      <c r="E6064">
        <v>0</v>
      </c>
    </row>
    <row r="6065" spans="3:5">
      <c r="C6065" t="s">
        <v>17</v>
      </c>
      <c r="D6065" t="s">
        <v>18</v>
      </c>
      <c r="E6065">
        <v>0</v>
      </c>
    </row>
    <row r="6066" spans="3:5">
      <c r="C6066" t="s">
        <v>15</v>
      </c>
      <c r="D6066" t="s">
        <v>16</v>
      </c>
      <c r="E6066">
        <v>0</v>
      </c>
    </row>
    <row r="6067" spans="3:5">
      <c r="C6067" t="s">
        <v>17</v>
      </c>
      <c r="D6067" t="s">
        <v>18</v>
      </c>
      <c r="E6067">
        <v>0</v>
      </c>
    </row>
    <row r="6068" spans="3:5">
      <c r="C6068" t="s">
        <v>15</v>
      </c>
      <c r="D6068" t="s">
        <v>16</v>
      </c>
      <c r="E6068">
        <v>0</v>
      </c>
    </row>
    <row r="6069" spans="3:5">
      <c r="C6069" t="s">
        <v>17</v>
      </c>
      <c r="D6069" t="s">
        <v>18</v>
      </c>
      <c r="E6069">
        <v>0</v>
      </c>
    </row>
    <row r="6070" spans="3:5">
      <c r="C6070" t="s">
        <v>15</v>
      </c>
      <c r="D6070" t="s">
        <v>16</v>
      </c>
      <c r="E6070">
        <v>0</v>
      </c>
    </row>
    <row r="6071" spans="3:5">
      <c r="C6071" t="s">
        <v>15</v>
      </c>
      <c r="D6071" t="s">
        <v>16</v>
      </c>
      <c r="E6071">
        <v>0</v>
      </c>
    </row>
    <row r="6072" spans="3:5">
      <c r="C6072" t="s">
        <v>15</v>
      </c>
      <c r="D6072" t="s">
        <v>16</v>
      </c>
      <c r="E6072">
        <v>0</v>
      </c>
    </row>
    <row r="6073" spans="3:5">
      <c r="C6073" t="s">
        <v>15</v>
      </c>
      <c r="D6073" t="s">
        <v>16</v>
      </c>
      <c r="E6073">
        <v>0</v>
      </c>
    </row>
    <row r="6074" spans="3:5">
      <c r="C6074" t="s">
        <v>17</v>
      </c>
      <c r="D6074" t="s">
        <v>18</v>
      </c>
      <c r="E6074">
        <v>0</v>
      </c>
    </row>
    <row r="6075" spans="3:5">
      <c r="C6075" t="s">
        <v>17</v>
      </c>
      <c r="D6075" t="s">
        <v>18</v>
      </c>
      <c r="E6075">
        <v>0</v>
      </c>
    </row>
    <row r="6076" spans="3:5">
      <c r="C6076" t="s">
        <v>17</v>
      </c>
      <c r="D6076" t="s">
        <v>18</v>
      </c>
      <c r="E6076">
        <v>0</v>
      </c>
    </row>
    <row r="6077" spans="3:5">
      <c r="C6077" t="s">
        <v>17</v>
      </c>
      <c r="D6077" t="s">
        <v>18</v>
      </c>
      <c r="E6077">
        <v>0</v>
      </c>
    </row>
    <row r="6078" spans="3:5">
      <c r="C6078" t="s">
        <v>17</v>
      </c>
      <c r="D6078" t="s">
        <v>18</v>
      </c>
      <c r="E6078">
        <v>0</v>
      </c>
    </row>
    <row r="6079" spans="3:5">
      <c r="C6079" t="s">
        <v>15</v>
      </c>
      <c r="D6079" t="s">
        <v>16</v>
      </c>
      <c r="E6079">
        <v>0</v>
      </c>
    </row>
    <row r="6080" spans="3:5">
      <c r="C6080" t="s">
        <v>15</v>
      </c>
      <c r="D6080" t="s">
        <v>16</v>
      </c>
      <c r="E6080">
        <v>0</v>
      </c>
    </row>
    <row r="6081" spans="3:5">
      <c r="C6081" t="s">
        <v>15</v>
      </c>
      <c r="D6081" t="s">
        <v>16</v>
      </c>
      <c r="E6081">
        <v>0</v>
      </c>
    </row>
    <row r="6082" spans="3:5">
      <c r="C6082" t="s">
        <v>15</v>
      </c>
      <c r="D6082" t="s">
        <v>16</v>
      </c>
      <c r="E6082">
        <v>0</v>
      </c>
    </row>
    <row r="6083" spans="3:5">
      <c r="C6083" t="s">
        <v>17</v>
      </c>
      <c r="D6083" t="s">
        <v>18</v>
      </c>
      <c r="E6083">
        <v>0</v>
      </c>
    </row>
    <row r="6084" spans="3:5">
      <c r="C6084" t="s">
        <v>15</v>
      </c>
      <c r="D6084" t="s">
        <v>16</v>
      </c>
      <c r="E6084">
        <v>0</v>
      </c>
    </row>
    <row r="6085" spans="3:5">
      <c r="C6085" t="s">
        <v>15</v>
      </c>
      <c r="D6085" t="s">
        <v>16</v>
      </c>
      <c r="E6085">
        <v>0</v>
      </c>
    </row>
    <row r="6086" spans="3:5">
      <c r="C6086" t="s">
        <v>17</v>
      </c>
      <c r="D6086" t="s">
        <v>18</v>
      </c>
      <c r="E6086">
        <v>0</v>
      </c>
    </row>
    <row r="6087" spans="3:5">
      <c r="C6087" t="s">
        <v>15</v>
      </c>
      <c r="D6087" t="s">
        <v>16</v>
      </c>
      <c r="E6087">
        <v>0</v>
      </c>
    </row>
    <row r="6088" spans="3:5">
      <c r="C6088" t="s">
        <v>15</v>
      </c>
      <c r="D6088" t="s">
        <v>16</v>
      </c>
      <c r="E6088">
        <v>0</v>
      </c>
    </row>
    <row r="6089" spans="3:5">
      <c r="C6089" t="s">
        <v>17</v>
      </c>
      <c r="D6089" t="s">
        <v>18</v>
      </c>
      <c r="E6089">
        <v>0</v>
      </c>
    </row>
    <row r="6090" spans="3:5">
      <c r="C6090" t="s">
        <v>17</v>
      </c>
      <c r="D6090" t="s">
        <v>18</v>
      </c>
      <c r="E6090">
        <v>0</v>
      </c>
    </row>
    <row r="6091" spans="3:5">
      <c r="C6091" t="s">
        <v>17</v>
      </c>
      <c r="D6091" t="s">
        <v>18</v>
      </c>
      <c r="E6091">
        <v>0</v>
      </c>
    </row>
    <row r="6092" spans="3:5">
      <c r="C6092" t="s">
        <v>17</v>
      </c>
      <c r="D6092" t="s">
        <v>18</v>
      </c>
      <c r="E6092">
        <v>0</v>
      </c>
    </row>
    <row r="6093" spans="3:5">
      <c r="C6093" t="s">
        <v>17</v>
      </c>
      <c r="D6093" t="s">
        <v>18</v>
      </c>
      <c r="E6093">
        <v>0</v>
      </c>
    </row>
    <row r="6094" spans="3:5">
      <c r="C6094" t="s">
        <v>17</v>
      </c>
      <c r="D6094" t="s">
        <v>18</v>
      </c>
      <c r="E6094">
        <v>0</v>
      </c>
    </row>
    <row r="6095" spans="3:5">
      <c r="C6095" t="s">
        <v>17</v>
      </c>
      <c r="D6095" t="s">
        <v>18</v>
      </c>
      <c r="E6095">
        <v>0</v>
      </c>
    </row>
    <row r="6096" spans="3:5">
      <c r="C6096" t="s">
        <v>17</v>
      </c>
      <c r="D6096" t="s">
        <v>18</v>
      </c>
      <c r="E6096">
        <v>0</v>
      </c>
    </row>
    <row r="6097" spans="3:5">
      <c r="C6097" t="s">
        <v>17</v>
      </c>
      <c r="D6097" t="s">
        <v>18</v>
      </c>
      <c r="E6097">
        <v>0</v>
      </c>
    </row>
    <row r="6098" spans="3:5">
      <c r="C6098" t="s">
        <v>17</v>
      </c>
      <c r="D6098" t="s">
        <v>18</v>
      </c>
      <c r="E6098">
        <v>0</v>
      </c>
    </row>
    <row r="6099" spans="3:5">
      <c r="C6099" t="s">
        <v>15</v>
      </c>
      <c r="D6099" t="s">
        <v>16</v>
      </c>
      <c r="E6099">
        <v>0</v>
      </c>
    </row>
    <row r="6100" spans="3:5">
      <c r="C6100" t="s">
        <v>17</v>
      </c>
      <c r="D6100" t="s">
        <v>18</v>
      </c>
      <c r="E6100">
        <v>0</v>
      </c>
    </row>
    <row r="6101" spans="3:5">
      <c r="C6101" t="s">
        <v>17</v>
      </c>
      <c r="D6101" t="s">
        <v>18</v>
      </c>
      <c r="E6101">
        <v>0</v>
      </c>
    </row>
    <row r="6102" spans="3:5">
      <c r="C6102" t="s">
        <v>17</v>
      </c>
      <c r="D6102" t="s">
        <v>18</v>
      </c>
      <c r="E6102">
        <v>0</v>
      </c>
    </row>
    <row r="6103" spans="3:5">
      <c r="C6103" t="s">
        <v>15</v>
      </c>
      <c r="D6103" t="s">
        <v>16</v>
      </c>
      <c r="E6103">
        <v>0</v>
      </c>
    </row>
    <row r="6104" spans="3:5">
      <c r="C6104" t="s">
        <v>15</v>
      </c>
      <c r="D6104" t="s">
        <v>16</v>
      </c>
      <c r="E6104">
        <v>0</v>
      </c>
    </row>
    <row r="6105" spans="3:5">
      <c r="C6105" t="s">
        <v>15</v>
      </c>
      <c r="D6105" t="s">
        <v>16</v>
      </c>
      <c r="E6105">
        <v>0</v>
      </c>
    </row>
    <row r="6106" spans="3:5">
      <c r="C6106" t="s">
        <v>15</v>
      </c>
      <c r="D6106" t="s">
        <v>16</v>
      </c>
      <c r="E6106">
        <v>0</v>
      </c>
    </row>
    <row r="6107" spans="3:5">
      <c r="C6107" t="s">
        <v>15</v>
      </c>
      <c r="D6107" t="s">
        <v>16</v>
      </c>
      <c r="E6107">
        <v>0</v>
      </c>
    </row>
    <row r="6108" spans="3:5">
      <c r="C6108" t="s">
        <v>15</v>
      </c>
      <c r="D6108" t="s">
        <v>16</v>
      </c>
      <c r="E6108">
        <v>0</v>
      </c>
    </row>
    <row r="6109" spans="3:5">
      <c r="C6109" t="s">
        <v>17</v>
      </c>
      <c r="D6109" t="s">
        <v>18</v>
      </c>
      <c r="E6109">
        <v>0</v>
      </c>
    </row>
    <row r="6110" spans="3:5">
      <c r="C6110" t="s">
        <v>17</v>
      </c>
      <c r="D6110" t="s">
        <v>18</v>
      </c>
      <c r="E6110">
        <v>0</v>
      </c>
    </row>
    <row r="6111" spans="3:5">
      <c r="C6111" t="s">
        <v>15</v>
      </c>
      <c r="D6111" t="s">
        <v>16</v>
      </c>
      <c r="E6111">
        <v>0</v>
      </c>
    </row>
    <row r="6112" spans="3:5">
      <c r="C6112" t="s">
        <v>17</v>
      </c>
      <c r="D6112" t="s">
        <v>18</v>
      </c>
      <c r="E6112">
        <v>0</v>
      </c>
    </row>
    <row r="6113" spans="3:5">
      <c r="C6113" t="s">
        <v>17</v>
      </c>
      <c r="D6113" t="s">
        <v>18</v>
      </c>
      <c r="E6113">
        <v>0</v>
      </c>
    </row>
    <row r="6114" spans="3:5">
      <c r="C6114" t="s">
        <v>17</v>
      </c>
      <c r="D6114" t="s">
        <v>18</v>
      </c>
      <c r="E6114">
        <v>0</v>
      </c>
    </row>
    <row r="6115" spans="3:5">
      <c r="C6115" t="s">
        <v>17</v>
      </c>
      <c r="D6115" t="s">
        <v>18</v>
      </c>
      <c r="E6115">
        <v>0</v>
      </c>
    </row>
    <row r="6116" spans="3:5">
      <c r="C6116" t="s">
        <v>17</v>
      </c>
      <c r="D6116" t="s">
        <v>18</v>
      </c>
      <c r="E6116">
        <v>0</v>
      </c>
    </row>
    <row r="6117" spans="3:5">
      <c r="C6117" t="s">
        <v>17</v>
      </c>
      <c r="D6117" t="s">
        <v>18</v>
      </c>
      <c r="E6117">
        <v>0</v>
      </c>
    </row>
    <row r="6118" spans="3:5">
      <c r="C6118" t="s">
        <v>15</v>
      </c>
      <c r="D6118" t="s">
        <v>16</v>
      </c>
      <c r="E6118">
        <v>0</v>
      </c>
    </row>
    <row r="6119" spans="3:5">
      <c r="C6119" t="s">
        <v>15</v>
      </c>
      <c r="D6119" t="s">
        <v>16</v>
      </c>
      <c r="E6119">
        <v>1</v>
      </c>
    </row>
    <row r="6120" spans="3:5">
      <c r="C6120" t="s">
        <v>15</v>
      </c>
      <c r="D6120" t="s">
        <v>16</v>
      </c>
      <c r="E6120">
        <v>0</v>
      </c>
    </row>
    <row r="6121" spans="3:5">
      <c r="C6121" t="s">
        <v>17</v>
      </c>
      <c r="D6121" t="s">
        <v>18</v>
      </c>
      <c r="E6121">
        <v>0</v>
      </c>
    </row>
    <row r="6122" spans="3:5">
      <c r="C6122" t="s">
        <v>15</v>
      </c>
      <c r="D6122" t="s">
        <v>16</v>
      </c>
      <c r="E6122">
        <v>0</v>
      </c>
    </row>
    <row r="6123" spans="3:5">
      <c r="C6123" t="s">
        <v>15</v>
      </c>
      <c r="D6123" t="s">
        <v>16</v>
      </c>
      <c r="E6123">
        <v>0</v>
      </c>
    </row>
    <row r="6124" spans="3:5">
      <c r="C6124" t="s">
        <v>15</v>
      </c>
      <c r="D6124" t="s">
        <v>16</v>
      </c>
      <c r="E6124">
        <v>0</v>
      </c>
    </row>
    <row r="6125" spans="3:5">
      <c r="C6125" t="s">
        <v>15</v>
      </c>
      <c r="D6125" t="s">
        <v>16</v>
      </c>
      <c r="E6125">
        <v>0</v>
      </c>
    </row>
    <row r="6126" spans="3:5">
      <c r="C6126" t="s">
        <v>17</v>
      </c>
      <c r="D6126" t="s">
        <v>18</v>
      </c>
      <c r="E6126">
        <v>0</v>
      </c>
    </row>
    <row r="6127" spans="3:5">
      <c r="C6127" t="s">
        <v>15</v>
      </c>
      <c r="D6127" t="s">
        <v>16</v>
      </c>
      <c r="E6127">
        <v>0</v>
      </c>
    </row>
    <row r="6128" spans="3:5">
      <c r="C6128" t="s">
        <v>15</v>
      </c>
      <c r="D6128" t="s">
        <v>16</v>
      </c>
      <c r="E6128">
        <v>0</v>
      </c>
    </row>
    <row r="6129" spans="3:5">
      <c r="C6129" t="s">
        <v>17</v>
      </c>
      <c r="D6129" t="s">
        <v>18</v>
      </c>
      <c r="E6129">
        <v>0</v>
      </c>
    </row>
    <row r="6130" spans="3:5">
      <c r="C6130" t="s">
        <v>15</v>
      </c>
      <c r="D6130" t="s">
        <v>16</v>
      </c>
      <c r="E6130">
        <v>0</v>
      </c>
    </row>
    <row r="6131" spans="3:5">
      <c r="C6131" t="s">
        <v>17</v>
      </c>
      <c r="D6131" t="s">
        <v>18</v>
      </c>
      <c r="E6131">
        <v>0</v>
      </c>
    </row>
    <row r="6132" spans="3:5">
      <c r="C6132" t="s">
        <v>17</v>
      </c>
      <c r="D6132" t="s">
        <v>18</v>
      </c>
      <c r="E6132">
        <v>0</v>
      </c>
    </row>
    <row r="6133" spans="3:5">
      <c r="C6133" t="s">
        <v>15</v>
      </c>
      <c r="D6133" t="s">
        <v>16</v>
      </c>
      <c r="E6133">
        <v>0</v>
      </c>
    </row>
    <row r="6134" spans="3:5">
      <c r="C6134" t="s">
        <v>17</v>
      </c>
      <c r="D6134" t="s">
        <v>18</v>
      </c>
      <c r="E6134">
        <v>0</v>
      </c>
    </row>
    <row r="6135" spans="3:5">
      <c r="C6135" t="s">
        <v>15</v>
      </c>
      <c r="D6135" t="s">
        <v>16</v>
      </c>
      <c r="E6135">
        <v>0</v>
      </c>
    </row>
    <row r="6136" spans="3:5">
      <c r="C6136" t="s">
        <v>17</v>
      </c>
      <c r="D6136" t="s">
        <v>18</v>
      </c>
      <c r="E6136">
        <v>0</v>
      </c>
    </row>
    <row r="6137" spans="3:5">
      <c r="C6137" t="s">
        <v>15</v>
      </c>
      <c r="D6137" t="s">
        <v>16</v>
      </c>
      <c r="E6137">
        <v>0</v>
      </c>
    </row>
    <row r="6138" spans="3:5">
      <c r="C6138" t="s">
        <v>17</v>
      </c>
      <c r="D6138" t="s">
        <v>18</v>
      </c>
      <c r="E6138">
        <v>0</v>
      </c>
    </row>
    <row r="6139" spans="3:5">
      <c r="C6139" t="s">
        <v>17</v>
      </c>
      <c r="D6139" t="s">
        <v>18</v>
      </c>
      <c r="E6139">
        <v>0</v>
      </c>
    </row>
    <row r="6140" spans="3:5">
      <c r="C6140" t="s">
        <v>15</v>
      </c>
      <c r="D6140" t="s">
        <v>16</v>
      </c>
      <c r="E6140">
        <v>0</v>
      </c>
    </row>
    <row r="6141" spans="3:5">
      <c r="C6141" t="s">
        <v>17</v>
      </c>
      <c r="D6141" t="s">
        <v>18</v>
      </c>
      <c r="E6141">
        <v>0</v>
      </c>
    </row>
    <row r="6142" spans="3:5">
      <c r="C6142" t="s">
        <v>17</v>
      </c>
      <c r="D6142" t="s">
        <v>18</v>
      </c>
      <c r="E6142">
        <v>0</v>
      </c>
    </row>
    <row r="6143" spans="3:5">
      <c r="C6143" t="s">
        <v>15</v>
      </c>
      <c r="D6143" t="s">
        <v>16</v>
      </c>
      <c r="E6143">
        <v>0</v>
      </c>
    </row>
    <row r="6144" spans="3:5">
      <c r="C6144" t="s">
        <v>17</v>
      </c>
      <c r="D6144" t="s">
        <v>18</v>
      </c>
      <c r="E6144">
        <v>0</v>
      </c>
    </row>
    <row r="6145" spans="3:5">
      <c r="C6145" t="s">
        <v>15</v>
      </c>
      <c r="D6145" t="s">
        <v>16</v>
      </c>
      <c r="E6145">
        <v>0</v>
      </c>
    </row>
    <row r="6146" spans="3:5">
      <c r="C6146" t="s">
        <v>15</v>
      </c>
      <c r="D6146" t="s">
        <v>16</v>
      </c>
      <c r="E6146">
        <v>0</v>
      </c>
    </row>
    <row r="6147" spans="3:5">
      <c r="C6147" t="s">
        <v>17</v>
      </c>
      <c r="D6147" t="s">
        <v>18</v>
      </c>
      <c r="E6147">
        <v>0</v>
      </c>
    </row>
    <row r="6148" spans="3:5">
      <c r="C6148" t="s">
        <v>15</v>
      </c>
      <c r="D6148" t="s">
        <v>16</v>
      </c>
      <c r="E6148">
        <v>0</v>
      </c>
    </row>
    <row r="6149" spans="3:5">
      <c r="C6149" t="s">
        <v>15</v>
      </c>
      <c r="D6149" t="s">
        <v>16</v>
      </c>
      <c r="E6149">
        <v>0</v>
      </c>
    </row>
    <row r="6150" spans="3:5">
      <c r="C6150" t="s">
        <v>17</v>
      </c>
      <c r="D6150" t="s">
        <v>18</v>
      </c>
      <c r="E6150">
        <v>0</v>
      </c>
    </row>
    <row r="6151" spans="3:5">
      <c r="C6151" t="s">
        <v>17</v>
      </c>
      <c r="D6151" t="s">
        <v>18</v>
      </c>
      <c r="E6151">
        <v>0</v>
      </c>
    </row>
    <row r="6152" spans="3:5">
      <c r="C6152" t="s">
        <v>17</v>
      </c>
      <c r="D6152" t="s">
        <v>18</v>
      </c>
      <c r="E6152">
        <v>0</v>
      </c>
    </row>
    <row r="6153" spans="3:5">
      <c r="C6153" t="s">
        <v>15</v>
      </c>
      <c r="D6153" t="s">
        <v>16</v>
      </c>
      <c r="E6153">
        <v>0</v>
      </c>
    </row>
    <row r="6154" spans="3:5">
      <c r="C6154" t="s">
        <v>17</v>
      </c>
      <c r="D6154" t="s">
        <v>18</v>
      </c>
      <c r="E6154">
        <v>0</v>
      </c>
    </row>
    <row r="6155" spans="3:5">
      <c r="C6155" t="s">
        <v>17</v>
      </c>
      <c r="D6155" t="s">
        <v>18</v>
      </c>
      <c r="E6155">
        <v>0</v>
      </c>
    </row>
    <row r="6156" spans="3:5">
      <c r="C6156" t="s">
        <v>15</v>
      </c>
      <c r="D6156" t="s">
        <v>16</v>
      </c>
      <c r="E6156">
        <v>0</v>
      </c>
    </row>
    <row r="6157" spans="3:5">
      <c r="C6157" t="s">
        <v>15</v>
      </c>
      <c r="D6157" t="s">
        <v>16</v>
      </c>
      <c r="E6157">
        <v>0</v>
      </c>
    </row>
    <row r="6158" spans="3:5">
      <c r="C6158" t="s">
        <v>15</v>
      </c>
      <c r="D6158" t="s">
        <v>16</v>
      </c>
      <c r="E6158">
        <v>0</v>
      </c>
    </row>
    <row r="6159" spans="3:5">
      <c r="C6159" t="s">
        <v>15</v>
      </c>
      <c r="D6159" t="s">
        <v>16</v>
      </c>
      <c r="E6159">
        <v>0</v>
      </c>
    </row>
    <row r="6160" spans="3:5">
      <c r="C6160" t="s">
        <v>17</v>
      </c>
      <c r="D6160" t="s">
        <v>18</v>
      </c>
      <c r="E6160">
        <v>0</v>
      </c>
    </row>
    <row r="6161" spans="3:5">
      <c r="C6161" t="s">
        <v>15</v>
      </c>
      <c r="D6161" t="s">
        <v>16</v>
      </c>
      <c r="E6161">
        <v>0</v>
      </c>
    </row>
    <row r="6162" spans="3:5">
      <c r="C6162" t="s">
        <v>17</v>
      </c>
      <c r="D6162" t="s">
        <v>18</v>
      </c>
      <c r="E6162">
        <v>0</v>
      </c>
    </row>
    <row r="6163" spans="3:5">
      <c r="C6163" t="s">
        <v>17</v>
      </c>
      <c r="D6163" t="s">
        <v>18</v>
      </c>
      <c r="E6163">
        <v>0</v>
      </c>
    </row>
    <row r="6164" spans="3:5">
      <c r="C6164" t="s">
        <v>15</v>
      </c>
      <c r="D6164" t="s">
        <v>16</v>
      </c>
      <c r="E6164">
        <v>0</v>
      </c>
    </row>
    <row r="6165" spans="3:5">
      <c r="C6165" t="s">
        <v>17</v>
      </c>
      <c r="D6165" t="s">
        <v>18</v>
      </c>
      <c r="E6165">
        <v>0</v>
      </c>
    </row>
    <row r="6166" spans="3:5">
      <c r="C6166" t="s">
        <v>17</v>
      </c>
      <c r="D6166" t="s">
        <v>18</v>
      </c>
      <c r="E6166">
        <v>0</v>
      </c>
    </row>
    <row r="6167" spans="3:5">
      <c r="C6167" t="s">
        <v>17</v>
      </c>
      <c r="D6167" t="s">
        <v>18</v>
      </c>
      <c r="E6167">
        <v>0</v>
      </c>
    </row>
    <row r="6168" spans="3:5">
      <c r="C6168" t="s">
        <v>17</v>
      </c>
      <c r="D6168" t="s">
        <v>18</v>
      </c>
      <c r="E6168">
        <v>0</v>
      </c>
    </row>
    <row r="6169" spans="3:5">
      <c r="C6169" t="s">
        <v>17</v>
      </c>
      <c r="D6169" t="s">
        <v>18</v>
      </c>
      <c r="E6169">
        <v>0</v>
      </c>
    </row>
    <row r="6170" spans="3:5">
      <c r="C6170" t="s">
        <v>15</v>
      </c>
      <c r="D6170" t="s">
        <v>16</v>
      </c>
      <c r="E6170">
        <v>0</v>
      </c>
    </row>
    <row r="6171" spans="3:5">
      <c r="C6171" t="s">
        <v>15</v>
      </c>
      <c r="D6171" t="s">
        <v>16</v>
      </c>
      <c r="E6171">
        <v>0</v>
      </c>
    </row>
    <row r="6172" spans="3:5">
      <c r="C6172" t="s">
        <v>17</v>
      </c>
      <c r="D6172" t="s">
        <v>18</v>
      </c>
      <c r="E6172">
        <v>0</v>
      </c>
    </row>
    <row r="6173" spans="3:5">
      <c r="C6173" t="s">
        <v>17</v>
      </c>
      <c r="D6173" t="s">
        <v>18</v>
      </c>
      <c r="E6173">
        <v>0</v>
      </c>
    </row>
    <row r="6174" spans="3:5">
      <c r="C6174" t="s">
        <v>15</v>
      </c>
      <c r="D6174" t="s">
        <v>16</v>
      </c>
      <c r="E6174">
        <v>0</v>
      </c>
    </row>
    <row r="6175" spans="3:5">
      <c r="C6175" t="s">
        <v>15</v>
      </c>
      <c r="D6175" t="s">
        <v>16</v>
      </c>
      <c r="E6175">
        <v>0</v>
      </c>
    </row>
    <row r="6176" spans="3:5">
      <c r="C6176" t="s">
        <v>17</v>
      </c>
      <c r="D6176" t="s">
        <v>18</v>
      </c>
      <c r="E6176">
        <v>0</v>
      </c>
    </row>
    <row r="6177" spans="3:5">
      <c r="C6177" t="s">
        <v>17</v>
      </c>
      <c r="D6177" t="s">
        <v>18</v>
      </c>
      <c r="E6177">
        <v>0</v>
      </c>
    </row>
    <row r="6178" spans="3:5">
      <c r="C6178" t="s">
        <v>17</v>
      </c>
      <c r="D6178" t="s">
        <v>18</v>
      </c>
      <c r="E6178">
        <v>0</v>
      </c>
    </row>
    <row r="6179" spans="3:5">
      <c r="C6179" t="s">
        <v>17</v>
      </c>
      <c r="D6179" t="s">
        <v>18</v>
      </c>
      <c r="E6179">
        <v>0</v>
      </c>
    </row>
    <row r="6180" spans="3:5">
      <c r="C6180" t="s">
        <v>15</v>
      </c>
      <c r="D6180" t="s">
        <v>16</v>
      </c>
      <c r="E6180">
        <v>1</v>
      </c>
    </row>
    <row r="6181" spans="3:5">
      <c r="C6181" t="s">
        <v>15</v>
      </c>
      <c r="D6181" t="s">
        <v>16</v>
      </c>
      <c r="E6181">
        <v>0</v>
      </c>
    </row>
    <row r="6182" spans="3:5">
      <c r="C6182" t="s">
        <v>15</v>
      </c>
      <c r="D6182" t="s">
        <v>16</v>
      </c>
      <c r="E6182">
        <v>0</v>
      </c>
    </row>
    <row r="6183" spans="3:5">
      <c r="C6183" t="s">
        <v>17</v>
      </c>
      <c r="D6183" t="s">
        <v>18</v>
      </c>
      <c r="E6183">
        <v>0</v>
      </c>
    </row>
    <row r="6184" spans="3:5">
      <c r="C6184" t="s">
        <v>17</v>
      </c>
      <c r="D6184" t="s">
        <v>18</v>
      </c>
      <c r="E6184">
        <v>0</v>
      </c>
    </row>
    <row r="6185" spans="3:5">
      <c r="C6185" t="s">
        <v>17</v>
      </c>
      <c r="D6185" t="s">
        <v>18</v>
      </c>
      <c r="E6185">
        <v>0</v>
      </c>
    </row>
    <row r="6186" spans="3:5">
      <c r="C6186" t="s">
        <v>15</v>
      </c>
      <c r="D6186" t="s">
        <v>16</v>
      </c>
      <c r="E6186">
        <v>0</v>
      </c>
    </row>
    <row r="6187" spans="3:5">
      <c r="C6187" t="s">
        <v>15</v>
      </c>
      <c r="D6187" t="s">
        <v>16</v>
      </c>
      <c r="E6187">
        <v>0</v>
      </c>
    </row>
    <row r="6188" spans="3:5">
      <c r="C6188" t="s">
        <v>17</v>
      </c>
      <c r="D6188" t="s">
        <v>18</v>
      </c>
      <c r="E6188">
        <v>0</v>
      </c>
    </row>
    <row r="6189" spans="3:5">
      <c r="C6189" t="s">
        <v>17</v>
      </c>
      <c r="D6189" t="s">
        <v>18</v>
      </c>
      <c r="E6189">
        <v>0</v>
      </c>
    </row>
    <row r="6190" spans="3:5">
      <c r="C6190" t="s">
        <v>17</v>
      </c>
      <c r="D6190" t="s">
        <v>18</v>
      </c>
      <c r="E6190">
        <v>0</v>
      </c>
    </row>
    <row r="6191" spans="3:5">
      <c r="C6191" t="s">
        <v>15</v>
      </c>
      <c r="D6191" t="s">
        <v>16</v>
      </c>
      <c r="E6191">
        <v>0</v>
      </c>
    </row>
    <row r="6192" spans="3:5">
      <c r="C6192" t="s">
        <v>17</v>
      </c>
      <c r="D6192" t="s">
        <v>18</v>
      </c>
      <c r="E6192">
        <v>0</v>
      </c>
    </row>
    <row r="6193" spans="3:5">
      <c r="C6193" t="s">
        <v>15</v>
      </c>
      <c r="D6193" t="s">
        <v>16</v>
      </c>
      <c r="E6193">
        <v>0</v>
      </c>
    </row>
    <row r="6194" spans="3:5">
      <c r="C6194" t="s">
        <v>17</v>
      </c>
      <c r="D6194" t="s">
        <v>18</v>
      </c>
      <c r="E6194">
        <v>0</v>
      </c>
    </row>
    <row r="6195" spans="3:5">
      <c r="C6195" t="s">
        <v>17</v>
      </c>
      <c r="D6195" t="s">
        <v>18</v>
      </c>
      <c r="E6195">
        <v>0</v>
      </c>
    </row>
    <row r="6196" spans="3:5">
      <c r="C6196" t="s">
        <v>17</v>
      </c>
      <c r="D6196" t="s">
        <v>18</v>
      </c>
      <c r="E6196">
        <v>0</v>
      </c>
    </row>
    <row r="6197" spans="3:5">
      <c r="C6197" t="s">
        <v>15</v>
      </c>
      <c r="D6197" t="s">
        <v>16</v>
      </c>
      <c r="E6197">
        <v>0</v>
      </c>
    </row>
    <row r="6198" spans="3:5">
      <c r="C6198" t="s">
        <v>15</v>
      </c>
      <c r="D6198" t="s">
        <v>16</v>
      </c>
      <c r="E6198">
        <v>0</v>
      </c>
    </row>
    <row r="6199" spans="3:5">
      <c r="C6199" t="s">
        <v>17</v>
      </c>
      <c r="D6199" t="s">
        <v>18</v>
      </c>
      <c r="E6199">
        <v>0</v>
      </c>
    </row>
    <row r="6200" spans="3:5">
      <c r="C6200" t="s">
        <v>17</v>
      </c>
      <c r="D6200" t="s">
        <v>18</v>
      </c>
      <c r="E6200">
        <v>0</v>
      </c>
    </row>
    <row r="6201" spans="3:5">
      <c r="C6201" t="s">
        <v>17</v>
      </c>
      <c r="D6201" t="s">
        <v>18</v>
      </c>
      <c r="E6201">
        <v>0</v>
      </c>
    </row>
    <row r="6202" spans="3:5">
      <c r="C6202" t="s">
        <v>17</v>
      </c>
      <c r="D6202" t="s">
        <v>18</v>
      </c>
      <c r="E6202">
        <v>0</v>
      </c>
    </row>
    <row r="6203" spans="3:5">
      <c r="C6203" t="s">
        <v>15</v>
      </c>
      <c r="D6203" t="s">
        <v>16</v>
      </c>
      <c r="E6203">
        <v>0</v>
      </c>
    </row>
    <row r="6204" spans="3:5">
      <c r="C6204" t="s">
        <v>15</v>
      </c>
      <c r="D6204" t="s">
        <v>16</v>
      </c>
      <c r="E6204">
        <v>0</v>
      </c>
    </row>
    <row r="6205" spans="3:5">
      <c r="C6205" t="s">
        <v>17</v>
      </c>
      <c r="D6205" t="s">
        <v>18</v>
      </c>
      <c r="E6205">
        <v>0</v>
      </c>
    </row>
    <row r="6206" spans="3:5">
      <c r="C6206" t="s">
        <v>15</v>
      </c>
      <c r="D6206" t="s">
        <v>16</v>
      </c>
      <c r="E6206">
        <v>0</v>
      </c>
    </row>
    <row r="6207" spans="3:5">
      <c r="C6207" t="s">
        <v>17</v>
      </c>
      <c r="D6207" t="s">
        <v>18</v>
      </c>
      <c r="E6207">
        <v>0</v>
      </c>
    </row>
    <row r="6208" spans="3:5">
      <c r="C6208" t="s">
        <v>15</v>
      </c>
      <c r="D6208" t="s">
        <v>16</v>
      </c>
      <c r="E6208">
        <v>0</v>
      </c>
    </row>
    <row r="6209" spans="3:5">
      <c r="C6209" t="s">
        <v>15</v>
      </c>
      <c r="D6209" t="s">
        <v>16</v>
      </c>
      <c r="E6209">
        <v>1</v>
      </c>
    </row>
    <row r="6210" spans="3:5">
      <c r="C6210" t="s">
        <v>15</v>
      </c>
      <c r="D6210" t="s">
        <v>16</v>
      </c>
      <c r="E6210">
        <v>0</v>
      </c>
    </row>
    <row r="6211" spans="3:5">
      <c r="C6211" t="s">
        <v>15</v>
      </c>
      <c r="D6211" t="s">
        <v>16</v>
      </c>
      <c r="E6211">
        <v>0</v>
      </c>
    </row>
    <row r="6212" spans="3:5">
      <c r="C6212" t="s">
        <v>17</v>
      </c>
      <c r="D6212" t="s">
        <v>18</v>
      </c>
      <c r="E6212">
        <v>0</v>
      </c>
    </row>
    <row r="6213" spans="3:5">
      <c r="C6213" t="s">
        <v>17</v>
      </c>
      <c r="D6213" t="s">
        <v>18</v>
      </c>
      <c r="E6213">
        <v>0</v>
      </c>
    </row>
    <row r="6214" spans="3:5">
      <c r="C6214" t="s">
        <v>15</v>
      </c>
      <c r="D6214" t="s">
        <v>16</v>
      </c>
      <c r="E6214">
        <v>0</v>
      </c>
    </row>
    <row r="6215" spans="3:5">
      <c r="C6215" t="s">
        <v>17</v>
      </c>
      <c r="D6215" t="s">
        <v>18</v>
      </c>
      <c r="E6215">
        <v>0</v>
      </c>
    </row>
    <row r="6216" spans="3:5">
      <c r="C6216" t="s">
        <v>17</v>
      </c>
      <c r="D6216" t="s">
        <v>18</v>
      </c>
      <c r="E6216">
        <v>0</v>
      </c>
    </row>
    <row r="6217" spans="3:5">
      <c r="C6217" t="s">
        <v>17</v>
      </c>
      <c r="D6217" t="s">
        <v>18</v>
      </c>
      <c r="E6217">
        <v>0</v>
      </c>
    </row>
    <row r="6218" spans="3:5">
      <c r="C6218" t="s">
        <v>15</v>
      </c>
      <c r="D6218" t="s">
        <v>16</v>
      </c>
      <c r="E6218">
        <v>0</v>
      </c>
    </row>
    <row r="6219" spans="3:5">
      <c r="C6219" t="s">
        <v>15</v>
      </c>
      <c r="D6219" t="s">
        <v>16</v>
      </c>
      <c r="E6219">
        <v>0</v>
      </c>
    </row>
    <row r="6220" spans="3:5">
      <c r="C6220" t="s">
        <v>17</v>
      </c>
      <c r="D6220" t="s">
        <v>18</v>
      </c>
      <c r="E6220">
        <v>0</v>
      </c>
    </row>
    <row r="6221" spans="3:5">
      <c r="C6221" t="s">
        <v>15</v>
      </c>
      <c r="D6221" t="s">
        <v>16</v>
      </c>
      <c r="E6221">
        <v>0</v>
      </c>
    </row>
    <row r="6222" spans="3:5">
      <c r="C6222" t="s">
        <v>15</v>
      </c>
      <c r="D6222" t="s">
        <v>16</v>
      </c>
      <c r="E6222">
        <v>0</v>
      </c>
    </row>
    <row r="6223" spans="3:5">
      <c r="C6223" t="s">
        <v>17</v>
      </c>
      <c r="D6223" t="s">
        <v>18</v>
      </c>
      <c r="E6223">
        <v>0</v>
      </c>
    </row>
    <row r="6224" spans="3:5">
      <c r="C6224" t="s">
        <v>15</v>
      </c>
      <c r="D6224" t="s">
        <v>16</v>
      </c>
      <c r="E6224">
        <v>0</v>
      </c>
    </row>
    <row r="6225" spans="3:5">
      <c r="C6225" t="s">
        <v>17</v>
      </c>
      <c r="D6225" t="s">
        <v>18</v>
      </c>
      <c r="E6225">
        <v>0</v>
      </c>
    </row>
    <row r="6226" spans="3:5">
      <c r="C6226" t="s">
        <v>15</v>
      </c>
      <c r="D6226" t="s">
        <v>16</v>
      </c>
      <c r="E6226">
        <v>0</v>
      </c>
    </row>
    <row r="6227" spans="3:5">
      <c r="C6227" t="s">
        <v>15</v>
      </c>
      <c r="D6227" t="s">
        <v>16</v>
      </c>
      <c r="E6227">
        <v>0</v>
      </c>
    </row>
    <row r="6228" spans="3:5">
      <c r="C6228" t="s">
        <v>15</v>
      </c>
      <c r="D6228" t="s">
        <v>16</v>
      </c>
      <c r="E6228">
        <v>0</v>
      </c>
    </row>
    <row r="6229" spans="3:5">
      <c r="C6229" t="s">
        <v>15</v>
      </c>
      <c r="D6229" t="s">
        <v>16</v>
      </c>
      <c r="E6229">
        <v>0</v>
      </c>
    </row>
    <row r="6230" spans="3:5">
      <c r="C6230" t="s">
        <v>17</v>
      </c>
      <c r="D6230" t="s">
        <v>18</v>
      </c>
      <c r="E6230">
        <v>0</v>
      </c>
    </row>
    <row r="6231" spans="3:5">
      <c r="C6231" t="s">
        <v>17</v>
      </c>
      <c r="D6231" t="s">
        <v>18</v>
      </c>
      <c r="E6231">
        <v>0</v>
      </c>
    </row>
    <row r="6232" spans="3:5">
      <c r="C6232" t="s">
        <v>17</v>
      </c>
      <c r="D6232" t="s">
        <v>18</v>
      </c>
      <c r="E6232">
        <v>0</v>
      </c>
    </row>
    <row r="6233" spans="3:5">
      <c r="C6233" t="s">
        <v>17</v>
      </c>
      <c r="D6233" t="s">
        <v>18</v>
      </c>
      <c r="E6233">
        <v>0</v>
      </c>
    </row>
    <row r="6234" spans="3:5">
      <c r="C6234" t="s">
        <v>17</v>
      </c>
      <c r="D6234" t="s">
        <v>18</v>
      </c>
      <c r="E6234">
        <v>0</v>
      </c>
    </row>
    <row r="6235" spans="3:5">
      <c r="C6235" t="s">
        <v>15</v>
      </c>
      <c r="D6235" t="s">
        <v>16</v>
      </c>
      <c r="E6235">
        <v>0</v>
      </c>
    </row>
    <row r="6236" spans="3:5">
      <c r="C6236" t="s">
        <v>17</v>
      </c>
      <c r="D6236" t="s">
        <v>18</v>
      </c>
      <c r="E6236">
        <v>0</v>
      </c>
    </row>
    <row r="6237" spans="3:5">
      <c r="C6237" t="s">
        <v>17</v>
      </c>
      <c r="D6237" t="s">
        <v>18</v>
      </c>
      <c r="E6237">
        <v>0</v>
      </c>
    </row>
    <row r="6238" spans="3:5">
      <c r="C6238" t="s">
        <v>15</v>
      </c>
      <c r="D6238" t="s">
        <v>16</v>
      </c>
      <c r="E6238">
        <v>0</v>
      </c>
    </row>
    <row r="6239" spans="3:5">
      <c r="C6239" t="s">
        <v>15</v>
      </c>
      <c r="D6239" t="s">
        <v>16</v>
      </c>
      <c r="E6239">
        <v>0</v>
      </c>
    </row>
    <row r="6240" spans="3:5">
      <c r="C6240" t="s">
        <v>17</v>
      </c>
      <c r="D6240" t="s">
        <v>18</v>
      </c>
      <c r="E6240">
        <v>0</v>
      </c>
    </row>
    <row r="6241" spans="3:5">
      <c r="C6241" t="s">
        <v>17</v>
      </c>
      <c r="D6241" t="s">
        <v>18</v>
      </c>
      <c r="E6241">
        <v>0</v>
      </c>
    </row>
    <row r="6242" spans="3:5">
      <c r="C6242" t="s">
        <v>17</v>
      </c>
      <c r="D6242" t="s">
        <v>18</v>
      </c>
      <c r="E6242">
        <v>0</v>
      </c>
    </row>
    <row r="6243" spans="3:5">
      <c r="C6243" t="s">
        <v>15</v>
      </c>
      <c r="D6243" t="s">
        <v>16</v>
      </c>
      <c r="E6243">
        <v>0</v>
      </c>
    </row>
    <row r="6244" spans="3:5">
      <c r="C6244" t="s">
        <v>15</v>
      </c>
      <c r="D6244" t="s">
        <v>16</v>
      </c>
      <c r="E6244">
        <v>0</v>
      </c>
    </row>
    <row r="6245" spans="3:5">
      <c r="C6245" t="s">
        <v>15</v>
      </c>
      <c r="D6245" t="s">
        <v>16</v>
      </c>
      <c r="E6245">
        <v>0</v>
      </c>
    </row>
    <row r="6246" spans="3:5">
      <c r="C6246" t="s">
        <v>15</v>
      </c>
      <c r="D6246" t="s">
        <v>16</v>
      </c>
      <c r="E6246">
        <v>0</v>
      </c>
    </row>
    <row r="6247" spans="3:5">
      <c r="C6247" t="s">
        <v>17</v>
      </c>
      <c r="D6247" t="s">
        <v>18</v>
      </c>
      <c r="E6247">
        <v>0</v>
      </c>
    </row>
    <row r="6248" spans="3:5">
      <c r="C6248" t="s">
        <v>15</v>
      </c>
      <c r="D6248" t="s">
        <v>16</v>
      </c>
      <c r="E6248">
        <v>0</v>
      </c>
    </row>
    <row r="6249" spans="3:5">
      <c r="C6249" t="s">
        <v>15</v>
      </c>
      <c r="D6249" t="s">
        <v>16</v>
      </c>
      <c r="E6249">
        <v>0</v>
      </c>
    </row>
    <row r="6250" spans="3:5">
      <c r="C6250" t="s">
        <v>15</v>
      </c>
      <c r="D6250" t="s">
        <v>16</v>
      </c>
      <c r="E6250">
        <v>0</v>
      </c>
    </row>
    <row r="6251" spans="3:5">
      <c r="C6251" t="s">
        <v>15</v>
      </c>
      <c r="D6251" t="s">
        <v>16</v>
      </c>
      <c r="E6251">
        <v>0</v>
      </c>
    </row>
    <row r="6252" spans="3:5">
      <c r="C6252" t="s">
        <v>17</v>
      </c>
      <c r="D6252" t="s">
        <v>18</v>
      </c>
      <c r="E6252">
        <v>0</v>
      </c>
    </row>
    <row r="6253" spans="3:5">
      <c r="C6253" t="s">
        <v>15</v>
      </c>
      <c r="D6253" t="s">
        <v>16</v>
      </c>
      <c r="E6253">
        <v>0</v>
      </c>
    </row>
    <row r="6254" spans="3:5">
      <c r="C6254" t="s">
        <v>15</v>
      </c>
      <c r="D6254" t="s">
        <v>16</v>
      </c>
      <c r="E6254">
        <v>0</v>
      </c>
    </row>
    <row r="6255" spans="3:5">
      <c r="C6255" t="s">
        <v>17</v>
      </c>
      <c r="D6255" t="s">
        <v>18</v>
      </c>
      <c r="E6255">
        <v>0</v>
      </c>
    </row>
    <row r="6256" spans="3:5">
      <c r="C6256" t="s">
        <v>15</v>
      </c>
      <c r="D6256" t="s">
        <v>16</v>
      </c>
      <c r="E6256">
        <v>0</v>
      </c>
    </row>
    <row r="6257" spans="3:5">
      <c r="C6257" t="s">
        <v>15</v>
      </c>
      <c r="D6257" t="s">
        <v>16</v>
      </c>
      <c r="E6257">
        <v>0</v>
      </c>
    </row>
    <row r="6258" spans="3:5">
      <c r="C6258" t="s">
        <v>15</v>
      </c>
      <c r="D6258" t="s">
        <v>16</v>
      </c>
      <c r="E6258">
        <v>1</v>
      </c>
    </row>
    <row r="6259" spans="3:5">
      <c r="C6259" t="s">
        <v>15</v>
      </c>
      <c r="D6259" t="s">
        <v>16</v>
      </c>
      <c r="E6259">
        <v>0</v>
      </c>
    </row>
    <row r="6260" spans="3:5">
      <c r="C6260" t="s">
        <v>17</v>
      </c>
      <c r="D6260" t="s">
        <v>18</v>
      </c>
      <c r="E6260">
        <v>0</v>
      </c>
    </row>
    <row r="6261" spans="3:5">
      <c r="C6261" t="s">
        <v>17</v>
      </c>
      <c r="D6261" t="s">
        <v>18</v>
      </c>
      <c r="E6261">
        <v>0</v>
      </c>
    </row>
    <row r="6262" spans="3:5">
      <c r="C6262" t="s">
        <v>15</v>
      </c>
      <c r="D6262" t="s">
        <v>16</v>
      </c>
      <c r="E6262">
        <v>0</v>
      </c>
    </row>
    <row r="6263" spans="3:5">
      <c r="C6263" t="s">
        <v>17</v>
      </c>
      <c r="D6263" t="s">
        <v>18</v>
      </c>
      <c r="E6263">
        <v>0</v>
      </c>
    </row>
    <row r="6264" spans="3:5">
      <c r="C6264" t="s">
        <v>15</v>
      </c>
      <c r="D6264" t="s">
        <v>16</v>
      </c>
      <c r="E6264">
        <v>0</v>
      </c>
    </row>
    <row r="6265" spans="3:5">
      <c r="C6265" t="s">
        <v>15</v>
      </c>
      <c r="D6265" t="s">
        <v>16</v>
      </c>
      <c r="E6265">
        <v>0</v>
      </c>
    </row>
    <row r="6266" spans="3:5">
      <c r="C6266" t="s">
        <v>17</v>
      </c>
      <c r="D6266" t="s">
        <v>18</v>
      </c>
      <c r="E6266">
        <v>0</v>
      </c>
    </row>
    <row r="6267" spans="3:5">
      <c r="C6267" t="s">
        <v>17</v>
      </c>
      <c r="D6267" t="s">
        <v>18</v>
      </c>
      <c r="E6267">
        <v>0</v>
      </c>
    </row>
    <row r="6268" spans="3:5">
      <c r="C6268" t="s">
        <v>15</v>
      </c>
      <c r="D6268" t="s">
        <v>16</v>
      </c>
      <c r="E6268">
        <v>0</v>
      </c>
    </row>
    <row r="6269" spans="3:5">
      <c r="C6269" t="s">
        <v>15</v>
      </c>
      <c r="D6269" t="s">
        <v>16</v>
      </c>
      <c r="E6269">
        <v>0</v>
      </c>
    </row>
    <row r="6270" spans="3:5">
      <c r="C6270" t="s">
        <v>17</v>
      </c>
      <c r="D6270" t="s">
        <v>18</v>
      </c>
      <c r="E6270">
        <v>0</v>
      </c>
    </row>
    <row r="6271" spans="3:5">
      <c r="C6271" t="s">
        <v>17</v>
      </c>
      <c r="D6271" t="s">
        <v>18</v>
      </c>
      <c r="E6271">
        <v>0</v>
      </c>
    </row>
    <row r="6272" spans="3:5">
      <c r="C6272" t="s">
        <v>15</v>
      </c>
      <c r="D6272" t="s">
        <v>16</v>
      </c>
      <c r="E6272">
        <v>0</v>
      </c>
    </row>
    <row r="6273" spans="3:5">
      <c r="C6273" t="s">
        <v>15</v>
      </c>
      <c r="D6273" t="s">
        <v>16</v>
      </c>
      <c r="E6273">
        <v>0</v>
      </c>
    </row>
    <row r="6274" spans="3:5">
      <c r="C6274" t="s">
        <v>15</v>
      </c>
      <c r="D6274" t="s">
        <v>16</v>
      </c>
      <c r="E6274">
        <v>0</v>
      </c>
    </row>
    <row r="6275" spans="3:5">
      <c r="C6275" t="s">
        <v>17</v>
      </c>
      <c r="D6275" t="s">
        <v>18</v>
      </c>
      <c r="E6275">
        <v>0</v>
      </c>
    </row>
    <row r="6276" spans="3:5">
      <c r="C6276" t="s">
        <v>17</v>
      </c>
      <c r="D6276" t="s">
        <v>18</v>
      </c>
      <c r="E6276">
        <v>0</v>
      </c>
    </row>
    <row r="6277" spans="3:5">
      <c r="C6277" t="s">
        <v>17</v>
      </c>
      <c r="D6277" t="s">
        <v>18</v>
      </c>
      <c r="E6277">
        <v>0</v>
      </c>
    </row>
    <row r="6278" spans="3:5">
      <c r="C6278" t="s">
        <v>17</v>
      </c>
      <c r="D6278" t="s">
        <v>18</v>
      </c>
      <c r="E6278">
        <v>0</v>
      </c>
    </row>
    <row r="6279" spans="3:5">
      <c r="C6279" t="s">
        <v>17</v>
      </c>
      <c r="D6279" t="s">
        <v>18</v>
      </c>
      <c r="E6279">
        <v>0</v>
      </c>
    </row>
    <row r="6280" spans="3:5">
      <c r="C6280" t="s">
        <v>15</v>
      </c>
      <c r="D6280" t="s">
        <v>16</v>
      </c>
      <c r="E6280">
        <v>0</v>
      </c>
    </row>
    <row r="6281" spans="3:5">
      <c r="C6281" t="s">
        <v>17</v>
      </c>
      <c r="D6281" t="s">
        <v>18</v>
      </c>
      <c r="E6281">
        <v>0</v>
      </c>
    </row>
    <row r="6282" spans="3:5">
      <c r="C6282" t="s">
        <v>15</v>
      </c>
      <c r="D6282" t="s">
        <v>16</v>
      </c>
      <c r="E6282">
        <v>0</v>
      </c>
    </row>
    <row r="6283" spans="3:5">
      <c r="C6283" t="s">
        <v>15</v>
      </c>
      <c r="D6283" t="s">
        <v>16</v>
      </c>
      <c r="E6283">
        <v>0</v>
      </c>
    </row>
    <row r="6284" spans="3:5">
      <c r="C6284" t="s">
        <v>17</v>
      </c>
      <c r="D6284" t="s">
        <v>18</v>
      </c>
      <c r="E6284">
        <v>0</v>
      </c>
    </row>
    <row r="6285" spans="3:5">
      <c r="C6285" t="s">
        <v>15</v>
      </c>
      <c r="D6285" t="s">
        <v>16</v>
      </c>
      <c r="E6285">
        <v>0</v>
      </c>
    </row>
    <row r="6286" spans="3:5">
      <c r="C6286" t="s">
        <v>15</v>
      </c>
      <c r="D6286" t="s">
        <v>16</v>
      </c>
      <c r="E6286">
        <v>0</v>
      </c>
    </row>
    <row r="6287" spans="3:5">
      <c r="C6287" t="s">
        <v>17</v>
      </c>
      <c r="D6287" t="s">
        <v>18</v>
      </c>
      <c r="E6287">
        <v>0</v>
      </c>
    </row>
    <row r="6288" spans="3:5">
      <c r="C6288" t="s">
        <v>17</v>
      </c>
      <c r="D6288" t="s">
        <v>18</v>
      </c>
      <c r="E6288">
        <v>0</v>
      </c>
    </row>
    <row r="6289" spans="3:5">
      <c r="C6289" t="s">
        <v>15</v>
      </c>
      <c r="D6289" t="s">
        <v>16</v>
      </c>
      <c r="E6289">
        <v>0</v>
      </c>
    </row>
    <row r="6290" spans="3:5">
      <c r="C6290" t="s">
        <v>15</v>
      </c>
      <c r="D6290" t="s">
        <v>16</v>
      </c>
      <c r="E6290">
        <v>0</v>
      </c>
    </row>
    <row r="6291" spans="3:5">
      <c r="C6291" t="s">
        <v>15</v>
      </c>
      <c r="D6291" t="s">
        <v>16</v>
      </c>
      <c r="E6291">
        <v>0</v>
      </c>
    </row>
    <row r="6292" spans="3:5">
      <c r="C6292" t="s">
        <v>17</v>
      </c>
      <c r="D6292" t="s">
        <v>18</v>
      </c>
      <c r="E6292">
        <v>0</v>
      </c>
    </row>
    <row r="6293" spans="3:5">
      <c r="C6293" t="s">
        <v>15</v>
      </c>
      <c r="D6293" t="s">
        <v>16</v>
      </c>
      <c r="E6293">
        <v>0</v>
      </c>
    </row>
    <row r="6294" spans="3:5">
      <c r="C6294" t="s">
        <v>17</v>
      </c>
      <c r="D6294" t="s">
        <v>18</v>
      </c>
      <c r="E6294">
        <v>0</v>
      </c>
    </row>
    <row r="6295" spans="3:5">
      <c r="C6295" t="s">
        <v>17</v>
      </c>
      <c r="D6295" t="s">
        <v>18</v>
      </c>
      <c r="E6295">
        <v>0</v>
      </c>
    </row>
    <row r="6296" spans="3:5">
      <c r="C6296" t="s">
        <v>15</v>
      </c>
      <c r="D6296" t="s">
        <v>16</v>
      </c>
      <c r="E6296">
        <v>0</v>
      </c>
    </row>
    <row r="6297" spans="3:5">
      <c r="C6297" t="s">
        <v>15</v>
      </c>
      <c r="D6297" t="s">
        <v>16</v>
      </c>
      <c r="E6297">
        <v>0</v>
      </c>
    </row>
    <row r="6298" spans="3:5">
      <c r="C6298" t="s">
        <v>15</v>
      </c>
      <c r="D6298" t="s">
        <v>16</v>
      </c>
      <c r="E6298">
        <v>0</v>
      </c>
    </row>
    <row r="6299" spans="3:5">
      <c r="C6299" t="s">
        <v>15</v>
      </c>
      <c r="D6299" t="s">
        <v>16</v>
      </c>
      <c r="E6299">
        <v>0</v>
      </c>
    </row>
    <row r="6300" spans="3:5">
      <c r="C6300" t="s">
        <v>17</v>
      </c>
      <c r="D6300" t="s">
        <v>18</v>
      </c>
      <c r="E6300">
        <v>0</v>
      </c>
    </row>
    <row r="6301" spans="3:5">
      <c r="C6301" t="s">
        <v>15</v>
      </c>
      <c r="D6301" t="s">
        <v>16</v>
      </c>
      <c r="E6301">
        <v>0</v>
      </c>
    </row>
    <row r="6302" spans="3:5">
      <c r="C6302" t="s">
        <v>15</v>
      </c>
      <c r="D6302" t="s">
        <v>16</v>
      </c>
      <c r="E6302">
        <v>0</v>
      </c>
    </row>
    <row r="6303" spans="3:5">
      <c r="C6303" t="s">
        <v>15</v>
      </c>
      <c r="D6303" t="s">
        <v>16</v>
      </c>
      <c r="E6303">
        <v>0</v>
      </c>
    </row>
    <row r="6304" spans="3:5">
      <c r="C6304" t="s">
        <v>17</v>
      </c>
      <c r="D6304" t="s">
        <v>18</v>
      </c>
      <c r="E6304">
        <v>0</v>
      </c>
    </row>
    <row r="6305" spans="3:5">
      <c r="C6305" t="s">
        <v>17</v>
      </c>
      <c r="D6305" t="s">
        <v>18</v>
      </c>
      <c r="E6305">
        <v>0</v>
      </c>
    </row>
    <row r="6306" spans="3:5">
      <c r="C6306" t="s">
        <v>15</v>
      </c>
      <c r="D6306" t="s">
        <v>16</v>
      </c>
      <c r="E6306">
        <v>0</v>
      </c>
    </row>
    <row r="6307" spans="3:5">
      <c r="C6307" t="s">
        <v>15</v>
      </c>
      <c r="D6307" t="s">
        <v>16</v>
      </c>
      <c r="E6307">
        <v>0</v>
      </c>
    </row>
    <row r="6308" spans="3:5">
      <c r="C6308" t="s">
        <v>15</v>
      </c>
      <c r="D6308" t="s">
        <v>16</v>
      </c>
      <c r="E6308">
        <v>0</v>
      </c>
    </row>
    <row r="6309" spans="3:5">
      <c r="C6309" t="s">
        <v>17</v>
      </c>
      <c r="D6309" t="s">
        <v>18</v>
      </c>
      <c r="E6309">
        <v>0</v>
      </c>
    </row>
    <row r="6310" spans="3:5">
      <c r="C6310" t="s">
        <v>17</v>
      </c>
      <c r="D6310" t="s">
        <v>18</v>
      </c>
      <c r="E6310">
        <v>0</v>
      </c>
    </row>
    <row r="6311" spans="3:5">
      <c r="C6311" t="s">
        <v>17</v>
      </c>
      <c r="D6311" t="s">
        <v>18</v>
      </c>
      <c r="E6311">
        <v>0</v>
      </c>
    </row>
    <row r="6312" spans="3:5">
      <c r="C6312" t="s">
        <v>17</v>
      </c>
      <c r="D6312" t="s">
        <v>18</v>
      </c>
      <c r="E6312">
        <v>0</v>
      </c>
    </row>
    <row r="6313" spans="3:5">
      <c r="C6313" t="s">
        <v>15</v>
      </c>
      <c r="D6313" t="s">
        <v>16</v>
      </c>
      <c r="E6313">
        <v>0</v>
      </c>
    </row>
    <row r="6314" spans="3:5">
      <c r="C6314" t="s">
        <v>17</v>
      </c>
      <c r="D6314" t="s">
        <v>18</v>
      </c>
      <c r="E6314">
        <v>0</v>
      </c>
    </row>
    <row r="6315" spans="3:5">
      <c r="C6315" t="s">
        <v>15</v>
      </c>
      <c r="D6315" t="s">
        <v>16</v>
      </c>
      <c r="E6315">
        <v>0</v>
      </c>
    </row>
    <row r="6316" spans="3:5">
      <c r="C6316" t="s">
        <v>15</v>
      </c>
      <c r="D6316" t="s">
        <v>16</v>
      </c>
      <c r="E6316">
        <v>0</v>
      </c>
    </row>
    <row r="6317" spans="3:5">
      <c r="C6317" t="s">
        <v>17</v>
      </c>
      <c r="D6317" t="s">
        <v>18</v>
      </c>
      <c r="E6317">
        <v>0</v>
      </c>
    </row>
    <row r="6318" spans="3:5">
      <c r="C6318" t="s">
        <v>15</v>
      </c>
      <c r="D6318" t="s">
        <v>16</v>
      </c>
      <c r="E6318">
        <v>0</v>
      </c>
    </row>
    <row r="6319" spans="3:5">
      <c r="C6319" t="s">
        <v>15</v>
      </c>
      <c r="D6319" t="s">
        <v>16</v>
      </c>
      <c r="E6319">
        <v>0</v>
      </c>
    </row>
    <row r="6320" spans="3:5">
      <c r="C6320" t="s">
        <v>17</v>
      </c>
      <c r="D6320" t="s">
        <v>18</v>
      </c>
      <c r="E6320">
        <v>0</v>
      </c>
    </row>
    <row r="6321" spans="3:5">
      <c r="C6321" t="s">
        <v>17</v>
      </c>
      <c r="D6321" t="s">
        <v>18</v>
      </c>
      <c r="E6321">
        <v>0</v>
      </c>
    </row>
    <row r="6322" spans="3:5">
      <c r="C6322" t="s">
        <v>17</v>
      </c>
      <c r="D6322" t="s">
        <v>18</v>
      </c>
      <c r="E6322">
        <v>0</v>
      </c>
    </row>
    <row r="6323" spans="3:5">
      <c r="C6323" t="s">
        <v>15</v>
      </c>
      <c r="D6323" t="s">
        <v>16</v>
      </c>
      <c r="E6323">
        <v>0</v>
      </c>
    </row>
    <row r="6324" spans="3:5">
      <c r="C6324" t="s">
        <v>17</v>
      </c>
      <c r="D6324" t="s">
        <v>18</v>
      </c>
      <c r="E6324">
        <v>0</v>
      </c>
    </row>
    <row r="6325" spans="3:5">
      <c r="C6325" t="s">
        <v>17</v>
      </c>
      <c r="D6325" t="s">
        <v>18</v>
      </c>
      <c r="E6325">
        <v>0</v>
      </c>
    </row>
    <row r="6326" spans="3:5">
      <c r="C6326" t="s">
        <v>15</v>
      </c>
      <c r="D6326" t="s">
        <v>16</v>
      </c>
      <c r="E6326">
        <v>0</v>
      </c>
    </row>
    <row r="6327" spans="3:5">
      <c r="C6327" t="s">
        <v>17</v>
      </c>
      <c r="D6327" t="s">
        <v>18</v>
      </c>
      <c r="E6327">
        <v>0</v>
      </c>
    </row>
    <row r="6328" spans="3:5">
      <c r="C6328" t="s">
        <v>17</v>
      </c>
      <c r="D6328" t="s">
        <v>18</v>
      </c>
      <c r="E6328">
        <v>0</v>
      </c>
    </row>
    <row r="6329" spans="3:5">
      <c r="C6329" t="s">
        <v>17</v>
      </c>
      <c r="D6329" t="s">
        <v>18</v>
      </c>
      <c r="E6329">
        <v>0</v>
      </c>
    </row>
    <row r="6330" spans="3:5">
      <c r="C6330" t="s">
        <v>17</v>
      </c>
      <c r="D6330" t="s">
        <v>18</v>
      </c>
      <c r="E6330">
        <v>0</v>
      </c>
    </row>
    <row r="6331" spans="3:5">
      <c r="C6331" t="s">
        <v>17</v>
      </c>
      <c r="D6331" t="s">
        <v>18</v>
      </c>
      <c r="E6331">
        <v>0</v>
      </c>
    </row>
    <row r="6332" spans="3:5">
      <c r="C6332" t="s">
        <v>17</v>
      </c>
      <c r="D6332" t="s">
        <v>18</v>
      </c>
      <c r="E6332">
        <v>0</v>
      </c>
    </row>
    <row r="6333" spans="3:5">
      <c r="C6333" t="s">
        <v>17</v>
      </c>
      <c r="D6333" t="s">
        <v>18</v>
      </c>
      <c r="E6333">
        <v>0</v>
      </c>
    </row>
    <row r="6334" spans="3:5">
      <c r="C6334" t="s">
        <v>15</v>
      </c>
      <c r="D6334" t="s">
        <v>16</v>
      </c>
      <c r="E6334">
        <v>0</v>
      </c>
    </row>
    <row r="6335" spans="3:5">
      <c r="C6335" t="s">
        <v>17</v>
      </c>
      <c r="D6335" t="s">
        <v>18</v>
      </c>
      <c r="E6335">
        <v>0</v>
      </c>
    </row>
    <row r="6336" spans="3:5">
      <c r="C6336" t="s">
        <v>17</v>
      </c>
      <c r="D6336" t="s">
        <v>18</v>
      </c>
      <c r="E6336">
        <v>0</v>
      </c>
    </row>
    <row r="6337" spans="3:5">
      <c r="C6337" t="s">
        <v>17</v>
      </c>
      <c r="D6337" t="s">
        <v>18</v>
      </c>
      <c r="E6337">
        <v>0</v>
      </c>
    </row>
    <row r="6338" spans="3:5">
      <c r="C6338" t="s">
        <v>15</v>
      </c>
      <c r="D6338" t="s">
        <v>16</v>
      </c>
      <c r="E6338">
        <v>0</v>
      </c>
    </row>
    <row r="6339" spans="3:5">
      <c r="C6339" t="s">
        <v>17</v>
      </c>
      <c r="D6339" t="s">
        <v>18</v>
      </c>
      <c r="E6339">
        <v>0</v>
      </c>
    </row>
    <row r="6340" spans="3:5">
      <c r="C6340" t="s">
        <v>17</v>
      </c>
      <c r="D6340" t="s">
        <v>18</v>
      </c>
      <c r="E6340">
        <v>0</v>
      </c>
    </row>
    <row r="6341" spans="3:5">
      <c r="C6341" t="s">
        <v>17</v>
      </c>
      <c r="D6341" t="s">
        <v>18</v>
      </c>
      <c r="E6341">
        <v>0</v>
      </c>
    </row>
    <row r="6342" spans="3:5">
      <c r="C6342" t="s">
        <v>17</v>
      </c>
      <c r="D6342" t="s">
        <v>18</v>
      </c>
      <c r="E6342">
        <v>0</v>
      </c>
    </row>
    <row r="6343" spans="3:5">
      <c r="C6343" t="s">
        <v>17</v>
      </c>
      <c r="D6343" t="s">
        <v>18</v>
      </c>
      <c r="E6343">
        <v>0</v>
      </c>
    </row>
    <row r="6344" spans="3:5">
      <c r="C6344" t="s">
        <v>15</v>
      </c>
      <c r="D6344" t="s">
        <v>16</v>
      </c>
      <c r="E6344">
        <v>0</v>
      </c>
    </row>
    <row r="6345" spans="3:5">
      <c r="C6345" t="s">
        <v>15</v>
      </c>
      <c r="D6345" t="s">
        <v>16</v>
      </c>
      <c r="E6345">
        <v>0</v>
      </c>
    </row>
    <row r="6346" spans="3:5">
      <c r="C6346" t="s">
        <v>15</v>
      </c>
      <c r="D6346" t="s">
        <v>16</v>
      </c>
      <c r="E6346">
        <v>0</v>
      </c>
    </row>
    <row r="6347" spans="3:5">
      <c r="C6347" t="s">
        <v>17</v>
      </c>
      <c r="D6347" t="s">
        <v>18</v>
      </c>
      <c r="E6347">
        <v>0</v>
      </c>
    </row>
    <row r="6348" spans="3:5">
      <c r="C6348" t="s">
        <v>15</v>
      </c>
      <c r="D6348" t="s">
        <v>16</v>
      </c>
      <c r="E6348">
        <v>0</v>
      </c>
    </row>
    <row r="6349" spans="3:5">
      <c r="C6349" t="s">
        <v>17</v>
      </c>
      <c r="D6349" t="s">
        <v>18</v>
      </c>
      <c r="E6349">
        <v>0</v>
      </c>
    </row>
    <row r="6350" spans="3:5">
      <c r="C6350" t="s">
        <v>17</v>
      </c>
      <c r="D6350" t="s">
        <v>18</v>
      </c>
      <c r="E6350">
        <v>0</v>
      </c>
    </row>
    <row r="6351" spans="3:5">
      <c r="C6351" t="s">
        <v>17</v>
      </c>
      <c r="D6351" t="s">
        <v>18</v>
      </c>
      <c r="E6351">
        <v>0</v>
      </c>
    </row>
    <row r="6352" spans="3:5">
      <c r="C6352" t="s">
        <v>15</v>
      </c>
      <c r="D6352" t="s">
        <v>16</v>
      </c>
      <c r="E6352">
        <v>0</v>
      </c>
    </row>
    <row r="6353" spans="3:5">
      <c r="C6353" t="s">
        <v>17</v>
      </c>
      <c r="D6353" t="s">
        <v>18</v>
      </c>
      <c r="E6353">
        <v>0</v>
      </c>
    </row>
    <row r="6354" spans="3:5">
      <c r="C6354" t="s">
        <v>15</v>
      </c>
      <c r="D6354" t="s">
        <v>16</v>
      </c>
      <c r="E6354">
        <v>0</v>
      </c>
    </row>
    <row r="6355" spans="3:5">
      <c r="C6355" t="s">
        <v>15</v>
      </c>
      <c r="D6355" t="s">
        <v>16</v>
      </c>
      <c r="E6355">
        <v>0</v>
      </c>
    </row>
    <row r="6356" spans="3:5">
      <c r="C6356" t="s">
        <v>17</v>
      </c>
      <c r="D6356" t="s">
        <v>18</v>
      </c>
      <c r="E6356">
        <v>0</v>
      </c>
    </row>
    <row r="6357" spans="3:5">
      <c r="C6357" t="s">
        <v>17</v>
      </c>
      <c r="D6357" t="s">
        <v>18</v>
      </c>
      <c r="E6357">
        <v>0</v>
      </c>
    </row>
    <row r="6358" spans="3:5">
      <c r="C6358" t="s">
        <v>15</v>
      </c>
      <c r="D6358" t="s">
        <v>16</v>
      </c>
      <c r="E6358">
        <v>0</v>
      </c>
    </row>
    <row r="6359" spans="3:5">
      <c r="C6359" t="s">
        <v>17</v>
      </c>
      <c r="D6359" t="s">
        <v>18</v>
      </c>
      <c r="E6359">
        <v>0</v>
      </c>
    </row>
    <row r="6360" spans="3:5">
      <c r="C6360" t="s">
        <v>17</v>
      </c>
      <c r="D6360" t="s">
        <v>18</v>
      </c>
      <c r="E6360">
        <v>0</v>
      </c>
    </row>
    <row r="6361" spans="3:5">
      <c r="C6361" t="s">
        <v>17</v>
      </c>
      <c r="D6361" t="s">
        <v>18</v>
      </c>
      <c r="E6361">
        <v>0</v>
      </c>
    </row>
    <row r="6362" spans="3:5">
      <c r="C6362" t="s">
        <v>15</v>
      </c>
      <c r="D6362" t="s">
        <v>16</v>
      </c>
      <c r="E6362">
        <v>0</v>
      </c>
    </row>
    <row r="6363" spans="3:5">
      <c r="C6363" t="s">
        <v>17</v>
      </c>
      <c r="D6363" t="s">
        <v>18</v>
      </c>
      <c r="E6363">
        <v>0</v>
      </c>
    </row>
    <row r="6364" spans="3:5">
      <c r="C6364" t="s">
        <v>15</v>
      </c>
      <c r="D6364" t="s">
        <v>16</v>
      </c>
      <c r="E6364">
        <v>0</v>
      </c>
    </row>
    <row r="6365" spans="3:5">
      <c r="C6365" t="s">
        <v>17</v>
      </c>
      <c r="D6365" t="s">
        <v>18</v>
      </c>
      <c r="E6365">
        <v>0</v>
      </c>
    </row>
    <row r="6366" spans="3:5">
      <c r="C6366" t="s">
        <v>17</v>
      </c>
      <c r="D6366" t="s">
        <v>18</v>
      </c>
      <c r="E6366">
        <v>0</v>
      </c>
    </row>
    <row r="6367" spans="3:5">
      <c r="C6367" t="s">
        <v>17</v>
      </c>
      <c r="D6367" t="s">
        <v>18</v>
      </c>
      <c r="E6367">
        <v>0</v>
      </c>
    </row>
    <row r="6368" spans="3:5">
      <c r="C6368" t="s">
        <v>17</v>
      </c>
      <c r="D6368" t="s">
        <v>18</v>
      </c>
      <c r="E6368">
        <v>0</v>
      </c>
    </row>
    <row r="6369" spans="3:5">
      <c r="C6369" t="s">
        <v>17</v>
      </c>
      <c r="D6369" t="s">
        <v>18</v>
      </c>
      <c r="E6369">
        <v>0</v>
      </c>
    </row>
    <row r="6370" spans="3:5">
      <c r="C6370" t="s">
        <v>17</v>
      </c>
      <c r="D6370" t="s">
        <v>18</v>
      </c>
      <c r="E6370">
        <v>0</v>
      </c>
    </row>
    <row r="6371" spans="3:5">
      <c r="C6371" t="s">
        <v>15</v>
      </c>
      <c r="D6371" t="s">
        <v>16</v>
      </c>
      <c r="E6371">
        <v>0</v>
      </c>
    </row>
    <row r="6372" spans="3:5">
      <c r="C6372" t="s">
        <v>15</v>
      </c>
      <c r="D6372" t="s">
        <v>16</v>
      </c>
      <c r="E6372">
        <v>0</v>
      </c>
    </row>
    <row r="6373" spans="3:5">
      <c r="C6373" t="s">
        <v>15</v>
      </c>
      <c r="D6373" t="s">
        <v>16</v>
      </c>
      <c r="E6373">
        <v>0</v>
      </c>
    </row>
    <row r="6374" spans="3:5">
      <c r="C6374" t="s">
        <v>17</v>
      </c>
      <c r="D6374" t="s">
        <v>18</v>
      </c>
      <c r="E6374">
        <v>0</v>
      </c>
    </row>
    <row r="6375" spans="3:5">
      <c r="C6375" t="s">
        <v>15</v>
      </c>
      <c r="D6375" t="s">
        <v>16</v>
      </c>
      <c r="E6375">
        <v>0</v>
      </c>
    </row>
    <row r="6376" spans="3:5">
      <c r="C6376" t="s">
        <v>15</v>
      </c>
      <c r="D6376" t="s">
        <v>16</v>
      </c>
      <c r="E6376">
        <v>0</v>
      </c>
    </row>
    <row r="6377" spans="3:5">
      <c r="C6377" t="s">
        <v>15</v>
      </c>
      <c r="D6377" t="s">
        <v>16</v>
      </c>
      <c r="E6377">
        <v>0</v>
      </c>
    </row>
    <row r="6378" spans="3:5">
      <c r="C6378" t="s">
        <v>15</v>
      </c>
      <c r="D6378" t="s">
        <v>16</v>
      </c>
      <c r="E6378">
        <v>0</v>
      </c>
    </row>
    <row r="6379" spans="3:5">
      <c r="C6379" t="s">
        <v>17</v>
      </c>
      <c r="D6379" t="s">
        <v>18</v>
      </c>
      <c r="E6379">
        <v>0</v>
      </c>
    </row>
    <row r="6380" spans="3:5">
      <c r="C6380" t="s">
        <v>17</v>
      </c>
      <c r="D6380" t="s">
        <v>18</v>
      </c>
      <c r="E6380">
        <v>0</v>
      </c>
    </row>
    <row r="6381" spans="3:5">
      <c r="C6381" t="s">
        <v>17</v>
      </c>
      <c r="D6381" t="s">
        <v>18</v>
      </c>
      <c r="E6381">
        <v>1</v>
      </c>
    </row>
    <row r="6382" spans="3:5">
      <c r="C6382" t="s">
        <v>15</v>
      </c>
      <c r="D6382" t="s">
        <v>16</v>
      </c>
      <c r="E6382">
        <v>0</v>
      </c>
    </row>
    <row r="6383" spans="3:5">
      <c r="C6383" t="s">
        <v>17</v>
      </c>
      <c r="D6383" t="s">
        <v>18</v>
      </c>
      <c r="E6383">
        <v>0</v>
      </c>
    </row>
    <row r="6384" spans="3:5">
      <c r="C6384" t="s">
        <v>17</v>
      </c>
      <c r="D6384" t="s">
        <v>18</v>
      </c>
      <c r="E6384">
        <v>0</v>
      </c>
    </row>
    <row r="6385" spans="3:5">
      <c r="C6385" t="s">
        <v>17</v>
      </c>
      <c r="D6385" t="s">
        <v>18</v>
      </c>
      <c r="E6385">
        <v>0</v>
      </c>
    </row>
    <row r="6386" spans="3:5">
      <c r="C6386" t="s">
        <v>15</v>
      </c>
      <c r="D6386" t="s">
        <v>16</v>
      </c>
      <c r="E6386">
        <v>0</v>
      </c>
    </row>
    <row r="6387" spans="3:5">
      <c r="C6387" t="s">
        <v>17</v>
      </c>
      <c r="D6387" t="s">
        <v>18</v>
      </c>
      <c r="E6387">
        <v>0</v>
      </c>
    </row>
    <row r="6388" spans="3:5">
      <c r="C6388" t="s">
        <v>15</v>
      </c>
      <c r="D6388" t="s">
        <v>16</v>
      </c>
      <c r="E6388">
        <v>0</v>
      </c>
    </row>
    <row r="6389" spans="3:5">
      <c r="C6389" t="s">
        <v>17</v>
      </c>
      <c r="D6389" t="s">
        <v>18</v>
      </c>
      <c r="E6389">
        <v>0</v>
      </c>
    </row>
    <row r="6390" spans="3:5">
      <c r="C6390" t="s">
        <v>15</v>
      </c>
      <c r="D6390" t="s">
        <v>16</v>
      </c>
      <c r="E6390">
        <v>0</v>
      </c>
    </row>
    <row r="6391" spans="3:5">
      <c r="C6391" t="s">
        <v>15</v>
      </c>
      <c r="D6391" t="s">
        <v>16</v>
      </c>
      <c r="E6391">
        <v>0</v>
      </c>
    </row>
    <row r="6392" spans="3:5">
      <c r="C6392" t="s">
        <v>15</v>
      </c>
      <c r="D6392" t="s">
        <v>16</v>
      </c>
      <c r="E6392">
        <v>0</v>
      </c>
    </row>
    <row r="6393" spans="3:5">
      <c r="C6393" t="s">
        <v>15</v>
      </c>
      <c r="D6393" t="s">
        <v>16</v>
      </c>
      <c r="E6393">
        <v>0</v>
      </c>
    </row>
    <row r="6394" spans="3:5">
      <c r="C6394" t="s">
        <v>15</v>
      </c>
      <c r="D6394" t="s">
        <v>16</v>
      </c>
      <c r="E6394">
        <v>0</v>
      </c>
    </row>
    <row r="6395" spans="3:5">
      <c r="C6395" t="s">
        <v>17</v>
      </c>
      <c r="D6395" t="s">
        <v>18</v>
      </c>
      <c r="E6395">
        <v>0</v>
      </c>
    </row>
    <row r="6396" spans="3:5">
      <c r="C6396" t="s">
        <v>15</v>
      </c>
      <c r="D6396" t="s">
        <v>16</v>
      </c>
      <c r="E6396">
        <v>0</v>
      </c>
    </row>
    <row r="6397" spans="3:5">
      <c r="C6397" t="s">
        <v>17</v>
      </c>
      <c r="D6397" t="s">
        <v>18</v>
      </c>
      <c r="E6397">
        <v>0</v>
      </c>
    </row>
    <row r="6398" spans="3:5">
      <c r="C6398" t="s">
        <v>17</v>
      </c>
      <c r="D6398" t="s">
        <v>18</v>
      </c>
      <c r="E6398">
        <v>0</v>
      </c>
    </row>
    <row r="6399" spans="3:5">
      <c r="C6399" t="s">
        <v>17</v>
      </c>
      <c r="D6399" t="s">
        <v>18</v>
      </c>
      <c r="E6399">
        <v>0</v>
      </c>
    </row>
    <row r="6400" spans="3:5">
      <c r="C6400" t="s">
        <v>15</v>
      </c>
      <c r="D6400" t="s">
        <v>16</v>
      </c>
      <c r="E6400">
        <v>0</v>
      </c>
    </row>
    <row r="6401" spans="3:5">
      <c r="C6401" t="s">
        <v>15</v>
      </c>
      <c r="D6401" t="s">
        <v>16</v>
      </c>
      <c r="E6401">
        <v>0</v>
      </c>
    </row>
    <row r="6402" spans="3:5">
      <c r="C6402" t="s">
        <v>15</v>
      </c>
      <c r="D6402" t="s">
        <v>16</v>
      </c>
      <c r="E6402">
        <v>0</v>
      </c>
    </row>
    <row r="6403" spans="3:5">
      <c r="C6403" t="s">
        <v>15</v>
      </c>
      <c r="D6403" t="s">
        <v>16</v>
      </c>
      <c r="E6403">
        <v>0</v>
      </c>
    </row>
    <row r="6404" spans="3:5">
      <c r="C6404" t="s">
        <v>15</v>
      </c>
      <c r="D6404" t="s">
        <v>16</v>
      </c>
      <c r="E6404">
        <v>0</v>
      </c>
    </row>
    <row r="6405" spans="3:5">
      <c r="C6405" t="s">
        <v>15</v>
      </c>
      <c r="D6405" t="s">
        <v>16</v>
      </c>
      <c r="E6405">
        <v>0</v>
      </c>
    </row>
    <row r="6406" spans="3:5">
      <c r="C6406" t="s">
        <v>17</v>
      </c>
      <c r="D6406" t="s">
        <v>18</v>
      </c>
      <c r="E6406">
        <v>0</v>
      </c>
    </row>
    <row r="6407" spans="3:5">
      <c r="C6407" t="s">
        <v>17</v>
      </c>
      <c r="D6407" t="s">
        <v>18</v>
      </c>
      <c r="E6407">
        <v>0</v>
      </c>
    </row>
    <row r="6408" spans="3:5">
      <c r="C6408" t="s">
        <v>17</v>
      </c>
      <c r="D6408" t="s">
        <v>18</v>
      </c>
      <c r="E6408">
        <v>0</v>
      </c>
    </row>
    <row r="6409" spans="3:5">
      <c r="C6409" t="s">
        <v>17</v>
      </c>
      <c r="D6409" t="s">
        <v>18</v>
      </c>
      <c r="E6409">
        <v>0</v>
      </c>
    </row>
    <row r="6410" spans="3:5">
      <c r="C6410" t="s">
        <v>15</v>
      </c>
      <c r="D6410" t="s">
        <v>16</v>
      </c>
      <c r="E6410">
        <v>0</v>
      </c>
    </row>
    <row r="6411" spans="3:5">
      <c r="C6411" t="s">
        <v>17</v>
      </c>
      <c r="D6411" t="s">
        <v>18</v>
      </c>
      <c r="E6411">
        <v>0</v>
      </c>
    </row>
    <row r="6412" spans="3:5">
      <c r="C6412" t="s">
        <v>17</v>
      </c>
      <c r="D6412" t="s">
        <v>18</v>
      </c>
      <c r="E6412">
        <v>0</v>
      </c>
    </row>
    <row r="6413" spans="3:5">
      <c r="C6413" t="s">
        <v>15</v>
      </c>
      <c r="D6413" t="s">
        <v>16</v>
      </c>
      <c r="E6413">
        <v>0</v>
      </c>
    </row>
    <row r="6414" spans="3:5">
      <c r="C6414" t="s">
        <v>15</v>
      </c>
      <c r="D6414" t="s">
        <v>16</v>
      </c>
      <c r="E6414">
        <v>0</v>
      </c>
    </row>
    <row r="6415" spans="3:5">
      <c r="C6415" t="s">
        <v>17</v>
      </c>
      <c r="D6415" t="s">
        <v>18</v>
      </c>
      <c r="E6415">
        <v>0</v>
      </c>
    </row>
    <row r="6416" spans="3:5">
      <c r="C6416" t="s">
        <v>17</v>
      </c>
      <c r="D6416" t="s">
        <v>18</v>
      </c>
      <c r="E6416">
        <v>0</v>
      </c>
    </row>
    <row r="6417" spans="3:5">
      <c r="C6417" t="s">
        <v>17</v>
      </c>
      <c r="D6417" t="s">
        <v>18</v>
      </c>
      <c r="E6417">
        <v>0</v>
      </c>
    </row>
    <row r="6418" spans="3:5">
      <c r="C6418" t="s">
        <v>15</v>
      </c>
      <c r="D6418" t="s">
        <v>16</v>
      </c>
      <c r="E6418">
        <v>0</v>
      </c>
    </row>
    <row r="6419" spans="3:5">
      <c r="C6419" t="s">
        <v>15</v>
      </c>
      <c r="D6419" t="s">
        <v>16</v>
      </c>
      <c r="E6419">
        <v>0</v>
      </c>
    </row>
    <row r="6420" spans="3:5">
      <c r="C6420" t="s">
        <v>17</v>
      </c>
      <c r="D6420" t="s">
        <v>18</v>
      </c>
      <c r="E6420">
        <v>0</v>
      </c>
    </row>
    <row r="6421" spans="3:5">
      <c r="C6421" t="s">
        <v>17</v>
      </c>
      <c r="D6421" t="s">
        <v>18</v>
      </c>
      <c r="E6421">
        <v>0</v>
      </c>
    </row>
    <row r="6422" spans="3:5">
      <c r="C6422" t="s">
        <v>15</v>
      </c>
      <c r="D6422" t="s">
        <v>16</v>
      </c>
      <c r="E6422">
        <v>0</v>
      </c>
    </row>
    <row r="6423" spans="3:5">
      <c r="C6423" t="s">
        <v>15</v>
      </c>
      <c r="D6423" t="s">
        <v>16</v>
      </c>
      <c r="E6423">
        <v>0</v>
      </c>
    </row>
    <row r="6424" spans="3:5">
      <c r="C6424" t="s">
        <v>17</v>
      </c>
      <c r="D6424" t="s">
        <v>18</v>
      </c>
      <c r="E6424">
        <v>0</v>
      </c>
    </row>
    <row r="6425" spans="3:5">
      <c r="C6425" t="s">
        <v>15</v>
      </c>
      <c r="D6425" t="s">
        <v>16</v>
      </c>
      <c r="E6425">
        <v>1</v>
      </c>
    </row>
    <row r="6426" spans="3:5">
      <c r="C6426" t="s">
        <v>17</v>
      </c>
      <c r="D6426" t="s">
        <v>18</v>
      </c>
      <c r="E6426">
        <v>0</v>
      </c>
    </row>
    <row r="6427" spans="3:5">
      <c r="C6427" t="s">
        <v>15</v>
      </c>
      <c r="D6427" t="s">
        <v>16</v>
      </c>
      <c r="E6427">
        <v>0</v>
      </c>
    </row>
    <row r="6428" spans="3:5">
      <c r="C6428" t="s">
        <v>15</v>
      </c>
      <c r="D6428" t="s">
        <v>16</v>
      </c>
      <c r="E6428">
        <v>0</v>
      </c>
    </row>
    <row r="6429" spans="3:5">
      <c r="C6429" t="s">
        <v>15</v>
      </c>
      <c r="D6429" t="s">
        <v>16</v>
      </c>
      <c r="E6429">
        <v>0</v>
      </c>
    </row>
    <row r="6430" spans="3:5">
      <c r="C6430" t="s">
        <v>15</v>
      </c>
      <c r="D6430" t="s">
        <v>16</v>
      </c>
      <c r="E6430">
        <v>0</v>
      </c>
    </row>
    <row r="6431" spans="3:5">
      <c r="C6431" t="s">
        <v>15</v>
      </c>
      <c r="D6431" t="s">
        <v>16</v>
      </c>
      <c r="E6431">
        <v>0</v>
      </c>
    </row>
    <row r="6432" spans="3:5">
      <c r="C6432" t="s">
        <v>17</v>
      </c>
      <c r="D6432" t="s">
        <v>18</v>
      </c>
      <c r="E6432">
        <v>0</v>
      </c>
    </row>
    <row r="6433" spans="3:5">
      <c r="C6433" t="s">
        <v>15</v>
      </c>
      <c r="D6433" t="s">
        <v>16</v>
      </c>
      <c r="E6433">
        <v>0</v>
      </c>
    </row>
    <row r="6434" spans="3:5">
      <c r="C6434" t="s">
        <v>15</v>
      </c>
      <c r="D6434" t="s">
        <v>16</v>
      </c>
      <c r="E6434">
        <v>0</v>
      </c>
    </row>
    <row r="6435" spans="3:5">
      <c r="C6435" t="s">
        <v>15</v>
      </c>
      <c r="D6435" t="s">
        <v>16</v>
      </c>
      <c r="E6435">
        <v>0</v>
      </c>
    </row>
    <row r="6436" spans="3:5">
      <c r="C6436" t="s">
        <v>15</v>
      </c>
      <c r="D6436" t="s">
        <v>16</v>
      </c>
      <c r="E6436">
        <v>0</v>
      </c>
    </row>
    <row r="6437" spans="3:5">
      <c r="C6437" t="s">
        <v>17</v>
      </c>
      <c r="D6437" t="s">
        <v>18</v>
      </c>
      <c r="E6437">
        <v>0</v>
      </c>
    </row>
    <row r="6438" spans="3:5">
      <c r="C6438" t="s">
        <v>15</v>
      </c>
      <c r="D6438" t="s">
        <v>16</v>
      </c>
      <c r="E6438">
        <v>0</v>
      </c>
    </row>
    <row r="6439" spans="3:5">
      <c r="C6439" t="s">
        <v>17</v>
      </c>
      <c r="D6439" t="s">
        <v>18</v>
      </c>
      <c r="E6439">
        <v>1</v>
      </c>
    </row>
    <row r="6440" spans="3:5">
      <c r="C6440" t="s">
        <v>15</v>
      </c>
      <c r="D6440" t="s">
        <v>16</v>
      </c>
      <c r="E6440">
        <v>0</v>
      </c>
    </row>
    <row r="6441" spans="3:5">
      <c r="C6441" t="s">
        <v>15</v>
      </c>
      <c r="D6441" t="s">
        <v>16</v>
      </c>
      <c r="E6441">
        <v>0</v>
      </c>
    </row>
    <row r="6442" spans="3:5">
      <c r="C6442" t="s">
        <v>17</v>
      </c>
      <c r="D6442" t="s">
        <v>18</v>
      </c>
      <c r="E6442">
        <v>0</v>
      </c>
    </row>
    <row r="6443" spans="3:5">
      <c r="C6443" t="s">
        <v>17</v>
      </c>
      <c r="D6443" t="s">
        <v>18</v>
      </c>
      <c r="E6443">
        <v>0</v>
      </c>
    </row>
    <row r="6444" spans="3:5">
      <c r="C6444" t="s">
        <v>15</v>
      </c>
      <c r="D6444" t="s">
        <v>16</v>
      </c>
      <c r="E6444">
        <v>0</v>
      </c>
    </row>
    <row r="6445" spans="3:5">
      <c r="C6445" t="s">
        <v>15</v>
      </c>
      <c r="D6445" t="s">
        <v>16</v>
      </c>
      <c r="E6445">
        <v>0</v>
      </c>
    </row>
    <row r="6446" spans="3:5">
      <c r="C6446" t="s">
        <v>17</v>
      </c>
      <c r="D6446" t="s">
        <v>18</v>
      </c>
      <c r="E6446">
        <v>0</v>
      </c>
    </row>
    <row r="6447" spans="3:5">
      <c r="C6447" t="s">
        <v>17</v>
      </c>
      <c r="D6447" t="s">
        <v>18</v>
      </c>
      <c r="E6447">
        <v>1</v>
      </c>
    </row>
    <row r="6448" spans="3:5">
      <c r="C6448" t="s">
        <v>17</v>
      </c>
      <c r="D6448" t="s">
        <v>18</v>
      </c>
      <c r="E6448">
        <v>0</v>
      </c>
    </row>
    <row r="6449" spans="3:5">
      <c r="C6449" t="s">
        <v>17</v>
      </c>
      <c r="D6449" t="s">
        <v>18</v>
      </c>
      <c r="E6449">
        <v>0</v>
      </c>
    </row>
    <row r="6450" spans="3:5">
      <c r="C6450" t="s">
        <v>17</v>
      </c>
      <c r="D6450" t="s">
        <v>18</v>
      </c>
      <c r="E6450">
        <v>0</v>
      </c>
    </row>
    <row r="6451" spans="3:5">
      <c r="C6451" t="s">
        <v>17</v>
      </c>
      <c r="D6451" t="s">
        <v>18</v>
      </c>
      <c r="E6451">
        <v>0</v>
      </c>
    </row>
    <row r="6452" spans="3:5">
      <c r="C6452" t="s">
        <v>17</v>
      </c>
      <c r="D6452" t="s">
        <v>18</v>
      </c>
      <c r="E6452">
        <v>0</v>
      </c>
    </row>
    <row r="6453" spans="3:5">
      <c r="C6453" t="s">
        <v>17</v>
      </c>
      <c r="D6453" t="s">
        <v>18</v>
      </c>
      <c r="E6453">
        <v>0</v>
      </c>
    </row>
    <row r="6454" spans="3:5">
      <c r="C6454" t="s">
        <v>15</v>
      </c>
      <c r="D6454" t="s">
        <v>16</v>
      </c>
      <c r="E6454">
        <v>0</v>
      </c>
    </row>
    <row r="6455" spans="3:5">
      <c r="C6455" t="s">
        <v>15</v>
      </c>
      <c r="D6455" t="s">
        <v>16</v>
      </c>
      <c r="E6455">
        <v>0</v>
      </c>
    </row>
    <row r="6456" spans="3:5">
      <c r="C6456" t="s">
        <v>17</v>
      </c>
      <c r="D6456" t="s">
        <v>18</v>
      </c>
      <c r="E6456">
        <v>0</v>
      </c>
    </row>
    <row r="6457" spans="3:5">
      <c r="C6457" t="s">
        <v>15</v>
      </c>
      <c r="D6457" t="s">
        <v>16</v>
      </c>
      <c r="E6457">
        <v>0</v>
      </c>
    </row>
    <row r="6458" spans="3:5">
      <c r="C6458" t="s">
        <v>17</v>
      </c>
      <c r="D6458" t="s">
        <v>18</v>
      </c>
      <c r="E6458">
        <v>0</v>
      </c>
    </row>
    <row r="6459" spans="3:5">
      <c r="C6459" t="s">
        <v>17</v>
      </c>
      <c r="D6459" t="s">
        <v>18</v>
      </c>
      <c r="E6459">
        <v>0</v>
      </c>
    </row>
    <row r="6460" spans="3:5">
      <c r="C6460" t="s">
        <v>17</v>
      </c>
      <c r="D6460" t="s">
        <v>18</v>
      </c>
      <c r="E6460">
        <v>0</v>
      </c>
    </row>
    <row r="6461" spans="3:5">
      <c r="C6461" t="s">
        <v>17</v>
      </c>
      <c r="D6461" t="s">
        <v>18</v>
      </c>
      <c r="E6461">
        <v>0</v>
      </c>
    </row>
    <row r="6462" spans="3:5">
      <c r="C6462" t="s">
        <v>17</v>
      </c>
      <c r="D6462" t="s">
        <v>18</v>
      </c>
      <c r="E6462">
        <v>0</v>
      </c>
    </row>
    <row r="6463" spans="3:5">
      <c r="C6463" t="s">
        <v>15</v>
      </c>
      <c r="D6463" t="s">
        <v>16</v>
      </c>
      <c r="E6463">
        <v>0</v>
      </c>
    </row>
    <row r="6464" spans="3:5">
      <c r="C6464" t="s">
        <v>15</v>
      </c>
      <c r="D6464" t="s">
        <v>16</v>
      </c>
      <c r="E6464">
        <v>0</v>
      </c>
    </row>
    <row r="6465" spans="3:5">
      <c r="C6465" t="s">
        <v>15</v>
      </c>
      <c r="D6465" t="s">
        <v>16</v>
      </c>
      <c r="E6465">
        <v>0</v>
      </c>
    </row>
    <row r="6466" spans="3:5">
      <c r="C6466" t="s">
        <v>15</v>
      </c>
      <c r="D6466" t="s">
        <v>16</v>
      </c>
      <c r="E6466">
        <v>0</v>
      </c>
    </row>
    <row r="6467" spans="3:5">
      <c r="C6467" t="s">
        <v>15</v>
      </c>
      <c r="D6467" t="s">
        <v>16</v>
      </c>
      <c r="E6467">
        <v>0</v>
      </c>
    </row>
    <row r="6468" spans="3:5">
      <c r="C6468" t="s">
        <v>17</v>
      </c>
      <c r="D6468" t="s">
        <v>18</v>
      </c>
      <c r="E6468">
        <v>0</v>
      </c>
    </row>
    <row r="6469" spans="3:5">
      <c r="C6469" t="s">
        <v>15</v>
      </c>
      <c r="D6469" t="s">
        <v>16</v>
      </c>
      <c r="E6469">
        <v>0</v>
      </c>
    </row>
    <row r="6470" spans="3:5">
      <c r="C6470" t="s">
        <v>17</v>
      </c>
      <c r="D6470" t="s">
        <v>18</v>
      </c>
      <c r="E6470">
        <v>0</v>
      </c>
    </row>
    <row r="6471" spans="3:5">
      <c r="C6471" t="s">
        <v>15</v>
      </c>
      <c r="D6471" t="s">
        <v>16</v>
      </c>
      <c r="E6471">
        <v>0</v>
      </c>
    </row>
    <row r="6472" spans="3:5">
      <c r="C6472" t="s">
        <v>17</v>
      </c>
      <c r="D6472" t="s">
        <v>18</v>
      </c>
      <c r="E6472">
        <v>0</v>
      </c>
    </row>
    <row r="6473" spans="3:5">
      <c r="C6473" t="s">
        <v>17</v>
      </c>
      <c r="D6473" t="s">
        <v>18</v>
      </c>
      <c r="E6473">
        <v>0</v>
      </c>
    </row>
    <row r="6474" spans="3:5">
      <c r="C6474" t="s">
        <v>17</v>
      </c>
      <c r="D6474" t="s">
        <v>18</v>
      </c>
      <c r="E6474">
        <v>0</v>
      </c>
    </row>
    <row r="6475" spans="3:5">
      <c r="C6475" t="s">
        <v>15</v>
      </c>
      <c r="D6475" t="s">
        <v>16</v>
      </c>
      <c r="E6475">
        <v>0</v>
      </c>
    </row>
    <row r="6476" spans="3:5">
      <c r="C6476" t="s">
        <v>15</v>
      </c>
      <c r="D6476" t="s">
        <v>16</v>
      </c>
      <c r="E6476">
        <v>0</v>
      </c>
    </row>
    <row r="6477" spans="3:5">
      <c r="C6477" t="s">
        <v>17</v>
      </c>
      <c r="D6477" t="s">
        <v>18</v>
      </c>
      <c r="E6477">
        <v>0</v>
      </c>
    </row>
    <row r="6478" spans="3:5">
      <c r="C6478" t="s">
        <v>15</v>
      </c>
      <c r="D6478" t="s">
        <v>16</v>
      </c>
      <c r="E6478">
        <v>0</v>
      </c>
    </row>
    <row r="6479" spans="3:5">
      <c r="C6479" t="s">
        <v>17</v>
      </c>
      <c r="D6479" t="s">
        <v>18</v>
      </c>
      <c r="E6479">
        <v>0</v>
      </c>
    </row>
    <row r="6480" spans="3:5">
      <c r="C6480" t="s">
        <v>15</v>
      </c>
      <c r="D6480" t="s">
        <v>16</v>
      </c>
      <c r="E6480">
        <v>0</v>
      </c>
    </row>
    <row r="6481" spans="3:5">
      <c r="C6481" t="s">
        <v>15</v>
      </c>
      <c r="D6481" t="s">
        <v>16</v>
      </c>
      <c r="E6481">
        <v>0</v>
      </c>
    </row>
    <row r="6482" spans="3:5">
      <c r="C6482" t="s">
        <v>17</v>
      </c>
      <c r="D6482" t="s">
        <v>18</v>
      </c>
      <c r="E6482">
        <v>0</v>
      </c>
    </row>
    <row r="6483" spans="3:5">
      <c r="C6483" t="s">
        <v>17</v>
      </c>
      <c r="D6483" t="s">
        <v>18</v>
      </c>
      <c r="E6483">
        <v>0</v>
      </c>
    </row>
    <row r="6484" spans="3:5">
      <c r="C6484" t="s">
        <v>15</v>
      </c>
      <c r="D6484" t="s">
        <v>16</v>
      </c>
      <c r="E6484">
        <v>0</v>
      </c>
    </row>
    <row r="6485" spans="3:5">
      <c r="C6485" t="s">
        <v>17</v>
      </c>
      <c r="D6485" t="s">
        <v>18</v>
      </c>
      <c r="E6485">
        <v>0</v>
      </c>
    </row>
    <row r="6486" spans="3:5">
      <c r="C6486" t="s">
        <v>17</v>
      </c>
      <c r="D6486" t="s">
        <v>18</v>
      </c>
      <c r="E6486">
        <v>0</v>
      </c>
    </row>
    <row r="6487" spans="3:5">
      <c r="C6487" t="s">
        <v>17</v>
      </c>
      <c r="D6487" t="s">
        <v>18</v>
      </c>
      <c r="E6487">
        <v>0</v>
      </c>
    </row>
    <row r="6488" spans="3:5">
      <c r="C6488" t="s">
        <v>17</v>
      </c>
      <c r="D6488" t="s">
        <v>18</v>
      </c>
      <c r="E6488">
        <v>0</v>
      </c>
    </row>
    <row r="6489" spans="3:5">
      <c r="C6489" t="s">
        <v>15</v>
      </c>
      <c r="D6489" t="s">
        <v>16</v>
      </c>
      <c r="E6489">
        <v>0</v>
      </c>
    </row>
    <row r="6490" spans="3:5">
      <c r="C6490" t="s">
        <v>17</v>
      </c>
      <c r="D6490" t="s">
        <v>18</v>
      </c>
      <c r="E6490">
        <v>0</v>
      </c>
    </row>
    <row r="6491" spans="3:5">
      <c r="C6491" t="s">
        <v>17</v>
      </c>
      <c r="D6491" t="s">
        <v>18</v>
      </c>
      <c r="E6491">
        <v>0</v>
      </c>
    </row>
    <row r="6492" spans="3:5">
      <c r="C6492" t="s">
        <v>15</v>
      </c>
      <c r="D6492" t="s">
        <v>16</v>
      </c>
      <c r="E6492">
        <v>0</v>
      </c>
    </row>
    <row r="6493" spans="3:5">
      <c r="C6493" t="s">
        <v>17</v>
      </c>
      <c r="D6493" t="s">
        <v>18</v>
      </c>
      <c r="E6493">
        <v>0</v>
      </c>
    </row>
    <row r="6494" spans="3:5">
      <c r="C6494" t="s">
        <v>17</v>
      </c>
      <c r="D6494" t="s">
        <v>18</v>
      </c>
      <c r="E6494">
        <v>0</v>
      </c>
    </row>
    <row r="6495" spans="3:5">
      <c r="C6495" t="s">
        <v>17</v>
      </c>
      <c r="D6495" t="s">
        <v>18</v>
      </c>
      <c r="E6495">
        <v>0</v>
      </c>
    </row>
    <row r="6496" spans="3:5">
      <c r="C6496" t="s">
        <v>17</v>
      </c>
      <c r="D6496" t="s">
        <v>18</v>
      </c>
      <c r="E6496">
        <v>0</v>
      </c>
    </row>
    <row r="6497" spans="3:5">
      <c r="C6497" t="s">
        <v>15</v>
      </c>
      <c r="D6497" t="s">
        <v>16</v>
      </c>
      <c r="E6497">
        <v>1</v>
      </c>
    </row>
    <row r="6498" spans="3:5">
      <c r="C6498" t="s">
        <v>15</v>
      </c>
      <c r="D6498" t="s">
        <v>16</v>
      </c>
      <c r="E6498">
        <v>0</v>
      </c>
    </row>
    <row r="6499" spans="3:5">
      <c r="C6499" t="s">
        <v>15</v>
      </c>
      <c r="D6499" t="s">
        <v>16</v>
      </c>
      <c r="E6499">
        <v>0</v>
      </c>
    </row>
    <row r="6500" spans="3:5">
      <c r="C6500" t="s">
        <v>17</v>
      </c>
      <c r="D6500" t="s">
        <v>18</v>
      </c>
      <c r="E6500">
        <v>0</v>
      </c>
    </row>
    <row r="6501" spans="3:5">
      <c r="C6501" t="s">
        <v>17</v>
      </c>
      <c r="D6501" t="s">
        <v>18</v>
      </c>
      <c r="E6501">
        <v>0</v>
      </c>
    </row>
    <row r="6502" spans="3:5">
      <c r="C6502" t="s">
        <v>17</v>
      </c>
      <c r="D6502" t="s">
        <v>18</v>
      </c>
      <c r="E6502">
        <v>0</v>
      </c>
    </row>
    <row r="6503" spans="3:5">
      <c r="C6503" t="s">
        <v>17</v>
      </c>
      <c r="D6503" t="s">
        <v>18</v>
      </c>
      <c r="E6503">
        <v>0</v>
      </c>
    </row>
    <row r="6504" spans="3:5">
      <c r="C6504" t="s">
        <v>15</v>
      </c>
      <c r="D6504" t="s">
        <v>16</v>
      </c>
      <c r="E6504">
        <v>0</v>
      </c>
    </row>
    <row r="6505" spans="3:5">
      <c r="C6505" t="s">
        <v>17</v>
      </c>
      <c r="D6505" t="s">
        <v>18</v>
      </c>
      <c r="E6505">
        <v>0</v>
      </c>
    </row>
    <row r="6506" spans="3:5">
      <c r="C6506" t="s">
        <v>15</v>
      </c>
      <c r="D6506" t="s">
        <v>16</v>
      </c>
      <c r="E6506">
        <v>0</v>
      </c>
    </row>
    <row r="6507" spans="3:5">
      <c r="C6507" t="s">
        <v>17</v>
      </c>
      <c r="D6507" t="s">
        <v>18</v>
      </c>
      <c r="E6507">
        <v>0</v>
      </c>
    </row>
    <row r="6508" spans="3:5">
      <c r="C6508" t="s">
        <v>15</v>
      </c>
      <c r="D6508" t="s">
        <v>16</v>
      </c>
      <c r="E6508">
        <v>0</v>
      </c>
    </row>
    <row r="6509" spans="3:5">
      <c r="C6509" t="s">
        <v>15</v>
      </c>
      <c r="D6509" t="s">
        <v>16</v>
      </c>
      <c r="E6509">
        <v>0</v>
      </c>
    </row>
    <row r="6510" spans="3:5">
      <c r="C6510" t="s">
        <v>15</v>
      </c>
      <c r="D6510" t="s">
        <v>16</v>
      </c>
      <c r="E6510">
        <v>0</v>
      </c>
    </row>
    <row r="6511" spans="3:5">
      <c r="C6511" t="s">
        <v>17</v>
      </c>
      <c r="D6511" t="s">
        <v>18</v>
      </c>
      <c r="E6511">
        <v>0</v>
      </c>
    </row>
    <row r="6512" spans="3:5">
      <c r="C6512" t="s">
        <v>15</v>
      </c>
      <c r="D6512" t="s">
        <v>16</v>
      </c>
      <c r="E6512">
        <v>0</v>
      </c>
    </row>
    <row r="6513" spans="3:5">
      <c r="C6513" t="s">
        <v>15</v>
      </c>
      <c r="D6513" t="s">
        <v>16</v>
      </c>
      <c r="E6513">
        <v>0</v>
      </c>
    </row>
    <row r="6514" spans="3:5">
      <c r="C6514" t="s">
        <v>17</v>
      </c>
      <c r="D6514" t="s">
        <v>18</v>
      </c>
      <c r="E6514">
        <v>0</v>
      </c>
    </row>
    <row r="6515" spans="3:5">
      <c r="C6515" t="s">
        <v>15</v>
      </c>
      <c r="D6515" t="s">
        <v>16</v>
      </c>
      <c r="E6515">
        <v>0</v>
      </c>
    </row>
    <row r="6516" spans="3:5">
      <c r="C6516" t="s">
        <v>15</v>
      </c>
      <c r="D6516" t="s">
        <v>16</v>
      </c>
      <c r="E6516">
        <v>0</v>
      </c>
    </row>
    <row r="6517" spans="3:5">
      <c r="C6517" t="s">
        <v>17</v>
      </c>
      <c r="D6517" t="s">
        <v>18</v>
      </c>
      <c r="E6517">
        <v>0</v>
      </c>
    </row>
    <row r="6518" spans="3:5">
      <c r="C6518" t="s">
        <v>15</v>
      </c>
      <c r="D6518" t="s">
        <v>16</v>
      </c>
      <c r="E6518">
        <v>0</v>
      </c>
    </row>
    <row r="6519" spans="3:5">
      <c r="C6519" t="s">
        <v>15</v>
      </c>
      <c r="D6519" t="s">
        <v>16</v>
      </c>
      <c r="E6519">
        <v>0</v>
      </c>
    </row>
    <row r="6520" spans="3:5">
      <c r="C6520" t="s">
        <v>17</v>
      </c>
      <c r="D6520" t="s">
        <v>18</v>
      </c>
      <c r="E6520">
        <v>0</v>
      </c>
    </row>
    <row r="6521" spans="3:5">
      <c r="C6521" t="s">
        <v>17</v>
      </c>
      <c r="D6521" t="s">
        <v>18</v>
      </c>
      <c r="E6521">
        <v>1</v>
      </c>
    </row>
    <row r="6522" spans="3:5">
      <c r="C6522" t="s">
        <v>17</v>
      </c>
      <c r="D6522" t="s">
        <v>18</v>
      </c>
      <c r="E6522">
        <v>0</v>
      </c>
    </row>
    <row r="6523" spans="3:5">
      <c r="C6523" t="s">
        <v>17</v>
      </c>
      <c r="D6523" t="s">
        <v>18</v>
      </c>
      <c r="E6523">
        <v>0</v>
      </c>
    </row>
    <row r="6524" spans="3:5">
      <c r="C6524" t="s">
        <v>17</v>
      </c>
      <c r="D6524" t="s">
        <v>18</v>
      </c>
      <c r="E6524">
        <v>0</v>
      </c>
    </row>
    <row r="6525" spans="3:5">
      <c r="C6525" t="s">
        <v>15</v>
      </c>
      <c r="D6525" t="s">
        <v>16</v>
      </c>
      <c r="E6525">
        <v>0</v>
      </c>
    </row>
    <row r="6526" spans="3:5">
      <c r="C6526" t="s">
        <v>15</v>
      </c>
      <c r="D6526" t="s">
        <v>16</v>
      </c>
      <c r="E6526">
        <v>0</v>
      </c>
    </row>
    <row r="6527" spans="3:5">
      <c r="C6527" t="s">
        <v>17</v>
      </c>
      <c r="D6527" t="s">
        <v>18</v>
      </c>
      <c r="E6527">
        <v>0</v>
      </c>
    </row>
    <row r="6528" spans="3:5">
      <c r="C6528" t="s">
        <v>15</v>
      </c>
      <c r="D6528" t="s">
        <v>16</v>
      </c>
      <c r="E6528">
        <v>0</v>
      </c>
    </row>
    <row r="6529" spans="3:5">
      <c r="C6529" t="s">
        <v>17</v>
      </c>
      <c r="D6529" t="s">
        <v>18</v>
      </c>
      <c r="E6529">
        <v>0</v>
      </c>
    </row>
    <row r="6530" spans="3:5">
      <c r="C6530" t="s">
        <v>15</v>
      </c>
      <c r="D6530" t="s">
        <v>16</v>
      </c>
      <c r="E6530">
        <v>0</v>
      </c>
    </row>
    <row r="6531" spans="3:5">
      <c r="C6531" t="s">
        <v>15</v>
      </c>
      <c r="D6531" t="s">
        <v>16</v>
      </c>
      <c r="E6531">
        <v>0</v>
      </c>
    </row>
    <row r="6532" spans="3:5">
      <c r="C6532" t="s">
        <v>15</v>
      </c>
      <c r="D6532" t="s">
        <v>16</v>
      </c>
      <c r="E6532">
        <v>0</v>
      </c>
    </row>
    <row r="6533" spans="3:5">
      <c r="C6533" t="s">
        <v>17</v>
      </c>
      <c r="D6533" t="s">
        <v>18</v>
      </c>
      <c r="E6533">
        <v>0</v>
      </c>
    </row>
    <row r="6534" spans="3:5">
      <c r="C6534" t="s">
        <v>15</v>
      </c>
      <c r="D6534" t="s">
        <v>16</v>
      </c>
      <c r="E6534">
        <v>0</v>
      </c>
    </row>
    <row r="6535" spans="3:5">
      <c r="C6535" t="s">
        <v>15</v>
      </c>
      <c r="D6535" t="s">
        <v>16</v>
      </c>
      <c r="E6535">
        <v>0</v>
      </c>
    </row>
    <row r="6536" spans="3:5">
      <c r="C6536" t="s">
        <v>17</v>
      </c>
      <c r="D6536" t="s">
        <v>18</v>
      </c>
      <c r="E6536">
        <v>0</v>
      </c>
    </row>
    <row r="6537" spans="3:5">
      <c r="C6537" t="s">
        <v>17</v>
      </c>
      <c r="D6537" t="s">
        <v>18</v>
      </c>
      <c r="E6537">
        <v>0</v>
      </c>
    </row>
    <row r="6538" spans="3:5">
      <c r="C6538" t="s">
        <v>17</v>
      </c>
      <c r="D6538" t="s">
        <v>18</v>
      </c>
      <c r="E6538">
        <v>0</v>
      </c>
    </row>
    <row r="6539" spans="3:5">
      <c r="C6539" t="s">
        <v>17</v>
      </c>
      <c r="D6539" t="s">
        <v>18</v>
      </c>
      <c r="E6539">
        <v>0</v>
      </c>
    </row>
    <row r="6540" spans="3:5">
      <c r="C6540" t="s">
        <v>17</v>
      </c>
      <c r="D6540" t="s">
        <v>18</v>
      </c>
      <c r="E6540">
        <v>0</v>
      </c>
    </row>
    <row r="6541" spans="3:5">
      <c r="C6541" t="s">
        <v>15</v>
      </c>
      <c r="D6541" t="s">
        <v>16</v>
      </c>
      <c r="E6541">
        <v>0</v>
      </c>
    </row>
    <row r="6542" spans="3:5">
      <c r="C6542" t="s">
        <v>15</v>
      </c>
      <c r="D6542" t="s">
        <v>16</v>
      </c>
      <c r="E6542">
        <v>0</v>
      </c>
    </row>
    <row r="6543" spans="3:5">
      <c r="C6543" t="s">
        <v>17</v>
      </c>
      <c r="D6543" t="s">
        <v>18</v>
      </c>
      <c r="E6543">
        <v>0</v>
      </c>
    </row>
    <row r="6544" spans="3:5">
      <c r="C6544" t="s">
        <v>15</v>
      </c>
      <c r="D6544" t="s">
        <v>16</v>
      </c>
      <c r="E6544">
        <v>0</v>
      </c>
    </row>
    <row r="6545" spans="3:5">
      <c r="C6545" t="s">
        <v>15</v>
      </c>
      <c r="D6545" t="s">
        <v>16</v>
      </c>
      <c r="E6545">
        <v>0</v>
      </c>
    </row>
    <row r="6546" spans="3:5">
      <c r="C6546" t="s">
        <v>17</v>
      </c>
      <c r="D6546" t="s">
        <v>18</v>
      </c>
      <c r="E6546">
        <v>1</v>
      </c>
    </row>
    <row r="6547" spans="3:5">
      <c r="C6547" t="s">
        <v>17</v>
      </c>
      <c r="D6547" t="s">
        <v>18</v>
      </c>
      <c r="E6547">
        <v>0</v>
      </c>
    </row>
    <row r="6548" spans="3:5">
      <c r="C6548" t="s">
        <v>17</v>
      </c>
      <c r="D6548" t="s">
        <v>18</v>
      </c>
      <c r="E6548">
        <v>0</v>
      </c>
    </row>
    <row r="6549" spans="3:5">
      <c r="C6549" t="s">
        <v>17</v>
      </c>
      <c r="D6549" t="s">
        <v>18</v>
      </c>
      <c r="E6549">
        <v>0</v>
      </c>
    </row>
    <row r="6550" spans="3:5">
      <c r="C6550" t="s">
        <v>15</v>
      </c>
      <c r="D6550" t="s">
        <v>16</v>
      </c>
      <c r="E6550">
        <v>0</v>
      </c>
    </row>
    <row r="6551" spans="3:5">
      <c r="C6551" t="s">
        <v>17</v>
      </c>
      <c r="D6551" t="s">
        <v>18</v>
      </c>
      <c r="E6551">
        <v>0</v>
      </c>
    </row>
    <row r="6552" spans="3:5">
      <c r="C6552" t="s">
        <v>17</v>
      </c>
      <c r="D6552" t="s">
        <v>18</v>
      </c>
      <c r="E6552">
        <v>0</v>
      </c>
    </row>
    <row r="6553" spans="3:5">
      <c r="C6553" t="s">
        <v>17</v>
      </c>
      <c r="D6553" t="s">
        <v>18</v>
      </c>
      <c r="E6553">
        <v>0</v>
      </c>
    </row>
    <row r="6554" spans="3:5">
      <c r="C6554" t="s">
        <v>17</v>
      </c>
      <c r="D6554" t="s">
        <v>18</v>
      </c>
      <c r="E6554">
        <v>0</v>
      </c>
    </row>
    <row r="6555" spans="3:5">
      <c r="C6555" t="s">
        <v>17</v>
      </c>
      <c r="D6555" t="s">
        <v>18</v>
      </c>
      <c r="E6555">
        <v>0</v>
      </c>
    </row>
    <row r="6556" spans="3:5">
      <c r="C6556" t="s">
        <v>15</v>
      </c>
      <c r="D6556" t="s">
        <v>16</v>
      </c>
      <c r="E6556">
        <v>1</v>
      </c>
    </row>
    <row r="6557" spans="3:5">
      <c r="C6557" t="s">
        <v>15</v>
      </c>
      <c r="D6557" t="s">
        <v>16</v>
      </c>
      <c r="E6557">
        <v>0</v>
      </c>
    </row>
    <row r="6558" spans="3:5">
      <c r="C6558" t="s">
        <v>17</v>
      </c>
      <c r="D6558" t="s">
        <v>18</v>
      </c>
      <c r="E6558">
        <v>0</v>
      </c>
    </row>
    <row r="6559" spans="3:5">
      <c r="C6559" t="s">
        <v>15</v>
      </c>
      <c r="D6559" t="s">
        <v>16</v>
      </c>
      <c r="E6559">
        <v>0</v>
      </c>
    </row>
    <row r="6560" spans="3:5">
      <c r="C6560" t="s">
        <v>15</v>
      </c>
      <c r="D6560" t="s">
        <v>16</v>
      </c>
      <c r="E6560">
        <v>0</v>
      </c>
    </row>
    <row r="6561" spans="3:5">
      <c r="C6561" t="s">
        <v>15</v>
      </c>
      <c r="D6561" t="s">
        <v>16</v>
      </c>
      <c r="E6561">
        <v>0</v>
      </c>
    </row>
    <row r="6562" spans="3:5">
      <c r="C6562" t="s">
        <v>17</v>
      </c>
      <c r="D6562" t="s">
        <v>18</v>
      </c>
      <c r="E6562">
        <v>0</v>
      </c>
    </row>
    <row r="6563" spans="3:5">
      <c r="C6563" t="s">
        <v>15</v>
      </c>
      <c r="D6563" t="s">
        <v>16</v>
      </c>
      <c r="E6563">
        <v>0</v>
      </c>
    </row>
    <row r="6564" spans="3:5">
      <c r="C6564" t="s">
        <v>15</v>
      </c>
      <c r="D6564" t="s">
        <v>16</v>
      </c>
      <c r="E6564">
        <v>0</v>
      </c>
    </row>
    <row r="6565" spans="3:5">
      <c r="C6565" t="s">
        <v>15</v>
      </c>
      <c r="D6565" t="s">
        <v>16</v>
      </c>
      <c r="E6565">
        <v>0</v>
      </c>
    </row>
    <row r="6566" spans="3:5">
      <c r="C6566" t="s">
        <v>15</v>
      </c>
      <c r="D6566" t="s">
        <v>16</v>
      </c>
      <c r="E6566">
        <v>0</v>
      </c>
    </row>
    <row r="6567" spans="3:5">
      <c r="C6567" t="s">
        <v>17</v>
      </c>
      <c r="D6567" t="s">
        <v>18</v>
      </c>
      <c r="E6567">
        <v>0</v>
      </c>
    </row>
    <row r="6568" spans="3:5">
      <c r="C6568" t="s">
        <v>17</v>
      </c>
      <c r="D6568" t="s">
        <v>18</v>
      </c>
      <c r="E6568">
        <v>0</v>
      </c>
    </row>
    <row r="6569" spans="3:5">
      <c r="C6569" t="s">
        <v>15</v>
      </c>
      <c r="D6569" t="s">
        <v>16</v>
      </c>
      <c r="E6569">
        <v>0</v>
      </c>
    </row>
    <row r="6570" spans="3:5">
      <c r="C6570" t="s">
        <v>15</v>
      </c>
      <c r="D6570" t="s">
        <v>16</v>
      </c>
      <c r="E6570">
        <v>0</v>
      </c>
    </row>
    <row r="6571" spans="3:5">
      <c r="C6571" t="s">
        <v>17</v>
      </c>
      <c r="D6571" t="s">
        <v>18</v>
      </c>
      <c r="E6571">
        <v>0</v>
      </c>
    </row>
    <row r="6572" spans="3:5">
      <c r="C6572" t="s">
        <v>17</v>
      </c>
      <c r="D6572" t="s">
        <v>18</v>
      </c>
      <c r="E6572">
        <v>0</v>
      </c>
    </row>
    <row r="6573" spans="3:5">
      <c r="C6573" t="s">
        <v>17</v>
      </c>
      <c r="D6573" t="s">
        <v>18</v>
      </c>
      <c r="E6573">
        <v>0</v>
      </c>
    </row>
    <row r="6574" spans="3:5">
      <c r="C6574" t="s">
        <v>17</v>
      </c>
      <c r="D6574" t="s">
        <v>18</v>
      </c>
      <c r="E6574">
        <v>0</v>
      </c>
    </row>
    <row r="6575" spans="3:5">
      <c r="C6575" t="s">
        <v>15</v>
      </c>
      <c r="D6575" t="s">
        <v>16</v>
      </c>
      <c r="E6575">
        <v>0</v>
      </c>
    </row>
    <row r="6576" spans="3:5">
      <c r="C6576" t="s">
        <v>17</v>
      </c>
      <c r="D6576" t="s">
        <v>18</v>
      </c>
      <c r="E6576">
        <v>0</v>
      </c>
    </row>
    <row r="6577" spans="3:5">
      <c r="C6577" t="s">
        <v>17</v>
      </c>
      <c r="D6577" t="s">
        <v>18</v>
      </c>
      <c r="E6577">
        <v>0</v>
      </c>
    </row>
    <row r="6578" spans="3:5">
      <c r="C6578" t="s">
        <v>15</v>
      </c>
      <c r="D6578" t="s">
        <v>16</v>
      </c>
      <c r="E6578">
        <v>0</v>
      </c>
    </row>
    <row r="6579" spans="3:5">
      <c r="C6579" t="s">
        <v>15</v>
      </c>
      <c r="D6579" t="s">
        <v>16</v>
      </c>
      <c r="E6579">
        <v>0</v>
      </c>
    </row>
    <row r="6580" spans="3:5">
      <c r="C6580" t="s">
        <v>15</v>
      </c>
      <c r="D6580" t="s">
        <v>16</v>
      </c>
      <c r="E6580">
        <v>0</v>
      </c>
    </row>
    <row r="6581" spans="3:5">
      <c r="C6581" t="s">
        <v>17</v>
      </c>
      <c r="D6581" t="s">
        <v>18</v>
      </c>
      <c r="E6581">
        <v>0</v>
      </c>
    </row>
    <row r="6582" spans="3:5">
      <c r="C6582" t="s">
        <v>17</v>
      </c>
      <c r="D6582" t="s">
        <v>18</v>
      </c>
      <c r="E6582">
        <v>0</v>
      </c>
    </row>
    <row r="6583" spans="3:5">
      <c r="C6583" t="s">
        <v>15</v>
      </c>
      <c r="D6583" t="s">
        <v>16</v>
      </c>
      <c r="E6583">
        <v>0</v>
      </c>
    </row>
    <row r="6584" spans="3:5">
      <c r="C6584" t="s">
        <v>15</v>
      </c>
      <c r="D6584" t="s">
        <v>16</v>
      </c>
      <c r="E6584">
        <v>0</v>
      </c>
    </row>
    <row r="6585" spans="3:5">
      <c r="C6585" t="s">
        <v>17</v>
      </c>
      <c r="D6585" t="s">
        <v>18</v>
      </c>
      <c r="E6585">
        <v>0</v>
      </c>
    </row>
    <row r="6586" spans="3:5">
      <c r="C6586" t="s">
        <v>15</v>
      </c>
      <c r="D6586" t="s">
        <v>16</v>
      </c>
      <c r="E6586">
        <v>0</v>
      </c>
    </row>
    <row r="6587" spans="3:5">
      <c r="C6587" t="s">
        <v>15</v>
      </c>
      <c r="D6587" t="s">
        <v>16</v>
      </c>
      <c r="E6587">
        <v>0</v>
      </c>
    </row>
    <row r="6588" spans="3:5">
      <c r="C6588" t="s">
        <v>15</v>
      </c>
      <c r="D6588" t="s">
        <v>16</v>
      </c>
      <c r="E6588">
        <v>0</v>
      </c>
    </row>
    <row r="6589" spans="3:5">
      <c r="C6589" t="s">
        <v>17</v>
      </c>
      <c r="D6589" t="s">
        <v>18</v>
      </c>
      <c r="E6589">
        <v>0</v>
      </c>
    </row>
    <row r="6590" spans="3:5">
      <c r="C6590" t="s">
        <v>17</v>
      </c>
      <c r="D6590" t="s">
        <v>18</v>
      </c>
      <c r="E6590">
        <v>0</v>
      </c>
    </row>
    <row r="6591" spans="3:5">
      <c r="C6591" t="s">
        <v>15</v>
      </c>
      <c r="D6591" t="s">
        <v>16</v>
      </c>
      <c r="E6591">
        <v>0</v>
      </c>
    </row>
    <row r="6592" spans="3:5">
      <c r="C6592" t="s">
        <v>17</v>
      </c>
      <c r="D6592" t="s">
        <v>18</v>
      </c>
      <c r="E6592">
        <v>0</v>
      </c>
    </row>
    <row r="6593" spans="3:5">
      <c r="C6593" t="s">
        <v>17</v>
      </c>
      <c r="D6593" t="s">
        <v>18</v>
      </c>
      <c r="E6593">
        <v>0</v>
      </c>
    </row>
    <row r="6594" spans="3:5">
      <c r="C6594" t="s">
        <v>15</v>
      </c>
      <c r="D6594" t="s">
        <v>16</v>
      </c>
      <c r="E6594">
        <v>0</v>
      </c>
    </row>
    <row r="6595" spans="3:5">
      <c r="C6595" t="s">
        <v>15</v>
      </c>
      <c r="D6595" t="s">
        <v>16</v>
      </c>
      <c r="E6595">
        <v>0</v>
      </c>
    </row>
    <row r="6596" spans="3:5">
      <c r="C6596" t="s">
        <v>17</v>
      </c>
      <c r="D6596" t="s">
        <v>18</v>
      </c>
      <c r="E6596">
        <v>0</v>
      </c>
    </row>
    <row r="6597" spans="3:5">
      <c r="C6597" t="s">
        <v>17</v>
      </c>
      <c r="D6597" t="s">
        <v>18</v>
      </c>
      <c r="E6597">
        <v>0</v>
      </c>
    </row>
    <row r="6598" spans="3:5">
      <c r="C6598" t="s">
        <v>15</v>
      </c>
      <c r="D6598" t="s">
        <v>16</v>
      </c>
      <c r="E6598">
        <v>0</v>
      </c>
    </row>
    <row r="6599" spans="3:5">
      <c r="C6599" t="s">
        <v>17</v>
      </c>
      <c r="D6599" t="s">
        <v>18</v>
      </c>
      <c r="E6599">
        <v>0</v>
      </c>
    </row>
    <row r="6600" spans="3:5">
      <c r="C6600" t="s">
        <v>15</v>
      </c>
      <c r="D6600" t="s">
        <v>16</v>
      </c>
      <c r="E6600">
        <v>0</v>
      </c>
    </row>
    <row r="6601" spans="3:5">
      <c r="C6601" t="s">
        <v>17</v>
      </c>
      <c r="D6601" t="s">
        <v>18</v>
      </c>
      <c r="E6601">
        <v>0</v>
      </c>
    </row>
    <row r="6602" spans="3:5">
      <c r="C6602" t="s">
        <v>15</v>
      </c>
      <c r="D6602" t="s">
        <v>16</v>
      </c>
      <c r="E6602">
        <v>0</v>
      </c>
    </row>
    <row r="6603" spans="3:5">
      <c r="C6603" t="s">
        <v>15</v>
      </c>
      <c r="D6603" t="s">
        <v>16</v>
      </c>
      <c r="E6603">
        <v>0</v>
      </c>
    </row>
    <row r="6604" spans="3:5">
      <c r="C6604" t="s">
        <v>17</v>
      </c>
      <c r="D6604" t="s">
        <v>18</v>
      </c>
      <c r="E6604">
        <v>0</v>
      </c>
    </row>
    <row r="6605" spans="3:5">
      <c r="C6605" t="s">
        <v>15</v>
      </c>
      <c r="D6605" t="s">
        <v>16</v>
      </c>
      <c r="E6605">
        <v>0</v>
      </c>
    </row>
    <row r="6606" spans="3:5">
      <c r="C6606" t="s">
        <v>15</v>
      </c>
      <c r="D6606" t="s">
        <v>16</v>
      </c>
      <c r="E6606">
        <v>0</v>
      </c>
    </row>
    <row r="6607" spans="3:5">
      <c r="C6607" t="s">
        <v>15</v>
      </c>
      <c r="D6607" t="s">
        <v>16</v>
      </c>
      <c r="E6607">
        <v>0</v>
      </c>
    </row>
    <row r="6608" spans="3:5">
      <c r="C6608" t="s">
        <v>17</v>
      </c>
      <c r="D6608" t="s">
        <v>18</v>
      </c>
      <c r="E6608">
        <v>0</v>
      </c>
    </row>
    <row r="6609" spans="3:5">
      <c r="C6609" t="s">
        <v>17</v>
      </c>
      <c r="D6609" t="s">
        <v>18</v>
      </c>
      <c r="E6609">
        <v>0</v>
      </c>
    </row>
    <row r="6610" spans="3:5">
      <c r="C6610" t="s">
        <v>17</v>
      </c>
      <c r="D6610" t="s">
        <v>18</v>
      </c>
      <c r="E6610">
        <v>0</v>
      </c>
    </row>
    <row r="6611" spans="3:5">
      <c r="C6611" t="s">
        <v>17</v>
      </c>
      <c r="D6611" t="s">
        <v>18</v>
      </c>
      <c r="E6611">
        <v>0</v>
      </c>
    </row>
    <row r="6612" spans="3:5">
      <c r="C6612" t="s">
        <v>17</v>
      </c>
      <c r="D6612" t="s">
        <v>18</v>
      </c>
      <c r="E6612">
        <v>0</v>
      </c>
    </row>
    <row r="6613" spans="3:5">
      <c r="C6613" t="s">
        <v>17</v>
      </c>
      <c r="D6613" t="s">
        <v>18</v>
      </c>
      <c r="E6613">
        <v>0</v>
      </c>
    </row>
    <row r="6614" spans="3:5">
      <c r="C6614" t="s">
        <v>17</v>
      </c>
      <c r="D6614" t="s">
        <v>18</v>
      </c>
      <c r="E6614">
        <v>0</v>
      </c>
    </row>
    <row r="6615" spans="3:5">
      <c r="C6615" t="s">
        <v>17</v>
      </c>
      <c r="D6615" t="s">
        <v>18</v>
      </c>
      <c r="E6615">
        <v>0</v>
      </c>
    </row>
    <row r="6616" spans="3:5">
      <c r="C6616" t="s">
        <v>17</v>
      </c>
      <c r="D6616" t="s">
        <v>18</v>
      </c>
      <c r="E6616">
        <v>0</v>
      </c>
    </row>
    <row r="6617" spans="3:5">
      <c r="C6617" t="s">
        <v>15</v>
      </c>
      <c r="D6617" t="s">
        <v>16</v>
      </c>
      <c r="E6617">
        <v>0</v>
      </c>
    </row>
    <row r="6618" spans="3:5">
      <c r="C6618" t="s">
        <v>15</v>
      </c>
      <c r="D6618" t="s">
        <v>16</v>
      </c>
      <c r="E6618">
        <v>0</v>
      </c>
    </row>
    <row r="6619" spans="3:5">
      <c r="C6619" t="s">
        <v>15</v>
      </c>
      <c r="D6619" t="s">
        <v>16</v>
      </c>
      <c r="E6619">
        <v>0</v>
      </c>
    </row>
    <row r="6620" spans="3:5">
      <c r="C6620" t="s">
        <v>15</v>
      </c>
      <c r="D6620" t="s">
        <v>16</v>
      </c>
      <c r="E6620">
        <v>0</v>
      </c>
    </row>
    <row r="6621" spans="3:5">
      <c r="C6621" t="s">
        <v>15</v>
      </c>
      <c r="D6621" t="s">
        <v>16</v>
      </c>
      <c r="E6621">
        <v>0</v>
      </c>
    </row>
    <row r="6622" spans="3:5">
      <c r="C6622" t="s">
        <v>17</v>
      </c>
      <c r="D6622" t="s">
        <v>18</v>
      </c>
      <c r="E6622">
        <v>0</v>
      </c>
    </row>
    <row r="6623" spans="3:5">
      <c r="C6623" t="s">
        <v>17</v>
      </c>
      <c r="D6623" t="s">
        <v>18</v>
      </c>
      <c r="E6623">
        <v>0</v>
      </c>
    </row>
    <row r="6624" spans="3:5">
      <c r="C6624" t="s">
        <v>15</v>
      </c>
      <c r="D6624" t="s">
        <v>16</v>
      </c>
      <c r="E6624">
        <v>0</v>
      </c>
    </row>
    <row r="6625" spans="3:5">
      <c r="C6625" t="s">
        <v>15</v>
      </c>
      <c r="D6625" t="s">
        <v>16</v>
      </c>
      <c r="E6625">
        <v>0</v>
      </c>
    </row>
    <row r="6626" spans="3:5">
      <c r="C6626" t="s">
        <v>17</v>
      </c>
      <c r="D6626" t="s">
        <v>18</v>
      </c>
      <c r="E6626">
        <v>0</v>
      </c>
    </row>
    <row r="6627" spans="3:5">
      <c r="C6627" t="s">
        <v>15</v>
      </c>
      <c r="D6627" t="s">
        <v>16</v>
      </c>
      <c r="E6627">
        <v>0</v>
      </c>
    </row>
    <row r="6628" spans="3:5">
      <c r="C6628" t="s">
        <v>17</v>
      </c>
      <c r="D6628" t="s">
        <v>18</v>
      </c>
      <c r="E6628">
        <v>0</v>
      </c>
    </row>
    <row r="6629" spans="3:5">
      <c r="C6629" t="s">
        <v>17</v>
      </c>
      <c r="D6629" t="s">
        <v>18</v>
      </c>
      <c r="E6629">
        <v>0</v>
      </c>
    </row>
    <row r="6630" spans="3:5">
      <c r="C6630" t="s">
        <v>15</v>
      </c>
      <c r="D6630" t="s">
        <v>16</v>
      </c>
      <c r="E6630">
        <v>0</v>
      </c>
    </row>
    <row r="6631" spans="3:5">
      <c r="C6631" t="s">
        <v>15</v>
      </c>
      <c r="D6631" t="s">
        <v>16</v>
      </c>
      <c r="E6631">
        <v>0</v>
      </c>
    </row>
    <row r="6632" spans="3:5">
      <c r="C6632" t="s">
        <v>15</v>
      </c>
      <c r="D6632" t="s">
        <v>16</v>
      </c>
      <c r="E6632">
        <v>0</v>
      </c>
    </row>
    <row r="6633" spans="3:5">
      <c r="C6633" t="s">
        <v>15</v>
      </c>
      <c r="D6633" t="s">
        <v>16</v>
      </c>
      <c r="E6633">
        <v>0</v>
      </c>
    </row>
    <row r="6634" spans="3:5">
      <c r="C6634" t="s">
        <v>17</v>
      </c>
      <c r="D6634" t="s">
        <v>18</v>
      </c>
      <c r="E6634">
        <v>0</v>
      </c>
    </row>
    <row r="6635" spans="3:5">
      <c r="C6635" t="s">
        <v>15</v>
      </c>
      <c r="D6635" t="s">
        <v>16</v>
      </c>
      <c r="E6635">
        <v>0</v>
      </c>
    </row>
    <row r="6636" spans="3:5">
      <c r="C6636" t="s">
        <v>15</v>
      </c>
      <c r="D6636" t="s">
        <v>16</v>
      </c>
      <c r="E6636">
        <v>0</v>
      </c>
    </row>
    <row r="6637" spans="3:5">
      <c r="C6637" t="s">
        <v>17</v>
      </c>
      <c r="D6637" t="s">
        <v>18</v>
      </c>
      <c r="E6637">
        <v>0</v>
      </c>
    </row>
    <row r="6638" spans="3:5">
      <c r="C6638" t="s">
        <v>15</v>
      </c>
      <c r="D6638" t="s">
        <v>16</v>
      </c>
      <c r="E6638">
        <v>0</v>
      </c>
    </row>
    <row r="6639" spans="3:5">
      <c r="C6639" t="s">
        <v>17</v>
      </c>
      <c r="D6639" t="s">
        <v>18</v>
      </c>
      <c r="E6639">
        <v>0</v>
      </c>
    </row>
    <row r="6640" spans="3:5">
      <c r="C6640" t="s">
        <v>15</v>
      </c>
      <c r="D6640" t="s">
        <v>16</v>
      </c>
      <c r="E6640">
        <v>0</v>
      </c>
    </row>
    <row r="6641" spans="3:5">
      <c r="C6641" t="s">
        <v>15</v>
      </c>
      <c r="D6641" t="s">
        <v>16</v>
      </c>
      <c r="E6641">
        <v>0</v>
      </c>
    </row>
    <row r="6642" spans="3:5">
      <c r="C6642" t="s">
        <v>15</v>
      </c>
      <c r="D6642" t="s">
        <v>16</v>
      </c>
      <c r="E6642">
        <v>0</v>
      </c>
    </row>
    <row r="6643" spans="3:5">
      <c r="C6643" t="s">
        <v>17</v>
      </c>
      <c r="D6643" t="s">
        <v>18</v>
      </c>
      <c r="E6643">
        <v>0</v>
      </c>
    </row>
    <row r="6644" spans="3:5">
      <c r="C6644" t="s">
        <v>15</v>
      </c>
      <c r="D6644" t="s">
        <v>16</v>
      </c>
      <c r="E6644">
        <v>0</v>
      </c>
    </row>
    <row r="6645" spans="3:5">
      <c r="C6645" t="s">
        <v>15</v>
      </c>
      <c r="D6645" t="s">
        <v>16</v>
      </c>
      <c r="E6645">
        <v>0</v>
      </c>
    </row>
    <row r="6646" spans="3:5">
      <c r="C6646" t="s">
        <v>15</v>
      </c>
      <c r="D6646" t="s">
        <v>16</v>
      </c>
      <c r="E6646">
        <v>0</v>
      </c>
    </row>
    <row r="6647" spans="3:5">
      <c r="C6647" t="s">
        <v>15</v>
      </c>
      <c r="D6647" t="s">
        <v>16</v>
      </c>
      <c r="E6647">
        <v>0</v>
      </c>
    </row>
    <row r="6648" spans="3:5">
      <c r="C6648" t="s">
        <v>17</v>
      </c>
      <c r="D6648" t="s">
        <v>18</v>
      </c>
      <c r="E6648">
        <v>0</v>
      </c>
    </row>
    <row r="6649" spans="3:5">
      <c r="C6649" t="s">
        <v>17</v>
      </c>
      <c r="D6649" t="s">
        <v>18</v>
      </c>
      <c r="E6649">
        <v>0</v>
      </c>
    </row>
    <row r="6650" spans="3:5">
      <c r="C6650" t="s">
        <v>17</v>
      </c>
      <c r="D6650" t="s">
        <v>18</v>
      </c>
      <c r="E6650">
        <v>0</v>
      </c>
    </row>
    <row r="6651" spans="3:5">
      <c r="C6651" t="s">
        <v>17</v>
      </c>
      <c r="D6651" t="s">
        <v>18</v>
      </c>
      <c r="E6651">
        <v>1</v>
      </c>
    </row>
    <row r="6652" spans="3:5">
      <c r="C6652" t="s">
        <v>17</v>
      </c>
      <c r="D6652" t="s">
        <v>18</v>
      </c>
      <c r="E6652">
        <v>1</v>
      </c>
    </row>
    <row r="6653" spans="3:5">
      <c r="C6653" t="s">
        <v>17</v>
      </c>
      <c r="D6653" t="s">
        <v>18</v>
      </c>
      <c r="E6653">
        <v>0</v>
      </c>
    </row>
    <row r="6654" spans="3:5">
      <c r="C6654" t="s">
        <v>15</v>
      </c>
      <c r="D6654" t="s">
        <v>16</v>
      </c>
      <c r="E6654">
        <v>0</v>
      </c>
    </row>
    <row r="6655" spans="3:5">
      <c r="C6655" t="s">
        <v>17</v>
      </c>
      <c r="D6655" t="s">
        <v>18</v>
      </c>
      <c r="E6655">
        <v>0</v>
      </c>
    </row>
    <row r="6656" spans="3:5">
      <c r="C6656" t="s">
        <v>15</v>
      </c>
      <c r="D6656" t="s">
        <v>16</v>
      </c>
      <c r="E6656">
        <v>0</v>
      </c>
    </row>
    <row r="6657" spans="3:5">
      <c r="C6657" t="s">
        <v>17</v>
      </c>
      <c r="D6657" t="s">
        <v>18</v>
      </c>
      <c r="E6657">
        <v>0</v>
      </c>
    </row>
    <row r="6658" spans="3:5">
      <c r="C6658" t="s">
        <v>17</v>
      </c>
      <c r="D6658" t="s">
        <v>18</v>
      </c>
      <c r="E6658">
        <v>0</v>
      </c>
    </row>
    <row r="6659" spans="3:5">
      <c r="C6659" t="s">
        <v>15</v>
      </c>
      <c r="D6659" t="s">
        <v>16</v>
      </c>
      <c r="E6659">
        <v>0</v>
      </c>
    </row>
    <row r="6660" spans="3:5">
      <c r="C6660" t="s">
        <v>15</v>
      </c>
      <c r="D6660" t="s">
        <v>16</v>
      </c>
      <c r="E6660">
        <v>0</v>
      </c>
    </row>
    <row r="6661" spans="3:5">
      <c r="C6661" t="s">
        <v>15</v>
      </c>
      <c r="D6661" t="s">
        <v>16</v>
      </c>
      <c r="E6661">
        <v>1</v>
      </c>
    </row>
    <row r="6662" spans="3:5">
      <c r="C6662" t="s">
        <v>17</v>
      </c>
      <c r="D6662" t="s">
        <v>18</v>
      </c>
      <c r="E6662">
        <v>0</v>
      </c>
    </row>
    <row r="6663" spans="3:5">
      <c r="C6663" t="s">
        <v>15</v>
      </c>
      <c r="D6663" t="s">
        <v>16</v>
      </c>
      <c r="E6663">
        <v>0</v>
      </c>
    </row>
    <row r="6664" spans="3:5">
      <c r="C6664" t="s">
        <v>17</v>
      </c>
      <c r="D6664" t="s">
        <v>18</v>
      </c>
      <c r="E6664">
        <v>0</v>
      </c>
    </row>
    <row r="6665" spans="3:5">
      <c r="C6665" t="s">
        <v>17</v>
      </c>
      <c r="D6665" t="s">
        <v>18</v>
      </c>
      <c r="E6665">
        <v>0</v>
      </c>
    </row>
    <row r="6666" spans="3:5">
      <c r="C6666" t="s">
        <v>17</v>
      </c>
      <c r="D6666" t="s">
        <v>18</v>
      </c>
      <c r="E6666">
        <v>0</v>
      </c>
    </row>
    <row r="6667" spans="3:5">
      <c r="C6667" t="s">
        <v>15</v>
      </c>
      <c r="D6667" t="s">
        <v>16</v>
      </c>
      <c r="E6667">
        <v>0</v>
      </c>
    </row>
    <row r="6668" spans="3:5">
      <c r="C6668" t="s">
        <v>15</v>
      </c>
      <c r="D6668" t="s">
        <v>16</v>
      </c>
      <c r="E6668">
        <v>0</v>
      </c>
    </row>
    <row r="6669" spans="3:5">
      <c r="C6669" t="s">
        <v>17</v>
      </c>
      <c r="D6669" t="s">
        <v>18</v>
      </c>
      <c r="E6669">
        <v>0</v>
      </c>
    </row>
    <row r="6670" spans="3:5">
      <c r="C6670" t="s">
        <v>15</v>
      </c>
      <c r="D6670" t="s">
        <v>16</v>
      </c>
      <c r="E6670">
        <v>0</v>
      </c>
    </row>
    <row r="6671" spans="3:5">
      <c r="C6671" t="s">
        <v>17</v>
      </c>
      <c r="D6671" t="s">
        <v>18</v>
      </c>
      <c r="E6671">
        <v>0</v>
      </c>
    </row>
    <row r="6672" spans="3:5">
      <c r="C6672" t="s">
        <v>17</v>
      </c>
      <c r="D6672" t="s">
        <v>18</v>
      </c>
      <c r="E6672">
        <v>0</v>
      </c>
    </row>
    <row r="6673" spans="3:5">
      <c r="C6673" t="s">
        <v>15</v>
      </c>
      <c r="D6673" t="s">
        <v>16</v>
      </c>
      <c r="E6673">
        <v>0</v>
      </c>
    </row>
    <row r="6674" spans="3:5">
      <c r="C6674" t="s">
        <v>15</v>
      </c>
      <c r="D6674" t="s">
        <v>16</v>
      </c>
      <c r="E6674">
        <v>0</v>
      </c>
    </row>
    <row r="6675" spans="3:5">
      <c r="C6675" t="s">
        <v>17</v>
      </c>
      <c r="D6675" t="s">
        <v>18</v>
      </c>
      <c r="E6675">
        <v>0</v>
      </c>
    </row>
    <row r="6676" spans="3:5">
      <c r="C6676" t="s">
        <v>17</v>
      </c>
      <c r="D6676" t="s">
        <v>18</v>
      </c>
      <c r="E6676">
        <v>0</v>
      </c>
    </row>
    <row r="6677" spans="3:5">
      <c r="C6677" t="s">
        <v>15</v>
      </c>
      <c r="D6677" t="s">
        <v>16</v>
      </c>
      <c r="E6677">
        <v>0</v>
      </c>
    </row>
    <row r="6678" spans="3:5">
      <c r="C6678" t="s">
        <v>15</v>
      </c>
      <c r="D6678" t="s">
        <v>16</v>
      </c>
      <c r="E6678">
        <v>0</v>
      </c>
    </row>
    <row r="6679" spans="3:5">
      <c r="C6679" t="s">
        <v>17</v>
      </c>
      <c r="D6679" t="s">
        <v>18</v>
      </c>
      <c r="E6679">
        <v>1</v>
      </c>
    </row>
    <row r="6680" spans="3:5">
      <c r="C6680" t="s">
        <v>15</v>
      </c>
      <c r="D6680" t="s">
        <v>16</v>
      </c>
      <c r="E6680">
        <v>0</v>
      </c>
    </row>
    <row r="6681" spans="3:5">
      <c r="C6681" t="s">
        <v>15</v>
      </c>
      <c r="D6681" t="s">
        <v>16</v>
      </c>
      <c r="E6681">
        <v>0</v>
      </c>
    </row>
    <row r="6682" spans="3:5">
      <c r="C6682" t="s">
        <v>15</v>
      </c>
      <c r="D6682" t="s">
        <v>16</v>
      </c>
      <c r="E6682">
        <v>1</v>
      </c>
    </row>
    <row r="6683" spans="3:5">
      <c r="C6683" t="s">
        <v>15</v>
      </c>
      <c r="D6683" t="s">
        <v>16</v>
      </c>
      <c r="E6683">
        <v>0</v>
      </c>
    </row>
    <row r="6684" spans="3:5">
      <c r="C6684" t="s">
        <v>15</v>
      </c>
      <c r="D6684" t="s">
        <v>16</v>
      </c>
      <c r="E6684">
        <v>0</v>
      </c>
    </row>
    <row r="6685" spans="3:5">
      <c r="C6685" t="s">
        <v>15</v>
      </c>
      <c r="D6685" t="s">
        <v>16</v>
      </c>
      <c r="E6685">
        <v>0</v>
      </c>
    </row>
    <row r="6686" spans="3:5">
      <c r="C6686" t="s">
        <v>17</v>
      </c>
      <c r="D6686" t="s">
        <v>18</v>
      </c>
      <c r="E6686">
        <v>0</v>
      </c>
    </row>
    <row r="6687" spans="3:5">
      <c r="C6687" t="s">
        <v>17</v>
      </c>
      <c r="D6687" t="s">
        <v>18</v>
      </c>
      <c r="E6687">
        <v>0</v>
      </c>
    </row>
    <row r="6688" spans="3:5">
      <c r="C6688" t="s">
        <v>17</v>
      </c>
      <c r="D6688" t="s">
        <v>18</v>
      </c>
      <c r="E6688">
        <v>0</v>
      </c>
    </row>
    <row r="6689" spans="3:5">
      <c r="C6689" t="s">
        <v>17</v>
      </c>
      <c r="D6689" t="s">
        <v>18</v>
      </c>
      <c r="E6689">
        <v>0</v>
      </c>
    </row>
    <row r="6690" spans="3:5">
      <c r="C6690" t="s">
        <v>15</v>
      </c>
      <c r="D6690" t="s">
        <v>16</v>
      </c>
      <c r="E6690">
        <v>0</v>
      </c>
    </row>
    <row r="6691" spans="3:5">
      <c r="C6691" t="s">
        <v>17</v>
      </c>
      <c r="D6691" t="s">
        <v>18</v>
      </c>
      <c r="E6691">
        <v>0</v>
      </c>
    </row>
    <row r="6692" spans="3:5">
      <c r="C6692" t="s">
        <v>15</v>
      </c>
      <c r="D6692" t="s">
        <v>16</v>
      </c>
      <c r="E6692">
        <v>0</v>
      </c>
    </row>
    <row r="6693" spans="3:5">
      <c r="C6693" t="s">
        <v>15</v>
      </c>
      <c r="D6693" t="s">
        <v>16</v>
      </c>
      <c r="E6693">
        <v>0</v>
      </c>
    </row>
    <row r="6694" spans="3:5">
      <c r="C6694" t="s">
        <v>15</v>
      </c>
      <c r="D6694" t="s">
        <v>16</v>
      </c>
      <c r="E6694">
        <v>0</v>
      </c>
    </row>
    <row r="6695" spans="3:5">
      <c r="C6695" t="s">
        <v>15</v>
      </c>
      <c r="D6695" t="s">
        <v>16</v>
      </c>
      <c r="E6695">
        <v>0</v>
      </c>
    </row>
    <row r="6696" spans="3:5">
      <c r="C6696" t="s">
        <v>17</v>
      </c>
      <c r="D6696" t="s">
        <v>18</v>
      </c>
      <c r="E6696">
        <v>0</v>
      </c>
    </row>
    <row r="6697" spans="3:5">
      <c r="C6697" t="s">
        <v>17</v>
      </c>
      <c r="D6697" t="s">
        <v>18</v>
      </c>
      <c r="E6697">
        <v>0</v>
      </c>
    </row>
    <row r="6698" spans="3:5">
      <c r="C6698" t="s">
        <v>15</v>
      </c>
      <c r="D6698" t="s">
        <v>16</v>
      </c>
      <c r="E6698">
        <v>0</v>
      </c>
    </row>
    <row r="6699" spans="3:5">
      <c r="C6699" t="s">
        <v>15</v>
      </c>
      <c r="D6699" t="s">
        <v>16</v>
      </c>
      <c r="E6699">
        <v>0</v>
      </c>
    </row>
    <row r="6700" spans="3:5">
      <c r="C6700" t="s">
        <v>15</v>
      </c>
      <c r="D6700" t="s">
        <v>16</v>
      </c>
      <c r="E6700">
        <v>0</v>
      </c>
    </row>
    <row r="6701" spans="3:5">
      <c r="C6701" t="s">
        <v>15</v>
      </c>
      <c r="D6701" t="s">
        <v>16</v>
      </c>
      <c r="E6701">
        <v>0</v>
      </c>
    </row>
    <row r="6702" spans="3:5">
      <c r="C6702" t="s">
        <v>17</v>
      </c>
      <c r="D6702" t="s">
        <v>18</v>
      </c>
      <c r="E6702">
        <v>0</v>
      </c>
    </row>
    <row r="6703" spans="3:5">
      <c r="C6703" t="s">
        <v>17</v>
      </c>
      <c r="D6703" t="s">
        <v>18</v>
      </c>
      <c r="E6703">
        <v>0</v>
      </c>
    </row>
    <row r="6704" spans="3:5">
      <c r="C6704" t="s">
        <v>17</v>
      </c>
      <c r="D6704" t="s">
        <v>18</v>
      </c>
      <c r="E6704">
        <v>0</v>
      </c>
    </row>
    <row r="6705" spans="3:5">
      <c r="C6705" t="s">
        <v>15</v>
      </c>
      <c r="D6705" t="s">
        <v>16</v>
      </c>
      <c r="E6705">
        <v>0</v>
      </c>
    </row>
    <row r="6706" spans="3:5">
      <c r="C6706" t="s">
        <v>17</v>
      </c>
      <c r="D6706" t="s">
        <v>18</v>
      </c>
      <c r="E6706">
        <v>0</v>
      </c>
    </row>
    <row r="6707" spans="3:5">
      <c r="C6707" t="s">
        <v>15</v>
      </c>
      <c r="D6707" t="s">
        <v>16</v>
      </c>
      <c r="E6707">
        <v>0</v>
      </c>
    </row>
    <row r="6708" spans="3:5">
      <c r="C6708" t="s">
        <v>15</v>
      </c>
      <c r="D6708" t="s">
        <v>16</v>
      </c>
      <c r="E6708">
        <v>0</v>
      </c>
    </row>
    <row r="6709" spans="3:5">
      <c r="C6709" t="s">
        <v>15</v>
      </c>
      <c r="D6709" t="s">
        <v>16</v>
      </c>
      <c r="E6709">
        <v>0</v>
      </c>
    </row>
    <row r="6710" spans="3:5">
      <c r="C6710" t="s">
        <v>15</v>
      </c>
      <c r="D6710" t="s">
        <v>16</v>
      </c>
      <c r="E6710">
        <v>0</v>
      </c>
    </row>
    <row r="6711" spans="3:5">
      <c r="C6711" t="s">
        <v>15</v>
      </c>
      <c r="D6711" t="s">
        <v>16</v>
      </c>
      <c r="E6711">
        <v>0</v>
      </c>
    </row>
    <row r="6712" spans="3:5">
      <c r="C6712" t="s">
        <v>17</v>
      </c>
      <c r="D6712" t="s">
        <v>18</v>
      </c>
      <c r="E6712">
        <v>0</v>
      </c>
    </row>
    <row r="6713" spans="3:5">
      <c r="C6713" t="s">
        <v>15</v>
      </c>
      <c r="D6713" t="s">
        <v>16</v>
      </c>
      <c r="E6713">
        <v>0</v>
      </c>
    </row>
    <row r="6714" spans="3:5">
      <c r="C6714" t="s">
        <v>15</v>
      </c>
      <c r="D6714" t="s">
        <v>16</v>
      </c>
      <c r="E6714">
        <v>1</v>
      </c>
    </row>
    <row r="6715" spans="3:5">
      <c r="C6715" t="s">
        <v>17</v>
      </c>
      <c r="D6715" t="s">
        <v>18</v>
      </c>
      <c r="E6715">
        <v>0</v>
      </c>
    </row>
    <row r="6716" spans="3:5">
      <c r="C6716" t="s">
        <v>15</v>
      </c>
      <c r="D6716" t="s">
        <v>16</v>
      </c>
      <c r="E6716">
        <v>1</v>
      </c>
    </row>
    <row r="6717" spans="3:5">
      <c r="C6717" t="s">
        <v>17</v>
      </c>
      <c r="D6717" t="s">
        <v>18</v>
      </c>
      <c r="E6717">
        <v>0</v>
      </c>
    </row>
    <row r="6718" spans="3:5">
      <c r="C6718" t="s">
        <v>15</v>
      </c>
      <c r="D6718" t="s">
        <v>16</v>
      </c>
      <c r="E6718">
        <v>0</v>
      </c>
    </row>
    <row r="6719" spans="3:5">
      <c r="C6719" t="s">
        <v>15</v>
      </c>
      <c r="D6719" t="s">
        <v>16</v>
      </c>
      <c r="E6719">
        <v>0</v>
      </c>
    </row>
    <row r="6720" spans="3:5">
      <c r="C6720" t="s">
        <v>17</v>
      </c>
      <c r="D6720" t="s">
        <v>18</v>
      </c>
      <c r="E6720">
        <v>0</v>
      </c>
    </row>
    <row r="6721" spans="3:5">
      <c r="C6721" t="s">
        <v>17</v>
      </c>
      <c r="D6721" t="s">
        <v>18</v>
      </c>
      <c r="E6721">
        <v>0</v>
      </c>
    </row>
    <row r="6722" spans="3:5">
      <c r="C6722" t="s">
        <v>15</v>
      </c>
      <c r="D6722" t="s">
        <v>16</v>
      </c>
      <c r="E6722">
        <v>0</v>
      </c>
    </row>
    <row r="6723" spans="3:5">
      <c r="C6723" t="s">
        <v>17</v>
      </c>
      <c r="D6723" t="s">
        <v>18</v>
      </c>
      <c r="E6723">
        <v>0</v>
      </c>
    </row>
    <row r="6724" spans="3:5">
      <c r="C6724" t="s">
        <v>15</v>
      </c>
      <c r="D6724" t="s">
        <v>16</v>
      </c>
      <c r="E6724">
        <v>0</v>
      </c>
    </row>
    <row r="6725" spans="3:5">
      <c r="C6725" t="s">
        <v>17</v>
      </c>
      <c r="D6725" t="s">
        <v>18</v>
      </c>
      <c r="E6725">
        <v>0</v>
      </c>
    </row>
    <row r="6726" spans="3:5">
      <c r="C6726" t="s">
        <v>15</v>
      </c>
      <c r="D6726" t="s">
        <v>16</v>
      </c>
      <c r="E6726">
        <v>0</v>
      </c>
    </row>
    <row r="6727" spans="3:5">
      <c r="C6727" t="s">
        <v>17</v>
      </c>
      <c r="D6727" t="s">
        <v>18</v>
      </c>
      <c r="E6727">
        <v>0</v>
      </c>
    </row>
    <row r="6728" spans="3:5">
      <c r="C6728" t="s">
        <v>17</v>
      </c>
      <c r="D6728" t="s">
        <v>18</v>
      </c>
      <c r="E6728">
        <v>0</v>
      </c>
    </row>
    <row r="6729" spans="3:5">
      <c r="C6729" t="s">
        <v>17</v>
      </c>
      <c r="D6729" t="s">
        <v>18</v>
      </c>
      <c r="E6729">
        <v>0</v>
      </c>
    </row>
    <row r="6730" spans="3:5">
      <c r="C6730" t="s">
        <v>15</v>
      </c>
      <c r="D6730" t="s">
        <v>16</v>
      </c>
      <c r="E6730">
        <v>0</v>
      </c>
    </row>
    <row r="6731" spans="3:5">
      <c r="C6731" t="s">
        <v>17</v>
      </c>
      <c r="D6731" t="s">
        <v>18</v>
      </c>
      <c r="E6731">
        <v>0</v>
      </c>
    </row>
    <row r="6732" spans="3:5">
      <c r="C6732" t="s">
        <v>15</v>
      </c>
      <c r="D6732" t="s">
        <v>16</v>
      </c>
      <c r="E6732">
        <v>0</v>
      </c>
    </row>
    <row r="6733" spans="3:5">
      <c r="C6733" t="s">
        <v>17</v>
      </c>
      <c r="D6733" t="s">
        <v>18</v>
      </c>
      <c r="E6733">
        <v>0</v>
      </c>
    </row>
    <row r="6734" spans="3:5">
      <c r="C6734" t="s">
        <v>17</v>
      </c>
      <c r="D6734" t="s">
        <v>18</v>
      </c>
      <c r="E6734">
        <v>0</v>
      </c>
    </row>
    <row r="6735" spans="3:5">
      <c r="C6735" t="s">
        <v>15</v>
      </c>
      <c r="D6735" t="s">
        <v>16</v>
      </c>
      <c r="E6735">
        <v>0</v>
      </c>
    </row>
    <row r="6736" spans="3:5">
      <c r="C6736" t="s">
        <v>15</v>
      </c>
      <c r="D6736" t="s">
        <v>16</v>
      </c>
      <c r="E6736">
        <v>0</v>
      </c>
    </row>
    <row r="6737" spans="3:5">
      <c r="C6737" t="s">
        <v>17</v>
      </c>
      <c r="D6737" t="s">
        <v>18</v>
      </c>
      <c r="E6737">
        <v>0</v>
      </c>
    </row>
    <row r="6738" spans="3:5">
      <c r="C6738" t="s">
        <v>17</v>
      </c>
      <c r="D6738" t="s">
        <v>18</v>
      </c>
      <c r="E6738">
        <v>0</v>
      </c>
    </row>
    <row r="6739" spans="3:5">
      <c r="C6739" t="s">
        <v>15</v>
      </c>
      <c r="D6739" t="s">
        <v>16</v>
      </c>
      <c r="E6739">
        <v>0</v>
      </c>
    </row>
    <row r="6740" spans="3:5">
      <c r="C6740" t="s">
        <v>17</v>
      </c>
      <c r="D6740" t="s">
        <v>18</v>
      </c>
      <c r="E6740">
        <v>0</v>
      </c>
    </row>
    <row r="6741" spans="3:5">
      <c r="C6741" t="s">
        <v>17</v>
      </c>
      <c r="D6741" t="s">
        <v>18</v>
      </c>
      <c r="E6741">
        <v>0</v>
      </c>
    </row>
    <row r="6742" spans="3:5">
      <c r="C6742" t="s">
        <v>15</v>
      </c>
      <c r="D6742" t="s">
        <v>16</v>
      </c>
      <c r="E6742">
        <v>0</v>
      </c>
    </row>
    <row r="6743" spans="3:5">
      <c r="C6743" t="s">
        <v>17</v>
      </c>
      <c r="D6743" t="s">
        <v>18</v>
      </c>
      <c r="E6743">
        <v>0</v>
      </c>
    </row>
    <row r="6744" spans="3:5">
      <c r="C6744" t="s">
        <v>17</v>
      </c>
      <c r="D6744" t="s">
        <v>18</v>
      </c>
      <c r="E6744">
        <v>0</v>
      </c>
    </row>
    <row r="6745" spans="3:5">
      <c r="C6745" t="s">
        <v>15</v>
      </c>
      <c r="D6745" t="s">
        <v>16</v>
      </c>
      <c r="E6745">
        <v>0</v>
      </c>
    </row>
    <row r="6746" spans="3:5">
      <c r="C6746" t="s">
        <v>17</v>
      </c>
      <c r="D6746" t="s">
        <v>18</v>
      </c>
      <c r="E6746">
        <v>0</v>
      </c>
    </row>
    <row r="6747" spans="3:5">
      <c r="C6747" t="s">
        <v>17</v>
      </c>
      <c r="D6747" t="s">
        <v>18</v>
      </c>
      <c r="E6747">
        <v>0</v>
      </c>
    </row>
    <row r="6748" spans="3:5">
      <c r="C6748" t="s">
        <v>17</v>
      </c>
      <c r="D6748" t="s">
        <v>18</v>
      </c>
      <c r="E6748">
        <v>0</v>
      </c>
    </row>
    <row r="6749" spans="3:5">
      <c r="C6749" t="s">
        <v>15</v>
      </c>
      <c r="D6749" t="s">
        <v>16</v>
      </c>
      <c r="E6749">
        <v>0</v>
      </c>
    </row>
    <row r="6750" spans="3:5">
      <c r="C6750" t="s">
        <v>17</v>
      </c>
      <c r="D6750" t="s">
        <v>18</v>
      </c>
      <c r="E6750">
        <v>0</v>
      </c>
    </row>
    <row r="6751" spans="3:5">
      <c r="C6751" t="s">
        <v>15</v>
      </c>
      <c r="D6751" t="s">
        <v>16</v>
      </c>
      <c r="E6751">
        <v>0</v>
      </c>
    </row>
    <row r="6752" spans="3:5">
      <c r="C6752" t="s">
        <v>17</v>
      </c>
      <c r="D6752" t="s">
        <v>18</v>
      </c>
      <c r="E6752">
        <v>0</v>
      </c>
    </row>
    <row r="6753" spans="3:5">
      <c r="C6753" t="s">
        <v>15</v>
      </c>
      <c r="D6753" t="s">
        <v>16</v>
      </c>
      <c r="E6753">
        <v>0</v>
      </c>
    </row>
    <row r="6754" spans="3:5">
      <c r="C6754" t="s">
        <v>17</v>
      </c>
      <c r="D6754" t="s">
        <v>18</v>
      </c>
      <c r="E6754">
        <v>0</v>
      </c>
    </row>
    <row r="6755" spans="3:5">
      <c r="C6755" t="s">
        <v>15</v>
      </c>
      <c r="D6755" t="s">
        <v>16</v>
      </c>
      <c r="E6755">
        <v>0</v>
      </c>
    </row>
    <row r="6756" spans="3:5">
      <c r="C6756" t="s">
        <v>17</v>
      </c>
      <c r="D6756" t="s">
        <v>18</v>
      </c>
      <c r="E6756">
        <v>0</v>
      </c>
    </row>
    <row r="6757" spans="3:5">
      <c r="C6757" t="s">
        <v>17</v>
      </c>
      <c r="D6757" t="s">
        <v>18</v>
      </c>
      <c r="E6757">
        <v>1</v>
      </c>
    </row>
    <row r="6758" spans="3:5">
      <c r="C6758" t="s">
        <v>17</v>
      </c>
      <c r="D6758" t="s">
        <v>18</v>
      </c>
      <c r="E6758">
        <v>0</v>
      </c>
    </row>
    <row r="6759" spans="3:5">
      <c r="C6759" t="s">
        <v>17</v>
      </c>
      <c r="D6759" t="s">
        <v>18</v>
      </c>
      <c r="E6759">
        <v>0</v>
      </c>
    </row>
    <row r="6760" spans="3:5">
      <c r="C6760" t="s">
        <v>17</v>
      </c>
      <c r="D6760" t="s">
        <v>18</v>
      </c>
      <c r="E6760">
        <v>0</v>
      </c>
    </row>
    <row r="6761" spans="3:5">
      <c r="C6761" t="s">
        <v>17</v>
      </c>
      <c r="D6761" t="s">
        <v>18</v>
      </c>
      <c r="E6761">
        <v>0</v>
      </c>
    </row>
    <row r="6762" spans="3:5">
      <c r="C6762" t="s">
        <v>15</v>
      </c>
      <c r="D6762" t="s">
        <v>16</v>
      </c>
      <c r="E6762">
        <v>0</v>
      </c>
    </row>
    <row r="6763" spans="3:5">
      <c r="C6763" t="s">
        <v>15</v>
      </c>
      <c r="D6763" t="s">
        <v>16</v>
      </c>
      <c r="E6763">
        <v>0</v>
      </c>
    </row>
    <row r="6764" spans="3:5">
      <c r="C6764" t="s">
        <v>15</v>
      </c>
      <c r="D6764" t="s">
        <v>16</v>
      </c>
      <c r="E6764">
        <v>0</v>
      </c>
    </row>
    <row r="6765" spans="3:5">
      <c r="C6765" t="s">
        <v>17</v>
      </c>
      <c r="D6765" t="s">
        <v>18</v>
      </c>
      <c r="E6765">
        <v>0</v>
      </c>
    </row>
    <row r="6766" spans="3:5">
      <c r="C6766" t="s">
        <v>17</v>
      </c>
      <c r="D6766" t="s">
        <v>18</v>
      </c>
      <c r="E6766">
        <v>0</v>
      </c>
    </row>
    <row r="6767" spans="3:5">
      <c r="C6767" t="s">
        <v>15</v>
      </c>
      <c r="D6767" t="s">
        <v>16</v>
      </c>
      <c r="E6767">
        <v>0</v>
      </c>
    </row>
    <row r="6768" spans="3:5">
      <c r="C6768" t="s">
        <v>15</v>
      </c>
      <c r="D6768" t="s">
        <v>16</v>
      </c>
      <c r="E6768">
        <v>0</v>
      </c>
    </row>
    <row r="6769" spans="3:5">
      <c r="C6769" t="s">
        <v>17</v>
      </c>
      <c r="D6769" t="s">
        <v>18</v>
      </c>
      <c r="E6769">
        <v>0</v>
      </c>
    </row>
    <row r="6770" spans="3:5">
      <c r="C6770" t="s">
        <v>17</v>
      </c>
      <c r="D6770" t="s">
        <v>18</v>
      </c>
      <c r="E6770">
        <v>0</v>
      </c>
    </row>
    <row r="6771" spans="3:5">
      <c r="C6771" t="s">
        <v>15</v>
      </c>
      <c r="D6771" t="s">
        <v>16</v>
      </c>
      <c r="E6771">
        <v>0</v>
      </c>
    </row>
    <row r="6772" spans="3:5">
      <c r="C6772" t="s">
        <v>17</v>
      </c>
      <c r="D6772" t="s">
        <v>18</v>
      </c>
      <c r="E6772">
        <v>0</v>
      </c>
    </row>
    <row r="6773" spans="3:5">
      <c r="C6773" t="s">
        <v>17</v>
      </c>
      <c r="D6773" t="s">
        <v>18</v>
      </c>
      <c r="E6773">
        <v>0</v>
      </c>
    </row>
    <row r="6774" spans="3:5">
      <c r="C6774" t="s">
        <v>17</v>
      </c>
      <c r="D6774" t="s">
        <v>18</v>
      </c>
      <c r="E6774">
        <v>0</v>
      </c>
    </row>
    <row r="6775" spans="3:5">
      <c r="C6775" t="s">
        <v>17</v>
      </c>
      <c r="D6775" t="s">
        <v>18</v>
      </c>
      <c r="E6775">
        <v>0</v>
      </c>
    </row>
    <row r="6776" spans="3:5">
      <c r="C6776" t="s">
        <v>17</v>
      </c>
      <c r="D6776" t="s">
        <v>18</v>
      </c>
      <c r="E6776">
        <v>1</v>
      </c>
    </row>
    <row r="6777" spans="3:5">
      <c r="C6777" t="s">
        <v>15</v>
      </c>
      <c r="D6777" t="s">
        <v>16</v>
      </c>
      <c r="E6777">
        <v>0</v>
      </c>
    </row>
    <row r="6778" spans="3:5">
      <c r="C6778" t="s">
        <v>15</v>
      </c>
      <c r="D6778" t="s">
        <v>16</v>
      </c>
      <c r="E6778">
        <v>0</v>
      </c>
    </row>
    <row r="6779" spans="3:5">
      <c r="C6779" t="s">
        <v>17</v>
      </c>
      <c r="D6779" t="s">
        <v>18</v>
      </c>
      <c r="E6779">
        <v>0</v>
      </c>
    </row>
    <row r="6780" spans="3:5">
      <c r="C6780" t="s">
        <v>17</v>
      </c>
      <c r="D6780" t="s">
        <v>18</v>
      </c>
      <c r="E6780">
        <v>0</v>
      </c>
    </row>
    <row r="6781" spans="3:5">
      <c r="C6781" t="s">
        <v>17</v>
      </c>
      <c r="D6781" t="s">
        <v>18</v>
      </c>
      <c r="E6781">
        <v>0</v>
      </c>
    </row>
    <row r="6782" spans="3:5">
      <c r="C6782" t="s">
        <v>17</v>
      </c>
      <c r="D6782" t="s">
        <v>18</v>
      </c>
      <c r="E6782">
        <v>0</v>
      </c>
    </row>
    <row r="6783" spans="3:5">
      <c r="C6783" t="s">
        <v>17</v>
      </c>
      <c r="D6783" t="s">
        <v>18</v>
      </c>
      <c r="E6783">
        <v>0</v>
      </c>
    </row>
    <row r="6784" spans="3:5">
      <c r="C6784" t="s">
        <v>17</v>
      </c>
      <c r="D6784" t="s">
        <v>18</v>
      </c>
      <c r="E6784">
        <v>0</v>
      </c>
    </row>
    <row r="6785" spans="3:5">
      <c r="C6785" t="s">
        <v>17</v>
      </c>
      <c r="D6785" t="s">
        <v>18</v>
      </c>
      <c r="E6785">
        <v>0</v>
      </c>
    </row>
    <row r="6786" spans="3:5">
      <c r="C6786" t="s">
        <v>17</v>
      </c>
      <c r="D6786" t="s">
        <v>18</v>
      </c>
      <c r="E6786">
        <v>0</v>
      </c>
    </row>
    <row r="6787" spans="3:5">
      <c r="C6787" t="s">
        <v>17</v>
      </c>
      <c r="D6787" t="s">
        <v>18</v>
      </c>
      <c r="E6787">
        <v>0</v>
      </c>
    </row>
    <row r="6788" spans="3:5">
      <c r="C6788" t="s">
        <v>17</v>
      </c>
      <c r="D6788" t="s">
        <v>18</v>
      </c>
      <c r="E6788">
        <v>0</v>
      </c>
    </row>
    <row r="6789" spans="3:5">
      <c r="C6789" t="s">
        <v>17</v>
      </c>
      <c r="D6789" t="s">
        <v>18</v>
      </c>
      <c r="E6789">
        <v>0</v>
      </c>
    </row>
    <row r="6790" spans="3:5">
      <c r="C6790" t="s">
        <v>15</v>
      </c>
      <c r="D6790" t="s">
        <v>16</v>
      </c>
      <c r="E6790">
        <v>0</v>
      </c>
    </row>
    <row r="6791" spans="3:5">
      <c r="C6791" t="s">
        <v>15</v>
      </c>
      <c r="D6791" t="s">
        <v>16</v>
      </c>
      <c r="E6791">
        <v>0</v>
      </c>
    </row>
    <row r="6792" spans="3:5">
      <c r="C6792" t="s">
        <v>15</v>
      </c>
      <c r="D6792" t="s">
        <v>16</v>
      </c>
      <c r="E6792">
        <v>0</v>
      </c>
    </row>
    <row r="6793" spans="3:5">
      <c r="C6793" t="s">
        <v>15</v>
      </c>
      <c r="D6793" t="s">
        <v>16</v>
      </c>
      <c r="E6793">
        <v>0</v>
      </c>
    </row>
    <row r="6794" spans="3:5">
      <c r="C6794" t="s">
        <v>17</v>
      </c>
      <c r="D6794" t="s">
        <v>18</v>
      </c>
      <c r="E6794">
        <v>0</v>
      </c>
    </row>
    <row r="6795" spans="3:5">
      <c r="C6795" t="s">
        <v>15</v>
      </c>
      <c r="D6795" t="s">
        <v>16</v>
      </c>
      <c r="E6795">
        <v>0</v>
      </c>
    </row>
    <row r="6796" spans="3:5">
      <c r="C6796" t="s">
        <v>17</v>
      </c>
      <c r="D6796" t="s">
        <v>18</v>
      </c>
      <c r="E6796">
        <v>0</v>
      </c>
    </row>
    <row r="6797" spans="3:5">
      <c r="C6797" t="s">
        <v>17</v>
      </c>
      <c r="D6797" t="s">
        <v>18</v>
      </c>
      <c r="E6797">
        <v>0</v>
      </c>
    </row>
    <row r="6798" spans="3:5">
      <c r="C6798" t="s">
        <v>15</v>
      </c>
      <c r="D6798" t="s">
        <v>16</v>
      </c>
      <c r="E6798">
        <v>0</v>
      </c>
    </row>
    <row r="6799" spans="3:5">
      <c r="C6799" t="s">
        <v>15</v>
      </c>
      <c r="D6799" t="s">
        <v>16</v>
      </c>
      <c r="E6799">
        <v>0</v>
      </c>
    </row>
    <row r="6800" spans="3:5">
      <c r="C6800" t="s">
        <v>15</v>
      </c>
      <c r="D6800" t="s">
        <v>16</v>
      </c>
      <c r="E6800">
        <v>0</v>
      </c>
    </row>
    <row r="6801" spans="3:5">
      <c r="C6801" t="s">
        <v>17</v>
      </c>
      <c r="D6801" t="s">
        <v>18</v>
      </c>
      <c r="E6801">
        <v>0</v>
      </c>
    </row>
    <row r="6802" spans="3:5">
      <c r="C6802" t="s">
        <v>15</v>
      </c>
      <c r="D6802" t="s">
        <v>16</v>
      </c>
      <c r="E6802">
        <v>0</v>
      </c>
    </row>
    <row r="6803" spans="3:5">
      <c r="C6803" t="s">
        <v>17</v>
      </c>
      <c r="D6803" t="s">
        <v>18</v>
      </c>
      <c r="E6803">
        <v>0</v>
      </c>
    </row>
    <row r="6804" spans="3:5">
      <c r="C6804" t="s">
        <v>17</v>
      </c>
      <c r="D6804" t="s">
        <v>18</v>
      </c>
      <c r="E6804">
        <v>0</v>
      </c>
    </row>
    <row r="6805" spans="3:5">
      <c r="C6805" t="s">
        <v>15</v>
      </c>
      <c r="D6805" t="s">
        <v>16</v>
      </c>
      <c r="E6805">
        <v>0</v>
      </c>
    </row>
    <row r="6806" spans="3:5">
      <c r="C6806" t="s">
        <v>17</v>
      </c>
      <c r="D6806" t="s">
        <v>18</v>
      </c>
      <c r="E6806">
        <v>0</v>
      </c>
    </row>
    <row r="6807" spans="3:5">
      <c r="C6807" t="s">
        <v>17</v>
      </c>
      <c r="D6807" t="s">
        <v>18</v>
      </c>
      <c r="E6807">
        <v>0</v>
      </c>
    </row>
    <row r="6808" spans="3:5">
      <c r="C6808" t="s">
        <v>17</v>
      </c>
      <c r="D6808" t="s">
        <v>18</v>
      </c>
      <c r="E6808">
        <v>0</v>
      </c>
    </row>
    <row r="6809" spans="3:5">
      <c r="C6809" t="s">
        <v>17</v>
      </c>
      <c r="D6809" t="s">
        <v>18</v>
      </c>
      <c r="E6809">
        <v>0</v>
      </c>
    </row>
    <row r="6810" spans="3:5">
      <c r="C6810" t="s">
        <v>15</v>
      </c>
      <c r="D6810" t="s">
        <v>16</v>
      </c>
      <c r="E6810">
        <v>0</v>
      </c>
    </row>
    <row r="6811" spans="3:5">
      <c r="C6811" t="s">
        <v>15</v>
      </c>
      <c r="D6811" t="s">
        <v>16</v>
      </c>
      <c r="E6811">
        <v>0</v>
      </c>
    </row>
    <row r="6812" spans="3:5">
      <c r="C6812" t="s">
        <v>15</v>
      </c>
      <c r="D6812" t="s">
        <v>16</v>
      </c>
      <c r="E6812">
        <v>0</v>
      </c>
    </row>
    <row r="6813" spans="3:5">
      <c r="C6813" t="s">
        <v>17</v>
      </c>
      <c r="D6813" t="s">
        <v>18</v>
      </c>
      <c r="E6813">
        <v>0</v>
      </c>
    </row>
    <row r="6814" spans="3:5">
      <c r="C6814" t="s">
        <v>17</v>
      </c>
      <c r="D6814" t="s">
        <v>18</v>
      </c>
      <c r="E6814">
        <v>0</v>
      </c>
    </row>
    <row r="6815" spans="3:5">
      <c r="C6815" t="s">
        <v>15</v>
      </c>
      <c r="D6815" t="s">
        <v>16</v>
      </c>
      <c r="E6815">
        <v>0</v>
      </c>
    </row>
    <row r="6816" spans="3:5">
      <c r="C6816" t="s">
        <v>15</v>
      </c>
      <c r="D6816" t="s">
        <v>16</v>
      </c>
      <c r="E6816">
        <v>0</v>
      </c>
    </row>
    <row r="6817" spans="3:5">
      <c r="C6817" t="s">
        <v>17</v>
      </c>
      <c r="D6817" t="s">
        <v>18</v>
      </c>
      <c r="E6817">
        <v>0</v>
      </c>
    </row>
    <row r="6818" spans="3:5">
      <c r="C6818" t="s">
        <v>15</v>
      </c>
      <c r="D6818" t="s">
        <v>16</v>
      </c>
      <c r="E6818">
        <v>0</v>
      </c>
    </row>
    <row r="6819" spans="3:5">
      <c r="C6819" t="s">
        <v>15</v>
      </c>
      <c r="D6819" t="s">
        <v>16</v>
      </c>
      <c r="E6819">
        <v>1</v>
      </c>
    </row>
    <row r="6820" spans="3:5">
      <c r="C6820" t="s">
        <v>17</v>
      </c>
      <c r="D6820" t="s">
        <v>18</v>
      </c>
      <c r="E6820">
        <v>0</v>
      </c>
    </row>
    <row r="6821" spans="3:5">
      <c r="C6821" t="s">
        <v>17</v>
      </c>
      <c r="D6821" t="s">
        <v>18</v>
      </c>
      <c r="E6821">
        <v>1</v>
      </c>
    </row>
    <row r="6822" spans="3:5">
      <c r="C6822" t="s">
        <v>17</v>
      </c>
      <c r="D6822" t="s">
        <v>18</v>
      </c>
      <c r="E6822">
        <v>0</v>
      </c>
    </row>
    <row r="6823" spans="3:5">
      <c r="C6823" t="s">
        <v>15</v>
      </c>
      <c r="D6823" t="s">
        <v>16</v>
      </c>
      <c r="E6823">
        <v>0</v>
      </c>
    </row>
    <row r="6824" spans="3:5">
      <c r="C6824" t="s">
        <v>15</v>
      </c>
      <c r="D6824" t="s">
        <v>16</v>
      </c>
      <c r="E6824">
        <v>0</v>
      </c>
    </row>
    <row r="6825" spans="3:5">
      <c r="C6825" t="s">
        <v>15</v>
      </c>
      <c r="D6825" t="s">
        <v>16</v>
      </c>
      <c r="E6825">
        <v>0</v>
      </c>
    </row>
    <row r="6826" spans="3:5">
      <c r="C6826" t="s">
        <v>15</v>
      </c>
      <c r="D6826" t="s">
        <v>16</v>
      </c>
      <c r="E6826">
        <v>0</v>
      </c>
    </row>
    <row r="6827" spans="3:5">
      <c r="C6827" t="s">
        <v>17</v>
      </c>
      <c r="D6827" t="s">
        <v>18</v>
      </c>
      <c r="E6827">
        <v>0</v>
      </c>
    </row>
    <row r="6828" spans="3:5">
      <c r="C6828" t="s">
        <v>17</v>
      </c>
      <c r="D6828" t="s">
        <v>18</v>
      </c>
      <c r="E6828">
        <v>0</v>
      </c>
    </row>
    <row r="6829" spans="3:5">
      <c r="C6829" t="s">
        <v>17</v>
      </c>
      <c r="D6829" t="s">
        <v>18</v>
      </c>
      <c r="E6829">
        <v>0</v>
      </c>
    </row>
    <row r="6830" spans="3:5">
      <c r="C6830" t="s">
        <v>17</v>
      </c>
      <c r="D6830" t="s">
        <v>18</v>
      </c>
      <c r="E6830">
        <v>0</v>
      </c>
    </row>
    <row r="6831" spans="3:5">
      <c r="C6831" t="s">
        <v>15</v>
      </c>
      <c r="D6831" t="s">
        <v>16</v>
      </c>
      <c r="E6831">
        <v>0</v>
      </c>
    </row>
    <row r="6832" spans="3:5">
      <c r="C6832" t="s">
        <v>17</v>
      </c>
      <c r="D6832" t="s">
        <v>18</v>
      </c>
      <c r="E6832">
        <v>0</v>
      </c>
    </row>
    <row r="6833" spans="3:5">
      <c r="C6833" t="s">
        <v>15</v>
      </c>
      <c r="D6833" t="s">
        <v>16</v>
      </c>
      <c r="E6833">
        <v>0</v>
      </c>
    </row>
    <row r="6834" spans="3:5">
      <c r="C6834" t="s">
        <v>15</v>
      </c>
      <c r="D6834" t="s">
        <v>16</v>
      </c>
      <c r="E6834">
        <v>0</v>
      </c>
    </row>
    <row r="6835" spans="3:5">
      <c r="C6835" t="s">
        <v>17</v>
      </c>
      <c r="D6835" t="s">
        <v>18</v>
      </c>
      <c r="E6835">
        <v>0</v>
      </c>
    </row>
    <row r="6836" spans="3:5">
      <c r="C6836" t="s">
        <v>17</v>
      </c>
      <c r="D6836" t="s">
        <v>18</v>
      </c>
      <c r="E6836">
        <v>0</v>
      </c>
    </row>
    <row r="6837" spans="3:5">
      <c r="C6837" t="s">
        <v>15</v>
      </c>
      <c r="D6837" t="s">
        <v>16</v>
      </c>
      <c r="E6837">
        <v>0</v>
      </c>
    </row>
    <row r="6838" spans="3:5">
      <c r="C6838" t="s">
        <v>17</v>
      </c>
      <c r="D6838" t="s">
        <v>18</v>
      </c>
      <c r="E6838">
        <v>0</v>
      </c>
    </row>
    <row r="6839" spans="3:5">
      <c r="C6839" t="s">
        <v>15</v>
      </c>
      <c r="D6839" t="s">
        <v>16</v>
      </c>
      <c r="E6839">
        <v>0</v>
      </c>
    </row>
    <row r="6840" spans="3:5">
      <c r="C6840" t="s">
        <v>17</v>
      </c>
      <c r="D6840" t="s">
        <v>18</v>
      </c>
      <c r="E6840">
        <v>0</v>
      </c>
    </row>
    <row r="6841" spans="3:5">
      <c r="C6841" t="s">
        <v>17</v>
      </c>
      <c r="D6841" t="s">
        <v>18</v>
      </c>
      <c r="E6841">
        <v>0</v>
      </c>
    </row>
    <row r="6842" spans="3:5">
      <c r="C6842" t="s">
        <v>15</v>
      </c>
      <c r="D6842" t="s">
        <v>16</v>
      </c>
      <c r="E6842">
        <v>0</v>
      </c>
    </row>
    <row r="6843" spans="3:5">
      <c r="C6843" t="s">
        <v>15</v>
      </c>
      <c r="D6843" t="s">
        <v>16</v>
      </c>
      <c r="E6843">
        <v>0</v>
      </c>
    </row>
    <row r="6844" spans="3:5">
      <c r="C6844" t="s">
        <v>15</v>
      </c>
      <c r="D6844" t="s">
        <v>16</v>
      </c>
      <c r="E6844">
        <v>0</v>
      </c>
    </row>
    <row r="6845" spans="3:5">
      <c r="C6845" t="s">
        <v>17</v>
      </c>
      <c r="D6845" t="s">
        <v>18</v>
      </c>
      <c r="E6845">
        <v>0</v>
      </c>
    </row>
    <row r="6846" spans="3:5">
      <c r="C6846" t="s">
        <v>17</v>
      </c>
      <c r="D6846" t="s">
        <v>18</v>
      </c>
      <c r="E6846">
        <v>0</v>
      </c>
    </row>
    <row r="6847" spans="3:5">
      <c r="C6847" t="s">
        <v>15</v>
      </c>
      <c r="D6847" t="s">
        <v>16</v>
      </c>
      <c r="E6847">
        <v>0</v>
      </c>
    </row>
    <row r="6848" spans="3:5">
      <c r="C6848" t="s">
        <v>17</v>
      </c>
      <c r="D6848" t="s">
        <v>18</v>
      </c>
      <c r="E6848">
        <v>0</v>
      </c>
    </row>
    <row r="6849" spans="3:5">
      <c r="C6849" t="s">
        <v>17</v>
      </c>
      <c r="D6849" t="s">
        <v>18</v>
      </c>
      <c r="E6849">
        <v>0</v>
      </c>
    </row>
    <row r="6850" spans="3:5">
      <c r="C6850" t="s">
        <v>17</v>
      </c>
      <c r="D6850" t="s">
        <v>18</v>
      </c>
      <c r="E6850">
        <v>0</v>
      </c>
    </row>
    <row r="6851" spans="3:5">
      <c r="C6851" t="s">
        <v>15</v>
      </c>
      <c r="D6851" t="s">
        <v>16</v>
      </c>
      <c r="E6851">
        <v>1</v>
      </c>
    </row>
    <row r="6852" spans="3:5">
      <c r="C6852" t="s">
        <v>15</v>
      </c>
      <c r="D6852" t="s">
        <v>16</v>
      </c>
      <c r="E6852">
        <v>0</v>
      </c>
    </row>
    <row r="6853" spans="3:5">
      <c r="C6853" t="s">
        <v>15</v>
      </c>
      <c r="D6853" t="s">
        <v>16</v>
      </c>
      <c r="E6853">
        <v>0</v>
      </c>
    </row>
    <row r="6854" spans="3:5">
      <c r="C6854" t="s">
        <v>17</v>
      </c>
      <c r="D6854" t="s">
        <v>18</v>
      </c>
      <c r="E6854">
        <v>0</v>
      </c>
    </row>
    <row r="6855" spans="3:5">
      <c r="C6855" t="s">
        <v>17</v>
      </c>
      <c r="D6855" t="s">
        <v>18</v>
      </c>
      <c r="E6855">
        <v>0</v>
      </c>
    </row>
    <row r="6856" spans="3:5">
      <c r="C6856" t="s">
        <v>15</v>
      </c>
      <c r="D6856" t="s">
        <v>16</v>
      </c>
      <c r="E6856">
        <v>1</v>
      </c>
    </row>
    <row r="6857" spans="3:5">
      <c r="C6857" t="s">
        <v>15</v>
      </c>
      <c r="D6857" t="s">
        <v>16</v>
      </c>
      <c r="E6857">
        <v>1</v>
      </c>
    </row>
    <row r="6858" spans="3:5">
      <c r="C6858" t="s">
        <v>17</v>
      </c>
      <c r="D6858" t="s">
        <v>18</v>
      </c>
      <c r="E6858">
        <v>0</v>
      </c>
    </row>
    <row r="6859" spans="3:5">
      <c r="C6859" t="s">
        <v>17</v>
      </c>
      <c r="D6859" t="s">
        <v>18</v>
      </c>
      <c r="E6859">
        <v>0</v>
      </c>
    </row>
    <row r="6860" spans="3:5">
      <c r="C6860" t="s">
        <v>17</v>
      </c>
      <c r="D6860" t="s">
        <v>18</v>
      </c>
      <c r="E6860">
        <v>0</v>
      </c>
    </row>
    <row r="6861" spans="3:5">
      <c r="C6861" t="s">
        <v>17</v>
      </c>
      <c r="D6861" t="s">
        <v>18</v>
      </c>
      <c r="E6861">
        <v>0</v>
      </c>
    </row>
    <row r="6862" spans="3:5">
      <c r="C6862" t="s">
        <v>15</v>
      </c>
      <c r="D6862" t="s">
        <v>16</v>
      </c>
      <c r="E6862">
        <v>0</v>
      </c>
    </row>
    <row r="6863" spans="3:5">
      <c r="C6863" t="s">
        <v>15</v>
      </c>
      <c r="D6863" t="s">
        <v>16</v>
      </c>
      <c r="E6863">
        <v>0</v>
      </c>
    </row>
    <row r="6864" spans="3:5">
      <c r="C6864" t="s">
        <v>15</v>
      </c>
      <c r="D6864" t="s">
        <v>16</v>
      </c>
      <c r="E6864">
        <v>0</v>
      </c>
    </row>
    <row r="6865" spans="3:5">
      <c r="C6865" t="s">
        <v>17</v>
      </c>
      <c r="D6865" t="s">
        <v>18</v>
      </c>
      <c r="E6865">
        <v>0</v>
      </c>
    </row>
    <row r="6866" spans="3:5">
      <c r="C6866" t="s">
        <v>17</v>
      </c>
      <c r="D6866" t="s">
        <v>18</v>
      </c>
      <c r="E6866">
        <v>0</v>
      </c>
    </row>
    <row r="6867" spans="3:5">
      <c r="C6867" t="s">
        <v>17</v>
      </c>
      <c r="D6867" t="s">
        <v>18</v>
      </c>
      <c r="E6867">
        <v>0</v>
      </c>
    </row>
    <row r="6868" spans="3:5">
      <c r="C6868" t="s">
        <v>15</v>
      </c>
      <c r="D6868" t="s">
        <v>16</v>
      </c>
      <c r="E6868">
        <v>0</v>
      </c>
    </row>
    <row r="6869" spans="3:5">
      <c r="C6869" t="s">
        <v>17</v>
      </c>
      <c r="D6869" t="s">
        <v>18</v>
      </c>
      <c r="E6869">
        <v>0</v>
      </c>
    </row>
    <row r="6870" spans="3:5">
      <c r="C6870" t="s">
        <v>15</v>
      </c>
      <c r="D6870" t="s">
        <v>16</v>
      </c>
      <c r="E6870">
        <v>0</v>
      </c>
    </row>
    <row r="6871" spans="3:5">
      <c r="C6871" t="s">
        <v>15</v>
      </c>
      <c r="D6871" t="s">
        <v>16</v>
      </c>
      <c r="E6871">
        <v>0</v>
      </c>
    </row>
    <row r="6872" spans="3:5">
      <c r="C6872" t="s">
        <v>15</v>
      </c>
      <c r="D6872" t="s">
        <v>16</v>
      </c>
      <c r="E6872">
        <v>0</v>
      </c>
    </row>
    <row r="6873" spans="3:5">
      <c r="C6873" t="s">
        <v>15</v>
      </c>
      <c r="D6873" t="s">
        <v>16</v>
      </c>
      <c r="E6873">
        <v>0</v>
      </c>
    </row>
    <row r="6874" spans="3:5">
      <c r="C6874" t="s">
        <v>15</v>
      </c>
      <c r="D6874" t="s">
        <v>16</v>
      </c>
      <c r="E6874">
        <v>0</v>
      </c>
    </row>
    <row r="6875" spans="3:5">
      <c r="C6875" t="s">
        <v>17</v>
      </c>
      <c r="D6875" t="s">
        <v>18</v>
      </c>
      <c r="E6875">
        <v>0</v>
      </c>
    </row>
    <row r="6876" spans="3:5">
      <c r="C6876" t="s">
        <v>17</v>
      </c>
      <c r="D6876" t="s">
        <v>18</v>
      </c>
      <c r="E6876">
        <v>0</v>
      </c>
    </row>
    <row r="6877" spans="3:5">
      <c r="C6877" t="s">
        <v>15</v>
      </c>
      <c r="D6877" t="s">
        <v>16</v>
      </c>
      <c r="E6877">
        <v>0</v>
      </c>
    </row>
    <row r="6878" spans="3:5">
      <c r="C6878" t="s">
        <v>15</v>
      </c>
      <c r="D6878" t="s">
        <v>16</v>
      </c>
      <c r="E6878">
        <v>0</v>
      </c>
    </row>
    <row r="6879" spans="3:5">
      <c r="C6879" t="s">
        <v>15</v>
      </c>
      <c r="D6879" t="s">
        <v>16</v>
      </c>
      <c r="E6879">
        <v>0</v>
      </c>
    </row>
    <row r="6880" spans="3:5">
      <c r="C6880" t="s">
        <v>17</v>
      </c>
      <c r="D6880" t="s">
        <v>18</v>
      </c>
      <c r="E6880">
        <v>0</v>
      </c>
    </row>
    <row r="6881" spans="3:5">
      <c r="C6881" t="s">
        <v>17</v>
      </c>
      <c r="D6881" t="s">
        <v>18</v>
      </c>
      <c r="E6881">
        <v>0</v>
      </c>
    </row>
    <row r="6882" spans="3:5">
      <c r="C6882" t="s">
        <v>17</v>
      </c>
      <c r="D6882" t="s">
        <v>18</v>
      </c>
      <c r="E6882">
        <v>0</v>
      </c>
    </row>
    <row r="6883" spans="3:5">
      <c r="C6883" t="s">
        <v>15</v>
      </c>
      <c r="D6883" t="s">
        <v>16</v>
      </c>
      <c r="E6883">
        <v>0</v>
      </c>
    </row>
    <row r="6884" spans="3:5">
      <c r="C6884" t="s">
        <v>15</v>
      </c>
      <c r="D6884" t="s">
        <v>16</v>
      </c>
      <c r="E6884">
        <v>0</v>
      </c>
    </row>
    <row r="6885" spans="3:5">
      <c r="C6885" t="s">
        <v>17</v>
      </c>
      <c r="D6885" t="s">
        <v>18</v>
      </c>
      <c r="E6885">
        <v>0</v>
      </c>
    </row>
    <row r="6886" spans="3:5">
      <c r="C6886" t="s">
        <v>15</v>
      </c>
      <c r="D6886" t="s">
        <v>16</v>
      </c>
      <c r="E6886">
        <v>0</v>
      </c>
    </row>
    <row r="6887" spans="3:5">
      <c r="C6887" t="s">
        <v>15</v>
      </c>
      <c r="D6887" t="s">
        <v>16</v>
      </c>
      <c r="E6887">
        <v>0</v>
      </c>
    </row>
    <row r="6888" spans="3:5">
      <c r="C6888" t="s">
        <v>17</v>
      </c>
      <c r="D6888" t="s">
        <v>18</v>
      </c>
      <c r="E6888">
        <v>0</v>
      </c>
    </row>
    <row r="6889" spans="3:5">
      <c r="C6889" t="s">
        <v>17</v>
      </c>
      <c r="D6889" t="s">
        <v>18</v>
      </c>
      <c r="E6889">
        <v>0</v>
      </c>
    </row>
    <row r="6890" spans="3:5">
      <c r="C6890" t="s">
        <v>15</v>
      </c>
      <c r="D6890" t="s">
        <v>16</v>
      </c>
      <c r="E6890">
        <v>0</v>
      </c>
    </row>
    <row r="6891" spans="3:5">
      <c r="C6891" t="s">
        <v>17</v>
      </c>
      <c r="D6891" t="s">
        <v>18</v>
      </c>
      <c r="E6891">
        <v>0</v>
      </c>
    </row>
    <row r="6892" spans="3:5">
      <c r="C6892" t="s">
        <v>17</v>
      </c>
      <c r="D6892" t="s">
        <v>18</v>
      </c>
      <c r="E6892">
        <v>1</v>
      </c>
    </row>
    <row r="6893" spans="3:5">
      <c r="C6893" t="s">
        <v>17</v>
      </c>
      <c r="D6893" t="s">
        <v>18</v>
      </c>
      <c r="E6893">
        <v>0</v>
      </c>
    </row>
    <row r="6894" spans="3:5">
      <c r="C6894" t="s">
        <v>15</v>
      </c>
      <c r="D6894" t="s">
        <v>16</v>
      </c>
      <c r="E6894">
        <v>0</v>
      </c>
    </row>
    <row r="6895" spans="3:5">
      <c r="C6895" t="s">
        <v>15</v>
      </c>
      <c r="D6895" t="s">
        <v>16</v>
      </c>
      <c r="E6895">
        <v>0</v>
      </c>
    </row>
    <row r="6896" spans="3:5">
      <c r="C6896" t="s">
        <v>17</v>
      </c>
      <c r="D6896" t="s">
        <v>18</v>
      </c>
      <c r="E6896">
        <v>1</v>
      </c>
    </row>
    <row r="6897" spans="3:5">
      <c r="C6897" t="s">
        <v>15</v>
      </c>
      <c r="D6897" t="s">
        <v>16</v>
      </c>
      <c r="E6897">
        <v>0</v>
      </c>
    </row>
    <row r="6898" spans="3:5">
      <c r="C6898" t="s">
        <v>17</v>
      </c>
      <c r="D6898" t="s">
        <v>18</v>
      </c>
      <c r="E6898">
        <v>0</v>
      </c>
    </row>
    <row r="6899" spans="3:5">
      <c r="C6899" t="s">
        <v>15</v>
      </c>
      <c r="D6899" t="s">
        <v>16</v>
      </c>
      <c r="E6899">
        <v>0</v>
      </c>
    </row>
    <row r="6900" spans="3:5">
      <c r="C6900" t="s">
        <v>15</v>
      </c>
      <c r="D6900" t="s">
        <v>16</v>
      </c>
      <c r="E6900">
        <v>0</v>
      </c>
    </row>
    <row r="6901" spans="3:5">
      <c r="C6901" t="s">
        <v>15</v>
      </c>
      <c r="D6901" t="s">
        <v>16</v>
      </c>
      <c r="E6901">
        <v>0</v>
      </c>
    </row>
    <row r="6902" spans="3:5">
      <c r="C6902" t="s">
        <v>15</v>
      </c>
      <c r="D6902" t="s">
        <v>16</v>
      </c>
      <c r="E6902">
        <v>0</v>
      </c>
    </row>
    <row r="6903" spans="3:5">
      <c r="C6903" t="s">
        <v>15</v>
      </c>
      <c r="D6903" t="s">
        <v>16</v>
      </c>
      <c r="E6903">
        <v>0</v>
      </c>
    </row>
    <row r="6904" spans="3:5">
      <c r="C6904" t="s">
        <v>15</v>
      </c>
      <c r="D6904" t="s">
        <v>16</v>
      </c>
      <c r="E6904">
        <v>0</v>
      </c>
    </row>
    <row r="6905" spans="3:5">
      <c r="C6905" t="s">
        <v>17</v>
      </c>
      <c r="D6905" t="s">
        <v>18</v>
      </c>
      <c r="E6905">
        <v>0</v>
      </c>
    </row>
    <row r="6906" spans="3:5">
      <c r="C6906" t="s">
        <v>17</v>
      </c>
      <c r="D6906" t="s">
        <v>18</v>
      </c>
      <c r="E6906">
        <v>0</v>
      </c>
    </row>
    <row r="6907" spans="3:5">
      <c r="C6907" t="s">
        <v>15</v>
      </c>
      <c r="D6907" t="s">
        <v>16</v>
      </c>
      <c r="E6907">
        <v>0</v>
      </c>
    </row>
    <row r="6908" spans="3:5">
      <c r="C6908" t="s">
        <v>15</v>
      </c>
      <c r="D6908" t="s">
        <v>16</v>
      </c>
      <c r="E6908">
        <v>0</v>
      </c>
    </row>
    <row r="6909" spans="3:5">
      <c r="C6909" t="s">
        <v>15</v>
      </c>
      <c r="D6909" t="s">
        <v>16</v>
      </c>
      <c r="E6909">
        <v>0</v>
      </c>
    </row>
    <row r="6910" spans="3:5">
      <c r="C6910" t="s">
        <v>17</v>
      </c>
      <c r="D6910" t="s">
        <v>18</v>
      </c>
      <c r="E6910">
        <v>0</v>
      </c>
    </row>
    <row r="6911" spans="3:5">
      <c r="C6911" t="s">
        <v>15</v>
      </c>
      <c r="D6911" t="s">
        <v>16</v>
      </c>
      <c r="E6911">
        <v>0</v>
      </c>
    </row>
    <row r="6912" spans="3:5">
      <c r="C6912" t="s">
        <v>17</v>
      </c>
      <c r="D6912" t="s">
        <v>18</v>
      </c>
      <c r="E6912">
        <v>0</v>
      </c>
    </row>
    <row r="6913" spans="3:5">
      <c r="C6913" t="s">
        <v>17</v>
      </c>
      <c r="D6913" t="s">
        <v>18</v>
      </c>
      <c r="E6913">
        <v>0</v>
      </c>
    </row>
    <row r="6914" spans="3:5">
      <c r="C6914" t="s">
        <v>17</v>
      </c>
      <c r="D6914" t="s">
        <v>18</v>
      </c>
      <c r="E6914">
        <v>0</v>
      </c>
    </row>
    <row r="6915" spans="3:5">
      <c r="C6915" t="s">
        <v>15</v>
      </c>
      <c r="D6915" t="s">
        <v>16</v>
      </c>
      <c r="E6915">
        <v>0</v>
      </c>
    </row>
    <row r="6916" spans="3:5">
      <c r="C6916" t="s">
        <v>17</v>
      </c>
      <c r="D6916" t="s">
        <v>18</v>
      </c>
      <c r="E6916">
        <v>0</v>
      </c>
    </row>
    <row r="6917" spans="3:5">
      <c r="C6917" t="s">
        <v>15</v>
      </c>
      <c r="D6917" t="s">
        <v>16</v>
      </c>
      <c r="E6917">
        <v>0</v>
      </c>
    </row>
    <row r="6918" spans="3:5">
      <c r="C6918" t="s">
        <v>17</v>
      </c>
      <c r="D6918" t="s">
        <v>18</v>
      </c>
      <c r="E6918">
        <v>0</v>
      </c>
    </row>
    <row r="6919" spans="3:5">
      <c r="C6919" t="s">
        <v>17</v>
      </c>
      <c r="D6919" t="s">
        <v>18</v>
      </c>
      <c r="E6919">
        <v>0</v>
      </c>
    </row>
    <row r="6920" spans="3:5">
      <c r="C6920" t="s">
        <v>15</v>
      </c>
      <c r="D6920" t="s">
        <v>16</v>
      </c>
      <c r="E6920">
        <v>0</v>
      </c>
    </row>
    <row r="6921" spans="3:5">
      <c r="C6921" t="s">
        <v>15</v>
      </c>
      <c r="D6921" t="s">
        <v>16</v>
      </c>
      <c r="E6921">
        <v>0</v>
      </c>
    </row>
    <row r="6922" spans="3:5">
      <c r="C6922" t="s">
        <v>15</v>
      </c>
      <c r="D6922" t="s">
        <v>16</v>
      </c>
      <c r="E6922">
        <v>0</v>
      </c>
    </row>
    <row r="6923" spans="3:5">
      <c r="C6923" t="s">
        <v>15</v>
      </c>
      <c r="D6923" t="s">
        <v>16</v>
      </c>
      <c r="E6923">
        <v>0</v>
      </c>
    </row>
    <row r="6924" spans="3:5">
      <c r="C6924" t="s">
        <v>17</v>
      </c>
      <c r="D6924" t="s">
        <v>18</v>
      </c>
      <c r="E6924">
        <v>0</v>
      </c>
    </row>
    <row r="6925" spans="3:5">
      <c r="C6925" t="s">
        <v>15</v>
      </c>
      <c r="D6925" t="s">
        <v>16</v>
      </c>
      <c r="E6925">
        <v>0</v>
      </c>
    </row>
    <row r="6926" spans="3:5">
      <c r="C6926" t="s">
        <v>15</v>
      </c>
      <c r="D6926" t="s">
        <v>16</v>
      </c>
      <c r="E6926">
        <v>0</v>
      </c>
    </row>
    <row r="6927" spans="3:5">
      <c r="C6927" t="s">
        <v>15</v>
      </c>
      <c r="D6927" t="s">
        <v>16</v>
      </c>
      <c r="E6927">
        <v>0</v>
      </c>
    </row>
    <row r="6928" spans="3:5">
      <c r="C6928" t="s">
        <v>17</v>
      </c>
      <c r="D6928" t="s">
        <v>18</v>
      </c>
      <c r="E6928">
        <v>0</v>
      </c>
    </row>
    <row r="6929" spans="3:5">
      <c r="C6929" t="s">
        <v>15</v>
      </c>
      <c r="D6929" t="s">
        <v>16</v>
      </c>
      <c r="E6929">
        <v>0</v>
      </c>
    </row>
    <row r="6930" spans="3:5">
      <c r="C6930" t="s">
        <v>15</v>
      </c>
      <c r="D6930" t="s">
        <v>16</v>
      </c>
      <c r="E6930">
        <v>0</v>
      </c>
    </row>
    <row r="6931" spans="3:5">
      <c r="C6931" t="s">
        <v>15</v>
      </c>
      <c r="D6931" t="s">
        <v>16</v>
      </c>
      <c r="E6931">
        <v>1</v>
      </c>
    </row>
    <row r="6932" spans="3:5">
      <c r="C6932" t="s">
        <v>17</v>
      </c>
      <c r="D6932" t="s">
        <v>18</v>
      </c>
      <c r="E6932">
        <v>0</v>
      </c>
    </row>
    <row r="6933" spans="3:5">
      <c r="C6933" t="s">
        <v>15</v>
      </c>
      <c r="D6933" t="s">
        <v>16</v>
      </c>
      <c r="E6933">
        <v>0</v>
      </c>
    </row>
    <row r="6934" spans="3:5">
      <c r="C6934" t="s">
        <v>15</v>
      </c>
      <c r="D6934" t="s">
        <v>16</v>
      </c>
      <c r="E6934">
        <v>0</v>
      </c>
    </row>
    <row r="6935" spans="3:5">
      <c r="C6935" t="s">
        <v>15</v>
      </c>
      <c r="D6935" t="s">
        <v>16</v>
      </c>
      <c r="E6935">
        <v>0</v>
      </c>
    </row>
    <row r="6936" spans="3:5">
      <c r="C6936" t="s">
        <v>15</v>
      </c>
      <c r="D6936" t="s">
        <v>16</v>
      </c>
      <c r="E6936">
        <v>0</v>
      </c>
    </row>
    <row r="6937" spans="3:5">
      <c r="C6937" t="s">
        <v>17</v>
      </c>
      <c r="D6937" t="s">
        <v>18</v>
      </c>
      <c r="E6937">
        <v>0</v>
      </c>
    </row>
    <row r="6938" spans="3:5">
      <c r="C6938" t="s">
        <v>17</v>
      </c>
      <c r="D6938" t="s">
        <v>18</v>
      </c>
      <c r="E6938">
        <v>0</v>
      </c>
    </row>
    <row r="6939" spans="3:5">
      <c r="C6939" t="s">
        <v>17</v>
      </c>
      <c r="D6939" t="s">
        <v>18</v>
      </c>
      <c r="E6939">
        <v>0</v>
      </c>
    </row>
    <row r="6940" spans="3:5">
      <c r="C6940" t="s">
        <v>17</v>
      </c>
      <c r="D6940" t="s">
        <v>18</v>
      </c>
      <c r="E6940">
        <v>0</v>
      </c>
    </row>
    <row r="6941" spans="3:5">
      <c r="C6941" t="s">
        <v>17</v>
      </c>
      <c r="D6941" t="s">
        <v>18</v>
      </c>
      <c r="E6941">
        <v>0</v>
      </c>
    </row>
    <row r="6942" spans="3:5">
      <c r="C6942" t="s">
        <v>17</v>
      </c>
      <c r="D6942" t="s">
        <v>18</v>
      </c>
      <c r="E6942">
        <v>0</v>
      </c>
    </row>
    <row r="6943" spans="3:5">
      <c r="C6943" t="s">
        <v>17</v>
      </c>
      <c r="D6943" t="s">
        <v>18</v>
      </c>
      <c r="E6943">
        <v>0</v>
      </c>
    </row>
    <row r="6944" spans="3:5">
      <c r="C6944" t="s">
        <v>15</v>
      </c>
      <c r="D6944" t="s">
        <v>16</v>
      </c>
      <c r="E6944">
        <v>0</v>
      </c>
    </row>
    <row r="6945" spans="3:5">
      <c r="C6945" t="s">
        <v>17</v>
      </c>
      <c r="D6945" t="s">
        <v>18</v>
      </c>
      <c r="E6945">
        <v>0</v>
      </c>
    </row>
    <row r="6946" spans="3:5">
      <c r="C6946" t="s">
        <v>15</v>
      </c>
      <c r="D6946" t="s">
        <v>16</v>
      </c>
      <c r="E6946">
        <v>0</v>
      </c>
    </row>
    <row r="6947" spans="3:5">
      <c r="C6947" t="s">
        <v>15</v>
      </c>
      <c r="D6947" t="s">
        <v>16</v>
      </c>
      <c r="E6947">
        <v>0</v>
      </c>
    </row>
    <row r="6948" spans="3:5">
      <c r="C6948" t="s">
        <v>17</v>
      </c>
      <c r="D6948" t="s">
        <v>18</v>
      </c>
      <c r="E6948">
        <v>0</v>
      </c>
    </row>
    <row r="6949" spans="3:5">
      <c r="C6949" t="s">
        <v>17</v>
      </c>
      <c r="D6949" t="s">
        <v>18</v>
      </c>
      <c r="E6949">
        <v>0</v>
      </c>
    </row>
    <row r="6950" spans="3:5">
      <c r="C6950" t="s">
        <v>15</v>
      </c>
      <c r="D6950" t="s">
        <v>16</v>
      </c>
      <c r="E6950">
        <v>0</v>
      </c>
    </row>
    <row r="6951" spans="3:5">
      <c r="C6951" t="s">
        <v>15</v>
      </c>
      <c r="D6951" t="s">
        <v>16</v>
      </c>
      <c r="E6951">
        <v>0</v>
      </c>
    </row>
    <row r="6952" spans="3:5">
      <c r="C6952" t="s">
        <v>17</v>
      </c>
      <c r="D6952" t="s">
        <v>18</v>
      </c>
      <c r="E6952">
        <v>0</v>
      </c>
    </row>
    <row r="6953" spans="3:5">
      <c r="C6953" t="s">
        <v>17</v>
      </c>
      <c r="D6953" t="s">
        <v>18</v>
      </c>
      <c r="E6953">
        <v>0</v>
      </c>
    </row>
    <row r="6954" spans="3:5">
      <c r="C6954" t="s">
        <v>15</v>
      </c>
      <c r="D6954" t="s">
        <v>16</v>
      </c>
      <c r="E6954">
        <v>0</v>
      </c>
    </row>
    <row r="6955" spans="3:5">
      <c r="C6955" t="s">
        <v>15</v>
      </c>
      <c r="D6955" t="s">
        <v>16</v>
      </c>
      <c r="E6955">
        <v>1</v>
      </c>
    </row>
    <row r="6956" spans="3:5">
      <c r="C6956" t="s">
        <v>15</v>
      </c>
      <c r="D6956" t="s">
        <v>16</v>
      </c>
      <c r="E6956">
        <v>0</v>
      </c>
    </row>
    <row r="6957" spans="3:5">
      <c r="C6957" t="s">
        <v>17</v>
      </c>
      <c r="D6957" t="s">
        <v>18</v>
      </c>
      <c r="E6957">
        <v>0</v>
      </c>
    </row>
    <row r="6958" spans="3:5">
      <c r="C6958" t="s">
        <v>15</v>
      </c>
      <c r="D6958" t="s">
        <v>16</v>
      </c>
      <c r="E6958">
        <v>0</v>
      </c>
    </row>
    <row r="6959" spans="3:5">
      <c r="C6959" t="s">
        <v>15</v>
      </c>
      <c r="D6959" t="s">
        <v>16</v>
      </c>
      <c r="E6959">
        <v>0</v>
      </c>
    </row>
    <row r="6960" spans="3:5">
      <c r="C6960" t="s">
        <v>15</v>
      </c>
      <c r="D6960" t="s">
        <v>16</v>
      </c>
      <c r="E6960">
        <v>0</v>
      </c>
    </row>
    <row r="6961" spans="3:5">
      <c r="C6961" t="s">
        <v>15</v>
      </c>
      <c r="D6961" t="s">
        <v>16</v>
      </c>
      <c r="E6961">
        <v>0</v>
      </c>
    </row>
    <row r="6962" spans="3:5">
      <c r="C6962" t="s">
        <v>15</v>
      </c>
      <c r="D6962" t="s">
        <v>16</v>
      </c>
      <c r="E6962">
        <v>0</v>
      </c>
    </row>
    <row r="6963" spans="3:5">
      <c r="C6963" t="s">
        <v>17</v>
      </c>
      <c r="D6963" t="s">
        <v>18</v>
      </c>
      <c r="E6963">
        <v>0</v>
      </c>
    </row>
    <row r="6964" spans="3:5">
      <c r="C6964" t="s">
        <v>15</v>
      </c>
      <c r="D6964" t="s">
        <v>16</v>
      </c>
      <c r="E6964">
        <v>0</v>
      </c>
    </row>
    <row r="6965" spans="3:5">
      <c r="C6965" t="s">
        <v>15</v>
      </c>
      <c r="D6965" t="s">
        <v>16</v>
      </c>
      <c r="E6965">
        <v>0</v>
      </c>
    </row>
    <row r="6966" spans="3:5">
      <c r="C6966" t="s">
        <v>15</v>
      </c>
      <c r="D6966" t="s">
        <v>16</v>
      </c>
      <c r="E6966">
        <v>0</v>
      </c>
    </row>
    <row r="6967" spans="3:5">
      <c r="C6967" t="s">
        <v>15</v>
      </c>
      <c r="D6967" t="s">
        <v>16</v>
      </c>
      <c r="E6967">
        <v>0</v>
      </c>
    </row>
    <row r="6968" spans="3:5">
      <c r="C6968" t="s">
        <v>17</v>
      </c>
      <c r="D6968" t="s">
        <v>18</v>
      </c>
      <c r="E6968">
        <v>0</v>
      </c>
    </row>
    <row r="6969" spans="3:5">
      <c r="C6969" t="s">
        <v>15</v>
      </c>
      <c r="D6969" t="s">
        <v>16</v>
      </c>
      <c r="E6969">
        <v>0</v>
      </c>
    </row>
    <row r="6970" spans="3:5">
      <c r="C6970" t="s">
        <v>17</v>
      </c>
      <c r="D6970" t="s">
        <v>18</v>
      </c>
      <c r="E6970">
        <v>0</v>
      </c>
    </row>
    <row r="6971" spans="3:5">
      <c r="C6971" t="s">
        <v>15</v>
      </c>
      <c r="D6971" t="s">
        <v>16</v>
      </c>
      <c r="E6971">
        <v>0</v>
      </c>
    </row>
    <row r="6972" spans="3:5">
      <c r="C6972" t="s">
        <v>17</v>
      </c>
      <c r="D6972" t="s">
        <v>18</v>
      </c>
      <c r="E6972">
        <v>0</v>
      </c>
    </row>
    <row r="6973" spans="3:5">
      <c r="C6973" t="s">
        <v>17</v>
      </c>
      <c r="D6973" t="s">
        <v>18</v>
      </c>
      <c r="E6973">
        <v>0</v>
      </c>
    </row>
    <row r="6974" spans="3:5">
      <c r="C6974" t="s">
        <v>17</v>
      </c>
      <c r="D6974" t="s">
        <v>18</v>
      </c>
      <c r="E6974">
        <v>0</v>
      </c>
    </row>
    <row r="6975" spans="3:5">
      <c r="C6975" t="s">
        <v>15</v>
      </c>
      <c r="D6975" t="s">
        <v>16</v>
      </c>
      <c r="E6975">
        <v>0</v>
      </c>
    </row>
    <row r="6976" spans="3:5">
      <c r="C6976" t="s">
        <v>15</v>
      </c>
      <c r="D6976" t="s">
        <v>16</v>
      </c>
      <c r="E6976">
        <v>0</v>
      </c>
    </row>
    <row r="6977" spans="3:5">
      <c r="C6977" t="s">
        <v>17</v>
      </c>
      <c r="D6977" t="s">
        <v>18</v>
      </c>
      <c r="E6977">
        <v>0</v>
      </c>
    </row>
    <row r="6978" spans="3:5">
      <c r="C6978" t="s">
        <v>17</v>
      </c>
      <c r="D6978" t="s">
        <v>18</v>
      </c>
      <c r="E6978">
        <v>0</v>
      </c>
    </row>
    <row r="6979" spans="3:5">
      <c r="C6979" t="s">
        <v>15</v>
      </c>
      <c r="D6979" t="s">
        <v>16</v>
      </c>
      <c r="E6979">
        <v>0</v>
      </c>
    </row>
    <row r="6980" spans="3:5">
      <c r="C6980" t="s">
        <v>15</v>
      </c>
      <c r="D6980" t="s">
        <v>16</v>
      </c>
      <c r="E6980">
        <v>0</v>
      </c>
    </row>
    <row r="6981" spans="3:5">
      <c r="C6981" t="s">
        <v>15</v>
      </c>
      <c r="D6981" t="s">
        <v>16</v>
      </c>
      <c r="E6981">
        <v>0</v>
      </c>
    </row>
    <row r="6982" spans="3:5">
      <c r="C6982" t="s">
        <v>15</v>
      </c>
      <c r="D6982" t="s">
        <v>16</v>
      </c>
      <c r="E6982">
        <v>0</v>
      </c>
    </row>
    <row r="6983" spans="3:5">
      <c r="C6983" t="s">
        <v>15</v>
      </c>
      <c r="D6983" t="s">
        <v>16</v>
      </c>
      <c r="E6983">
        <v>0</v>
      </c>
    </row>
    <row r="6984" spans="3:5">
      <c r="C6984" t="s">
        <v>15</v>
      </c>
      <c r="D6984" t="s">
        <v>16</v>
      </c>
      <c r="E6984">
        <v>0</v>
      </c>
    </row>
    <row r="6985" spans="3:5">
      <c r="C6985" t="s">
        <v>17</v>
      </c>
      <c r="D6985" t="s">
        <v>18</v>
      </c>
      <c r="E6985">
        <v>0</v>
      </c>
    </row>
    <row r="6986" spans="3:5">
      <c r="C6986" t="s">
        <v>17</v>
      </c>
      <c r="D6986" t="s">
        <v>18</v>
      </c>
      <c r="E6986">
        <v>0</v>
      </c>
    </row>
    <row r="6987" spans="3:5">
      <c r="C6987" t="s">
        <v>17</v>
      </c>
      <c r="D6987" t="s">
        <v>18</v>
      </c>
      <c r="E6987">
        <v>0</v>
      </c>
    </row>
    <row r="6988" spans="3:5">
      <c r="C6988" t="s">
        <v>17</v>
      </c>
      <c r="D6988" t="s">
        <v>18</v>
      </c>
      <c r="E6988">
        <v>0</v>
      </c>
    </row>
    <row r="6989" spans="3:5">
      <c r="C6989" t="s">
        <v>17</v>
      </c>
      <c r="D6989" t="s">
        <v>18</v>
      </c>
      <c r="E6989">
        <v>0</v>
      </c>
    </row>
    <row r="6990" spans="3:5">
      <c r="C6990" t="s">
        <v>15</v>
      </c>
      <c r="D6990" t="s">
        <v>16</v>
      </c>
      <c r="E6990">
        <v>0</v>
      </c>
    </row>
    <row r="6991" spans="3:5">
      <c r="C6991" t="s">
        <v>17</v>
      </c>
      <c r="D6991" t="s">
        <v>18</v>
      </c>
      <c r="E6991">
        <v>0</v>
      </c>
    </row>
    <row r="6992" spans="3:5">
      <c r="C6992" t="s">
        <v>17</v>
      </c>
      <c r="D6992" t="s">
        <v>18</v>
      </c>
      <c r="E6992">
        <v>0</v>
      </c>
    </row>
    <row r="6993" spans="3:5">
      <c r="C6993" t="s">
        <v>17</v>
      </c>
      <c r="D6993" t="s">
        <v>18</v>
      </c>
      <c r="E6993">
        <v>0</v>
      </c>
    </row>
    <row r="6994" spans="3:5">
      <c r="C6994" t="s">
        <v>17</v>
      </c>
      <c r="D6994" t="s">
        <v>18</v>
      </c>
      <c r="E6994">
        <v>0</v>
      </c>
    </row>
    <row r="6995" spans="3:5">
      <c r="C6995" t="s">
        <v>15</v>
      </c>
      <c r="D6995" t="s">
        <v>16</v>
      </c>
      <c r="E6995">
        <v>0</v>
      </c>
    </row>
    <row r="6996" spans="3:5">
      <c r="C6996" t="s">
        <v>15</v>
      </c>
      <c r="D6996" t="s">
        <v>16</v>
      </c>
      <c r="E6996">
        <v>0</v>
      </c>
    </row>
    <row r="6997" spans="3:5">
      <c r="C6997" t="s">
        <v>17</v>
      </c>
      <c r="D6997" t="s">
        <v>18</v>
      </c>
      <c r="E6997">
        <v>0</v>
      </c>
    </row>
    <row r="6998" spans="3:5">
      <c r="C6998" t="s">
        <v>17</v>
      </c>
      <c r="D6998" t="s">
        <v>18</v>
      </c>
      <c r="E6998">
        <v>0</v>
      </c>
    </row>
    <row r="6999" spans="3:5">
      <c r="C6999" t="s">
        <v>17</v>
      </c>
      <c r="D6999" t="s">
        <v>18</v>
      </c>
      <c r="E6999">
        <v>0</v>
      </c>
    </row>
    <row r="7000" spans="3:5">
      <c r="C7000" t="s">
        <v>17</v>
      </c>
      <c r="D7000" t="s">
        <v>18</v>
      </c>
      <c r="E7000">
        <v>0</v>
      </c>
    </row>
    <row r="7001" spans="3:5">
      <c r="C7001" t="s">
        <v>17</v>
      </c>
      <c r="D7001" t="s">
        <v>18</v>
      </c>
      <c r="E7001">
        <v>0</v>
      </c>
    </row>
    <row r="7002" spans="3:5">
      <c r="C7002" t="s">
        <v>15</v>
      </c>
      <c r="D7002" t="s">
        <v>16</v>
      </c>
      <c r="E7002">
        <v>0</v>
      </c>
    </row>
    <row r="7003" spans="3:5">
      <c r="C7003" t="s">
        <v>17</v>
      </c>
      <c r="D7003" t="s">
        <v>18</v>
      </c>
      <c r="E7003">
        <v>0</v>
      </c>
    </row>
    <row r="7004" spans="3:5">
      <c r="C7004" t="s">
        <v>15</v>
      </c>
      <c r="D7004" t="s">
        <v>16</v>
      </c>
      <c r="E7004">
        <v>0</v>
      </c>
    </row>
    <row r="7005" spans="3:5">
      <c r="C7005" t="s">
        <v>17</v>
      </c>
      <c r="D7005" t="s">
        <v>18</v>
      </c>
      <c r="E7005">
        <v>0</v>
      </c>
    </row>
    <row r="7006" spans="3:5">
      <c r="C7006" t="s">
        <v>17</v>
      </c>
      <c r="D7006" t="s">
        <v>18</v>
      </c>
      <c r="E7006">
        <v>0</v>
      </c>
    </row>
    <row r="7007" spans="3:5">
      <c r="C7007" t="s">
        <v>17</v>
      </c>
      <c r="D7007" t="s">
        <v>18</v>
      </c>
      <c r="E7007">
        <v>0</v>
      </c>
    </row>
    <row r="7008" spans="3:5">
      <c r="C7008" t="s">
        <v>17</v>
      </c>
      <c r="D7008" t="s">
        <v>18</v>
      </c>
      <c r="E7008">
        <v>0</v>
      </c>
    </row>
    <row r="7009" spans="3:5">
      <c r="C7009" t="s">
        <v>15</v>
      </c>
      <c r="D7009" t="s">
        <v>16</v>
      </c>
      <c r="E7009">
        <v>0</v>
      </c>
    </row>
    <row r="7010" spans="3:5">
      <c r="C7010" t="s">
        <v>17</v>
      </c>
      <c r="D7010" t="s">
        <v>18</v>
      </c>
      <c r="E7010">
        <v>0</v>
      </c>
    </row>
    <row r="7011" spans="3:5">
      <c r="C7011" t="s">
        <v>15</v>
      </c>
      <c r="D7011" t="s">
        <v>16</v>
      </c>
      <c r="E7011">
        <v>0</v>
      </c>
    </row>
    <row r="7012" spans="3:5">
      <c r="C7012" t="s">
        <v>15</v>
      </c>
      <c r="D7012" t="s">
        <v>16</v>
      </c>
      <c r="E7012">
        <v>0</v>
      </c>
    </row>
    <row r="7013" spans="3:5">
      <c r="C7013" t="s">
        <v>17</v>
      </c>
      <c r="D7013" t="s">
        <v>18</v>
      </c>
      <c r="E7013">
        <v>0</v>
      </c>
    </row>
    <row r="7014" spans="3:5">
      <c r="C7014" t="s">
        <v>15</v>
      </c>
      <c r="D7014" t="s">
        <v>16</v>
      </c>
      <c r="E7014">
        <v>0</v>
      </c>
    </row>
    <row r="7015" spans="3:5">
      <c r="C7015" t="s">
        <v>15</v>
      </c>
      <c r="D7015" t="s">
        <v>16</v>
      </c>
      <c r="E7015">
        <v>0</v>
      </c>
    </row>
    <row r="7016" spans="3:5">
      <c r="C7016" t="s">
        <v>17</v>
      </c>
      <c r="D7016" t="s">
        <v>18</v>
      </c>
      <c r="E7016">
        <v>0</v>
      </c>
    </row>
    <row r="7017" spans="3:5">
      <c r="C7017" t="s">
        <v>17</v>
      </c>
      <c r="D7017" t="s">
        <v>18</v>
      </c>
      <c r="E7017">
        <v>0</v>
      </c>
    </row>
    <row r="7018" spans="3:5">
      <c r="C7018" t="s">
        <v>15</v>
      </c>
      <c r="D7018" t="s">
        <v>16</v>
      </c>
      <c r="E7018">
        <v>0</v>
      </c>
    </row>
    <row r="7019" spans="3:5">
      <c r="C7019" t="s">
        <v>15</v>
      </c>
      <c r="D7019" t="s">
        <v>16</v>
      </c>
      <c r="E7019">
        <v>0</v>
      </c>
    </row>
    <row r="7020" spans="3:5">
      <c r="C7020" t="s">
        <v>15</v>
      </c>
      <c r="D7020" t="s">
        <v>16</v>
      </c>
      <c r="E7020">
        <v>0</v>
      </c>
    </row>
    <row r="7021" spans="3:5">
      <c r="C7021" t="s">
        <v>15</v>
      </c>
      <c r="D7021" t="s">
        <v>16</v>
      </c>
      <c r="E7021">
        <v>0</v>
      </c>
    </row>
    <row r="7022" spans="3:5">
      <c r="C7022" t="s">
        <v>15</v>
      </c>
      <c r="D7022" t="s">
        <v>16</v>
      </c>
      <c r="E7022">
        <v>0</v>
      </c>
    </row>
    <row r="7023" spans="3:5">
      <c r="C7023" t="s">
        <v>15</v>
      </c>
      <c r="D7023" t="s">
        <v>16</v>
      </c>
      <c r="E7023">
        <v>0</v>
      </c>
    </row>
    <row r="7024" spans="3:5">
      <c r="C7024" t="s">
        <v>17</v>
      </c>
      <c r="D7024" t="s">
        <v>18</v>
      </c>
      <c r="E7024">
        <v>0</v>
      </c>
    </row>
    <row r="7025" spans="3:5">
      <c r="C7025" t="s">
        <v>15</v>
      </c>
      <c r="D7025" t="s">
        <v>16</v>
      </c>
      <c r="E7025">
        <v>0</v>
      </c>
    </row>
    <row r="7026" spans="3:5">
      <c r="C7026" t="s">
        <v>15</v>
      </c>
      <c r="D7026" t="s">
        <v>16</v>
      </c>
      <c r="E7026">
        <v>0</v>
      </c>
    </row>
    <row r="7027" spans="3:5">
      <c r="C7027" t="s">
        <v>15</v>
      </c>
      <c r="D7027" t="s">
        <v>16</v>
      </c>
      <c r="E7027">
        <v>0</v>
      </c>
    </row>
    <row r="7028" spans="3:5">
      <c r="C7028" t="s">
        <v>17</v>
      </c>
      <c r="D7028" t="s">
        <v>18</v>
      </c>
      <c r="E7028">
        <v>0</v>
      </c>
    </row>
    <row r="7029" spans="3:5">
      <c r="C7029" t="s">
        <v>17</v>
      </c>
      <c r="D7029" t="s">
        <v>18</v>
      </c>
      <c r="E7029">
        <v>0</v>
      </c>
    </row>
    <row r="7030" spans="3:5">
      <c r="C7030" t="s">
        <v>15</v>
      </c>
      <c r="D7030" t="s">
        <v>16</v>
      </c>
      <c r="E7030">
        <v>0</v>
      </c>
    </row>
    <row r="7031" spans="3:5">
      <c r="C7031" t="s">
        <v>15</v>
      </c>
      <c r="D7031" t="s">
        <v>16</v>
      </c>
      <c r="E7031">
        <v>0</v>
      </c>
    </row>
    <row r="7032" spans="3:5">
      <c r="C7032" t="s">
        <v>17</v>
      </c>
      <c r="D7032" t="s">
        <v>18</v>
      </c>
      <c r="E7032">
        <v>0</v>
      </c>
    </row>
    <row r="7033" spans="3:5">
      <c r="C7033" t="s">
        <v>17</v>
      </c>
      <c r="D7033" t="s">
        <v>18</v>
      </c>
      <c r="E7033">
        <v>0</v>
      </c>
    </row>
    <row r="7034" spans="3:5">
      <c r="C7034" t="s">
        <v>17</v>
      </c>
      <c r="D7034" t="s">
        <v>18</v>
      </c>
      <c r="E7034">
        <v>0</v>
      </c>
    </row>
    <row r="7035" spans="3:5">
      <c r="C7035" t="s">
        <v>15</v>
      </c>
      <c r="D7035" t="s">
        <v>16</v>
      </c>
      <c r="E7035">
        <v>0</v>
      </c>
    </row>
    <row r="7036" spans="3:5">
      <c r="C7036" t="s">
        <v>15</v>
      </c>
      <c r="D7036" t="s">
        <v>16</v>
      </c>
      <c r="E7036">
        <v>0</v>
      </c>
    </row>
    <row r="7037" spans="3:5">
      <c r="C7037" t="s">
        <v>15</v>
      </c>
      <c r="D7037" t="s">
        <v>16</v>
      </c>
      <c r="E7037">
        <v>0</v>
      </c>
    </row>
    <row r="7038" spans="3:5">
      <c r="C7038" t="s">
        <v>17</v>
      </c>
      <c r="D7038" t="s">
        <v>18</v>
      </c>
      <c r="E7038">
        <v>0</v>
      </c>
    </row>
    <row r="7039" spans="3:5">
      <c r="C7039" t="s">
        <v>15</v>
      </c>
      <c r="D7039" t="s">
        <v>16</v>
      </c>
      <c r="E7039">
        <v>0</v>
      </c>
    </row>
    <row r="7040" spans="3:5">
      <c r="C7040" t="s">
        <v>15</v>
      </c>
      <c r="D7040" t="s">
        <v>16</v>
      </c>
      <c r="E7040">
        <v>0</v>
      </c>
    </row>
    <row r="7041" spans="3:5">
      <c r="C7041" t="s">
        <v>17</v>
      </c>
      <c r="D7041" t="s">
        <v>18</v>
      </c>
      <c r="E7041">
        <v>0</v>
      </c>
    </row>
    <row r="7042" spans="3:5">
      <c r="C7042" t="s">
        <v>17</v>
      </c>
      <c r="D7042" t="s">
        <v>18</v>
      </c>
      <c r="E7042">
        <v>0</v>
      </c>
    </row>
    <row r="7043" spans="3:5">
      <c r="C7043" t="s">
        <v>17</v>
      </c>
      <c r="D7043" t="s">
        <v>18</v>
      </c>
      <c r="E7043">
        <v>0</v>
      </c>
    </row>
    <row r="7044" spans="3:5">
      <c r="C7044" t="s">
        <v>15</v>
      </c>
      <c r="D7044" t="s">
        <v>16</v>
      </c>
      <c r="E7044">
        <v>0</v>
      </c>
    </row>
    <row r="7045" spans="3:5">
      <c r="C7045" t="s">
        <v>15</v>
      </c>
      <c r="D7045" t="s">
        <v>16</v>
      </c>
      <c r="E7045">
        <v>0</v>
      </c>
    </row>
    <row r="7046" spans="3:5">
      <c r="C7046" t="s">
        <v>17</v>
      </c>
      <c r="D7046" t="s">
        <v>18</v>
      </c>
      <c r="E7046">
        <v>0</v>
      </c>
    </row>
    <row r="7047" spans="3:5">
      <c r="C7047" t="s">
        <v>17</v>
      </c>
      <c r="D7047" t="s">
        <v>18</v>
      </c>
      <c r="E7047">
        <v>0</v>
      </c>
    </row>
    <row r="7048" spans="3:5">
      <c r="C7048" t="s">
        <v>17</v>
      </c>
      <c r="D7048" t="s">
        <v>18</v>
      </c>
      <c r="E7048">
        <v>0</v>
      </c>
    </row>
    <row r="7049" spans="3:5">
      <c r="C7049" t="s">
        <v>17</v>
      </c>
      <c r="D7049" t="s">
        <v>18</v>
      </c>
      <c r="E7049">
        <v>0</v>
      </c>
    </row>
    <row r="7050" spans="3:5">
      <c r="C7050" t="s">
        <v>15</v>
      </c>
      <c r="D7050" t="s">
        <v>16</v>
      </c>
      <c r="E7050">
        <v>0</v>
      </c>
    </row>
    <row r="7051" spans="3:5">
      <c r="C7051" t="s">
        <v>17</v>
      </c>
      <c r="D7051" t="s">
        <v>18</v>
      </c>
      <c r="E7051">
        <v>0</v>
      </c>
    </row>
    <row r="7052" spans="3:5">
      <c r="C7052" t="s">
        <v>17</v>
      </c>
      <c r="D7052" t="s">
        <v>18</v>
      </c>
      <c r="E7052">
        <v>0</v>
      </c>
    </row>
    <row r="7053" spans="3:5">
      <c r="C7053" t="s">
        <v>17</v>
      </c>
      <c r="D7053" t="s">
        <v>18</v>
      </c>
      <c r="E7053">
        <v>0</v>
      </c>
    </row>
    <row r="7054" spans="3:5">
      <c r="C7054" t="s">
        <v>17</v>
      </c>
      <c r="D7054" t="s">
        <v>18</v>
      </c>
      <c r="E7054">
        <v>0</v>
      </c>
    </row>
    <row r="7055" spans="3:5">
      <c r="C7055" t="s">
        <v>17</v>
      </c>
      <c r="D7055" t="s">
        <v>18</v>
      </c>
      <c r="E7055">
        <v>0</v>
      </c>
    </row>
    <row r="7056" spans="3:5">
      <c r="C7056" t="s">
        <v>15</v>
      </c>
      <c r="D7056" t="s">
        <v>16</v>
      </c>
      <c r="E7056">
        <v>0</v>
      </c>
    </row>
    <row r="7057" spans="3:5">
      <c r="C7057" t="s">
        <v>17</v>
      </c>
      <c r="D7057" t="s">
        <v>18</v>
      </c>
      <c r="E7057">
        <v>0</v>
      </c>
    </row>
    <row r="7058" spans="3:5">
      <c r="C7058" t="s">
        <v>15</v>
      </c>
      <c r="D7058" t="s">
        <v>16</v>
      </c>
      <c r="E7058">
        <v>0</v>
      </c>
    </row>
    <row r="7059" spans="3:5">
      <c r="C7059" t="s">
        <v>17</v>
      </c>
      <c r="D7059" t="s">
        <v>18</v>
      </c>
      <c r="E7059">
        <v>0</v>
      </c>
    </row>
    <row r="7060" spans="3:5">
      <c r="C7060" t="s">
        <v>17</v>
      </c>
      <c r="D7060" t="s">
        <v>18</v>
      </c>
      <c r="E7060">
        <v>0</v>
      </c>
    </row>
    <row r="7061" spans="3:5">
      <c r="C7061" t="s">
        <v>17</v>
      </c>
      <c r="D7061" t="s">
        <v>18</v>
      </c>
      <c r="E7061">
        <v>0</v>
      </c>
    </row>
    <row r="7062" spans="3:5">
      <c r="C7062" t="s">
        <v>17</v>
      </c>
      <c r="D7062" t="s">
        <v>18</v>
      </c>
      <c r="E7062">
        <v>0</v>
      </c>
    </row>
    <row r="7063" spans="3:5">
      <c r="C7063" t="s">
        <v>17</v>
      </c>
      <c r="D7063" t="s">
        <v>18</v>
      </c>
      <c r="E7063">
        <v>0</v>
      </c>
    </row>
    <row r="7064" spans="3:5">
      <c r="C7064" t="s">
        <v>17</v>
      </c>
      <c r="D7064" t="s">
        <v>18</v>
      </c>
      <c r="E7064">
        <v>0</v>
      </c>
    </row>
    <row r="7065" spans="3:5">
      <c r="C7065" t="s">
        <v>15</v>
      </c>
      <c r="D7065" t="s">
        <v>16</v>
      </c>
      <c r="E7065">
        <v>0</v>
      </c>
    </row>
    <row r="7066" spans="3:5">
      <c r="C7066" t="s">
        <v>15</v>
      </c>
      <c r="D7066" t="s">
        <v>16</v>
      </c>
      <c r="E7066">
        <v>0</v>
      </c>
    </row>
    <row r="7067" spans="3:5">
      <c r="C7067" t="s">
        <v>17</v>
      </c>
      <c r="D7067" t="s">
        <v>18</v>
      </c>
      <c r="E7067">
        <v>1</v>
      </c>
    </row>
    <row r="7068" spans="3:5">
      <c r="C7068" t="s">
        <v>17</v>
      </c>
      <c r="D7068" t="s">
        <v>18</v>
      </c>
      <c r="E7068">
        <v>0</v>
      </c>
    </row>
    <row r="7069" spans="3:5">
      <c r="C7069" t="s">
        <v>17</v>
      </c>
      <c r="D7069" t="s">
        <v>18</v>
      </c>
      <c r="E7069">
        <v>0</v>
      </c>
    </row>
    <row r="7070" spans="3:5">
      <c r="C7070" t="s">
        <v>17</v>
      </c>
      <c r="D7070" t="s">
        <v>18</v>
      </c>
      <c r="E7070">
        <v>0</v>
      </c>
    </row>
    <row r="7071" spans="3:5">
      <c r="C7071" t="s">
        <v>17</v>
      </c>
      <c r="D7071" t="s">
        <v>18</v>
      </c>
      <c r="E7071">
        <v>0</v>
      </c>
    </row>
    <row r="7072" spans="3:5">
      <c r="C7072" t="s">
        <v>15</v>
      </c>
      <c r="D7072" t="s">
        <v>16</v>
      </c>
      <c r="E7072">
        <v>0</v>
      </c>
    </row>
    <row r="7073" spans="3:5">
      <c r="C7073" t="s">
        <v>15</v>
      </c>
      <c r="D7073" t="s">
        <v>16</v>
      </c>
      <c r="E7073">
        <v>0</v>
      </c>
    </row>
    <row r="7074" spans="3:5">
      <c r="C7074" t="s">
        <v>17</v>
      </c>
      <c r="D7074" t="s">
        <v>18</v>
      </c>
      <c r="E7074">
        <v>0</v>
      </c>
    </row>
    <row r="7075" spans="3:5">
      <c r="C7075" t="s">
        <v>15</v>
      </c>
      <c r="D7075" t="s">
        <v>16</v>
      </c>
      <c r="E7075">
        <v>0</v>
      </c>
    </row>
    <row r="7076" spans="3:5">
      <c r="C7076" t="s">
        <v>17</v>
      </c>
      <c r="D7076" t="s">
        <v>18</v>
      </c>
      <c r="E7076">
        <v>0</v>
      </c>
    </row>
    <row r="7077" spans="3:5">
      <c r="C7077" t="s">
        <v>15</v>
      </c>
      <c r="D7077" t="s">
        <v>16</v>
      </c>
      <c r="E7077">
        <v>0</v>
      </c>
    </row>
    <row r="7078" spans="3:5">
      <c r="C7078" t="s">
        <v>17</v>
      </c>
      <c r="D7078" t="s">
        <v>18</v>
      </c>
      <c r="E7078">
        <v>0</v>
      </c>
    </row>
    <row r="7079" spans="3:5">
      <c r="C7079" t="s">
        <v>15</v>
      </c>
      <c r="D7079" t="s">
        <v>16</v>
      </c>
      <c r="E7079">
        <v>0</v>
      </c>
    </row>
    <row r="7080" spans="3:5">
      <c r="C7080" t="s">
        <v>17</v>
      </c>
      <c r="D7080" t="s">
        <v>18</v>
      </c>
      <c r="E7080">
        <v>0</v>
      </c>
    </row>
    <row r="7081" spans="3:5">
      <c r="C7081" t="s">
        <v>17</v>
      </c>
      <c r="D7081" t="s">
        <v>18</v>
      </c>
      <c r="E7081">
        <v>0</v>
      </c>
    </row>
    <row r="7082" spans="3:5">
      <c r="C7082" t="s">
        <v>15</v>
      </c>
      <c r="D7082" t="s">
        <v>16</v>
      </c>
      <c r="E7082">
        <v>0</v>
      </c>
    </row>
    <row r="7083" spans="3:5">
      <c r="C7083" t="s">
        <v>15</v>
      </c>
      <c r="D7083" t="s">
        <v>16</v>
      </c>
      <c r="E7083">
        <v>0</v>
      </c>
    </row>
    <row r="7084" spans="3:5">
      <c r="C7084" t="s">
        <v>17</v>
      </c>
      <c r="D7084" t="s">
        <v>18</v>
      </c>
      <c r="E7084">
        <v>0</v>
      </c>
    </row>
    <row r="7085" spans="3:5">
      <c r="C7085" t="s">
        <v>17</v>
      </c>
      <c r="D7085" t="s">
        <v>18</v>
      </c>
      <c r="E7085">
        <v>0</v>
      </c>
    </row>
    <row r="7086" spans="3:5">
      <c r="C7086" t="s">
        <v>15</v>
      </c>
      <c r="D7086" t="s">
        <v>16</v>
      </c>
      <c r="E7086">
        <v>0</v>
      </c>
    </row>
    <row r="7087" spans="3:5">
      <c r="C7087" t="s">
        <v>17</v>
      </c>
      <c r="D7087" t="s">
        <v>18</v>
      </c>
      <c r="E7087">
        <v>0</v>
      </c>
    </row>
    <row r="7088" spans="3:5">
      <c r="C7088" t="s">
        <v>17</v>
      </c>
      <c r="D7088" t="s">
        <v>18</v>
      </c>
      <c r="E7088">
        <v>0</v>
      </c>
    </row>
    <row r="7089" spans="3:5">
      <c r="C7089" t="s">
        <v>17</v>
      </c>
      <c r="D7089" t="s">
        <v>18</v>
      </c>
      <c r="E7089">
        <v>0</v>
      </c>
    </row>
    <row r="7090" spans="3:5">
      <c r="C7090" t="s">
        <v>17</v>
      </c>
      <c r="D7090" t="s">
        <v>18</v>
      </c>
      <c r="E7090">
        <v>0</v>
      </c>
    </row>
    <row r="7091" spans="3:5">
      <c r="C7091" t="s">
        <v>15</v>
      </c>
      <c r="D7091" t="s">
        <v>16</v>
      </c>
      <c r="E7091">
        <v>1</v>
      </c>
    </row>
    <row r="7092" spans="3:5">
      <c r="C7092" t="s">
        <v>17</v>
      </c>
      <c r="D7092" t="s">
        <v>18</v>
      </c>
      <c r="E7092">
        <v>0</v>
      </c>
    </row>
    <row r="7093" spans="3:5">
      <c r="C7093" t="s">
        <v>15</v>
      </c>
      <c r="D7093" t="s">
        <v>16</v>
      </c>
      <c r="E7093">
        <v>0</v>
      </c>
    </row>
    <row r="7094" spans="3:5">
      <c r="C7094" t="s">
        <v>15</v>
      </c>
      <c r="D7094" t="s">
        <v>16</v>
      </c>
      <c r="E7094">
        <v>0</v>
      </c>
    </row>
    <row r="7095" spans="3:5">
      <c r="C7095" t="s">
        <v>15</v>
      </c>
      <c r="D7095" t="s">
        <v>16</v>
      </c>
      <c r="E7095">
        <v>0</v>
      </c>
    </row>
    <row r="7096" spans="3:5">
      <c r="C7096" t="s">
        <v>15</v>
      </c>
      <c r="D7096" t="s">
        <v>16</v>
      </c>
      <c r="E7096">
        <v>0</v>
      </c>
    </row>
    <row r="7097" spans="3:5">
      <c r="C7097" t="s">
        <v>17</v>
      </c>
      <c r="D7097" t="s">
        <v>18</v>
      </c>
      <c r="E7097">
        <v>0</v>
      </c>
    </row>
    <row r="7098" spans="3:5">
      <c r="C7098" t="s">
        <v>17</v>
      </c>
      <c r="D7098" t="s">
        <v>18</v>
      </c>
      <c r="E7098">
        <v>0</v>
      </c>
    </row>
    <row r="7099" spans="3:5">
      <c r="C7099" t="s">
        <v>15</v>
      </c>
      <c r="D7099" t="s">
        <v>16</v>
      </c>
      <c r="E7099">
        <v>0</v>
      </c>
    </row>
    <row r="7100" spans="3:5">
      <c r="C7100" t="s">
        <v>15</v>
      </c>
      <c r="D7100" t="s">
        <v>16</v>
      </c>
      <c r="E7100">
        <v>0</v>
      </c>
    </row>
    <row r="7101" spans="3:5">
      <c r="C7101" t="s">
        <v>15</v>
      </c>
      <c r="D7101" t="s">
        <v>16</v>
      </c>
      <c r="E7101">
        <v>0</v>
      </c>
    </row>
    <row r="7102" spans="3:5">
      <c r="C7102" t="s">
        <v>15</v>
      </c>
      <c r="D7102" t="s">
        <v>16</v>
      </c>
      <c r="E7102">
        <v>0</v>
      </c>
    </row>
    <row r="7103" spans="3:5">
      <c r="C7103" t="s">
        <v>15</v>
      </c>
      <c r="D7103" t="s">
        <v>16</v>
      </c>
      <c r="E7103">
        <v>0</v>
      </c>
    </row>
    <row r="7104" spans="3:5">
      <c r="C7104" t="s">
        <v>15</v>
      </c>
      <c r="D7104" t="s">
        <v>16</v>
      </c>
      <c r="E7104">
        <v>0</v>
      </c>
    </row>
    <row r="7105" spans="3:5">
      <c r="C7105" t="s">
        <v>17</v>
      </c>
      <c r="D7105" t="s">
        <v>18</v>
      </c>
      <c r="E7105">
        <v>0</v>
      </c>
    </row>
    <row r="7106" spans="3:5">
      <c r="C7106" t="s">
        <v>15</v>
      </c>
      <c r="D7106" t="s">
        <v>16</v>
      </c>
      <c r="E7106">
        <v>0</v>
      </c>
    </row>
    <row r="7107" spans="3:5">
      <c r="C7107" t="s">
        <v>17</v>
      </c>
      <c r="D7107" t="s">
        <v>18</v>
      </c>
      <c r="E7107">
        <v>0</v>
      </c>
    </row>
    <row r="7108" spans="3:5">
      <c r="C7108" t="s">
        <v>15</v>
      </c>
      <c r="D7108" t="s">
        <v>16</v>
      </c>
      <c r="E7108">
        <v>0</v>
      </c>
    </row>
    <row r="7109" spans="3:5">
      <c r="C7109" t="s">
        <v>17</v>
      </c>
      <c r="D7109" t="s">
        <v>18</v>
      </c>
      <c r="E7109">
        <v>0</v>
      </c>
    </row>
    <row r="7110" spans="3:5">
      <c r="C7110" t="s">
        <v>17</v>
      </c>
      <c r="D7110" t="s">
        <v>18</v>
      </c>
      <c r="E7110">
        <v>0</v>
      </c>
    </row>
    <row r="7111" spans="3:5">
      <c r="C7111" t="s">
        <v>17</v>
      </c>
      <c r="D7111" t="s">
        <v>18</v>
      </c>
      <c r="E7111">
        <v>0</v>
      </c>
    </row>
    <row r="7112" spans="3:5">
      <c r="C7112" t="s">
        <v>17</v>
      </c>
      <c r="D7112" t="s">
        <v>18</v>
      </c>
      <c r="E7112">
        <v>0</v>
      </c>
    </row>
    <row r="7113" spans="3:5">
      <c r="C7113" t="s">
        <v>17</v>
      </c>
      <c r="D7113" t="s">
        <v>18</v>
      </c>
      <c r="E7113">
        <v>0</v>
      </c>
    </row>
    <row r="7114" spans="3:5">
      <c r="C7114" t="s">
        <v>17</v>
      </c>
      <c r="D7114" t="s">
        <v>18</v>
      </c>
      <c r="E7114">
        <v>0</v>
      </c>
    </row>
    <row r="7115" spans="3:5">
      <c r="C7115" t="s">
        <v>17</v>
      </c>
      <c r="D7115" t="s">
        <v>18</v>
      </c>
      <c r="E7115">
        <v>0</v>
      </c>
    </row>
    <row r="7116" spans="3:5">
      <c r="C7116" t="s">
        <v>15</v>
      </c>
      <c r="D7116" t="s">
        <v>16</v>
      </c>
      <c r="E7116">
        <v>0</v>
      </c>
    </row>
    <row r="7117" spans="3:5">
      <c r="C7117" t="s">
        <v>17</v>
      </c>
      <c r="D7117" t="s">
        <v>18</v>
      </c>
      <c r="E7117">
        <v>0</v>
      </c>
    </row>
    <row r="7118" spans="3:5">
      <c r="C7118" t="s">
        <v>15</v>
      </c>
      <c r="D7118" t="s">
        <v>16</v>
      </c>
      <c r="E7118">
        <v>0</v>
      </c>
    </row>
    <row r="7119" spans="3:5">
      <c r="C7119" t="s">
        <v>15</v>
      </c>
      <c r="D7119" t="s">
        <v>16</v>
      </c>
      <c r="E7119">
        <v>0</v>
      </c>
    </row>
    <row r="7120" spans="3:5">
      <c r="C7120" t="s">
        <v>17</v>
      </c>
      <c r="D7120" t="s">
        <v>18</v>
      </c>
      <c r="E7120">
        <v>0</v>
      </c>
    </row>
    <row r="7121" spans="3:5">
      <c r="C7121" t="s">
        <v>17</v>
      </c>
      <c r="D7121" t="s">
        <v>18</v>
      </c>
      <c r="E7121">
        <v>0</v>
      </c>
    </row>
    <row r="7122" spans="3:5">
      <c r="C7122" t="s">
        <v>15</v>
      </c>
      <c r="D7122" t="s">
        <v>16</v>
      </c>
      <c r="E7122">
        <v>0</v>
      </c>
    </row>
    <row r="7123" spans="3:5">
      <c r="C7123" t="s">
        <v>17</v>
      </c>
      <c r="D7123" t="s">
        <v>18</v>
      </c>
      <c r="E7123">
        <v>0</v>
      </c>
    </row>
    <row r="7124" spans="3:5">
      <c r="C7124" t="s">
        <v>17</v>
      </c>
      <c r="D7124" t="s">
        <v>18</v>
      </c>
      <c r="E7124">
        <v>0</v>
      </c>
    </row>
    <row r="7125" spans="3:5">
      <c r="C7125" t="s">
        <v>17</v>
      </c>
      <c r="D7125" t="s">
        <v>18</v>
      </c>
      <c r="E7125">
        <v>0</v>
      </c>
    </row>
    <row r="7126" spans="3:5">
      <c r="C7126" t="s">
        <v>15</v>
      </c>
      <c r="D7126" t="s">
        <v>16</v>
      </c>
      <c r="E7126">
        <v>0</v>
      </c>
    </row>
    <row r="7127" spans="3:5">
      <c r="C7127" t="s">
        <v>17</v>
      </c>
      <c r="D7127" t="s">
        <v>18</v>
      </c>
      <c r="E7127">
        <v>0</v>
      </c>
    </row>
    <row r="7128" spans="3:5">
      <c r="C7128" t="s">
        <v>15</v>
      </c>
      <c r="D7128" t="s">
        <v>16</v>
      </c>
      <c r="E7128">
        <v>0</v>
      </c>
    </row>
    <row r="7129" spans="3:5">
      <c r="C7129" t="s">
        <v>17</v>
      </c>
      <c r="D7129" t="s">
        <v>18</v>
      </c>
      <c r="E7129">
        <v>0</v>
      </c>
    </row>
    <row r="7130" spans="3:5">
      <c r="C7130" t="s">
        <v>17</v>
      </c>
      <c r="D7130" t="s">
        <v>18</v>
      </c>
      <c r="E7130">
        <v>0</v>
      </c>
    </row>
    <row r="7131" spans="3:5">
      <c r="C7131" t="s">
        <v>17</v>
      </c>
      <c r="D7131" t="s">
        <v>18</v>
      </c>
      <c r="E7131">
        <v>0</v>
      </c>
    </row>
    <row r="7132" spans="3:5">
      <c r="C7132" t="s">
        <v>15</v>
      </c>
      <c r="D7132" t="s">
        <v>16</v>
      </c>
      <c r="E7132">
        <v>0</v>
      </c>
    </row>
    <row r="7133" spans="3:5">
      <c r="C7133" t="s">
        <v>15</v>
      </c>
      <c r="D7133" t="s">
        <v>16</v>
      </c>
      <c r="E7133">
        <v>0</v>
      </c>
    </row>
    <row r="7134" spans="3:5">
      <c r="C7134" t="s">
        <v>15</v>
      </c>
      <c r="D7134" t="s">
        <v>16</v>
      </c>
      <c r="E7134">
        <v>0</v>
      </c>
    </row>
    <row r="7135" spans="3:5">
      <c r="C7135" t="s">
        <v>15</v>
      </c>
      <c r="D7135" t="s">
        <v>16</v>
      </c>
      <c r="E7135">
        <v>0</v>
      </c>
    </row>
    <row r="7136" spans="3:5">
      <c r="C7136" t="s">
        <v>15</v>
      </c>
      <c r="D7136" t="s">
        <v>16</v>
      </c>
      <c r="E7136">
        <v>0</v>
      </c>
    </row>
    <row r="7137" spans="3:5">
      <c r="C7137" t="s">
        <v>17</v>
      </c>
      <c r="D7137" t="s">
        <v>18</v>
      </c>
      <c r="E7137">
        <v>0</v>
      </c>
    </row>
    <row r="7138" spans="3:5">
      <c r="C7138" t="s">
        <v>15</v>
      </c>
      <c r="D7138" t="s">
        <v>16</v>
      </c>
      <c r="E7138">
        <v>0</v>
      </c>
    </row>
    <row r="7139" spans="3:5">
      <c r="C7139" t="s">
        <v>17</v>
      </c>
      <c r="D7139" t="s">
        <v>18</v>
      </c>
      <c r="E7139">
        <v>0</v>
      </c>
    </row>
    <row r="7140" spans="3:5">
      <c r="C7140" t="s">
        <v>15</v>
      </c>
      <c r="D7140" t="s">
        <v>16</v>
      </c>
      <c r="E7140">
        <v>0</v>
      </c>
    </row>
    <row r="7141" spans="3:5">
      <c r="C7141" t="s">
        <v>17</v>
      </c>
      <c r="D7141" t="s">
        <v>18</v>
      </c>
      <c r="E7141">
        <v>0</v>
      </c>
    </row>
    <row r="7142" spans="3:5">
      <c r="C7142" t="s">
        <v>17</v>
      </c>
      <c r="D7142" t="s">
        <v>18</v>
      </c>
      <c r="E7142">
        <v>1</v>
      </c>
    </row>
    <row r="7143" spans="3:5">
      <c r="C7143" t="s">
        <v>17</v>
      </c>
      <c r="D7143" t="s">
        <v>18</v>
      </c>
      <c r="E7143">
        <v>0</v>
      </c>
    </row>
    <row r="7144" spans="3:5">
      <c r="C7144" t="s">
        <v>15</v>
      </c>
      <c r="D7144" t="s">
        <v>16</v>
      </c>
      <c r="E7144">
        <v>0</v>
      </c>
    </row>
    <row r="7145" spans="3:5">
      <c r="C7145" t="s">
        <v>15</v>
      </c>
      <c r="D7145" t="s">
        <v>16</v>
      </c>
      <c r="E7145">
        <v>0</v>
      </c>
    </row>
    <row r="7146" spans="3:5">
      <c r="C7146" t="s">
        <v>15</v>
      </c>
      <c r="D7146" t="s">
        <v>16</v>
      </c>
      <c r="E7146">
        <v>0</v>
      </c>
    </row>
    <row r="7147" spans="3:5">
      <c r="C7147" t="s">
        <v>17</v>
      </c>
      <c r="D7147" t="s">
        <v>18</v>
      </c>
      <c r="E7147">
        <v>0</v>
      </c>
    </row>
    <row r="7148" spans="3:5">
      <c r="C7148" t="s">
        <v>17</v>
      </c>
      <c r="D7148" t="s">
        <v>18</v>
      </c>
      <c r="E7148">
        <v>0</v>
      </c>
    </row>
    <row r="7149" spans="3:5">
      <c r="C7149" t="s">
        <v>15</v>
      </c>
      <c r="D7149" t="s">
        <v>16</v>
      </c>
      <c r="E7149">
        <v>0</v>
      </c>
    </row>
    <row r="7150" spans="3:5">
      <c r="C7150" t="s">
        <v>15</v>
      </c>
      <c r="D7150" t="s">
        <v>16</v>
      </c>
      <c r="E7150">
        <v>0</v>
      </c>
    </row>
    <row r="7151" spans="3:5">
      <c r="C7151" t="s">
        <v>15</v>
      </c>
      <c r="D7151" t="s">
        <v>16</v>
      </c>
      <c r="E7151">
        <v>0</v>
      </c>
    </row>
    <row r="7152" spans="3:5">
      <c r="C7152" t="s">
        <v>15</v>
      </c>
      <c r="D7152" t="s">
        <v>16</v>
      </c>
      <c r="E7152">
        <v>0</v>
      </c>
    </row>
    <row r="7153" spans="3:5">
      <c r="C7153" t="s">
        <v>15</v>
      </c>
      <c r="D7153" t="s">
        <v>16</v>
      </c>
      <c r="E7153">
        <v>0</v>
      </c>
    </row>
    <row r="7154" spans="3:5">
      <c r="C7154" t="s">
        <v>15</v>
      </c>
      <c r="D7154" t="s">
        <v>16</v>
      </c>
      <c r="E7154">
        <v>0</v>
      </c>
    </row>
    <row r="7155" spans="3:5">
      <c r="C7155" t="s">
        <v>17</v>
      </c>
      <c r="D7155" t="s">
        <v>18</v>
      </c>
      <c r="E7155">
        <v>0</v>
      </c>
    </row>
    <row r="7156" spans="3:5">
      <c r="C7156" t="s">
        <v>15</v>
      </c>
      <c r="D7156" t="s">
        <v>16</v>
      </c>
      <c r="E7156">
        <v>0</v>
      </c>
    </row>
    <row r="7157" spans="3:5">
      <c r="C7157" t="s">
        <v>17</v>
      </c>
      <c r="D7157" t="s">
        <v>18</v>
      </c>
      <c r="E7157">
        <v>0</v>
      </c>
    </row>
    <row r="7158" spans="3:5">
      <c r="C7158" t="s">
        <v>15</v>
      </c>
      <c r="D7158" t="s">
        <v>16</v>
      </c>
      <c r="E7158">
        <v>0</v>
      </c>
    </row>
    <row r="7159" spans="3:5">
      <c r="C7159" t="s">
        <v>15</v>
      </c>
      <c r="D7159" t="s">
        <v>16</v>
      </c>
      <c r="E7159">
        <v>0</v>
      </c>
    </row>
    <row r="7160" spans="3:5">
      <c r="C7160" t="s">
        <v>15</v>
      </c>
      <c r="D7160" t="s">
        <v>16</v>
      </c>
      <c r="E7160">
        <v>0</v>
      </c>
    </row>
    <row r="7161" spans="3:5">
      <c r="C7161" t="s">
        <v>17</v>
      </c>
      <c r="D7161" t="s">
        <v>18</v>
      </c>
      <c r="E7161">
        <v>0</v>
      </c>
    </row>
    <row r="7162" spans="3:5">
      <c r="C7162" t="s">
        <v>15</v>
      </c>
      <c r="D7162" t="s">
        <v>16</v>
      </c>
      <c r="E7162">
        <v>0</v>
      </c>
    </row>
    <row r="7163" spans="3:5">
      <c r="C7163" t="s">
        <v>17</v>
      </c>
      <c r="D7163" t="s">
        <v>18</v>
      </c>
      <c r="E7163">
        <v>0</v>
      </c>
    </row>
    <row r="7164" spans="3:5">
      <c r="C7164" t="s">
        <v>17</v>
      </c>
      <c r="D7164" t="s">
        <v>18</v>
      </c>
      <c r="E7164">
        <v>0</v>
      </c>
    </row>
    <row r="7165" spans="3:5">
      <c r="C7165" t="s">
        <v>17</v>
      </c>
      <c r="D7165" t="s">
        <v>18</v>
      </c>
      <c r="E7165">
        <v>0</v>
      </c>
    </row>
    <row r="7166" spans="3:5">
      <c r="C7166" t="s">
        <v>15</v>
      </c>
      <c r="D7166" t="s">
        <v>16</v>
      </c>
      <c r="E7166">
        <v>0</v>
      </c>
    </row>
    <row r="7167" spans="3:5">
      <c r="C7167" t="s">
        <v>17</v>
      </c>
      <c r="D7167" t="s">
        <v>18</v>
      </c>
      <c r="E7167">
        <v>0</v>
      </c>
    </row>
    <row r="7168" spans="3:5">
      <c r="C7168" t="s">
        <v>15</v>
      </c>
      <c r="D7168" t="s">
        <v>16</v>
      </c>
      <c r="E7168">
        <v>0</v>
      </c>
    </row>
    <row r="7169" spans="3:5">
      <c r="C7169" t="s">
        <v>15</v>
      </c>
      <c r="D7169" t="s">
        <v>16</v>
      </c>
      <c r="E7169">
        <v>0</v>
      </c>
    </row>
    <row r="7170" spans="3:5">
      <c r="C7170" t="s">
        <v>17</v>
      </c>
      <c r="D7170" t="s">
        <v>18</v>
      </c>
      <c r="E7170">
        <v>0</v>
      </c>
    </row>
    <row r="7171" spans="3:5">
      <c r="C7171" t="s">
        <v>15</v>
      </c>
      <c r="D7171" t="s">
        <v>16</v>
      </c>
      <c r="E7171">
        <v>0</v>
      </c>
    </row>
    <row r="7172" spans="3:5">
      <c r="C7172" t="s">
        <v>15</v>
      </c>
      <c r="D7172" t="s">
        <v>16</v>
      </c>
      <c r="E7172">
        <v>0</v>
      </c>
    </row>
    <row r="7173" spans="3:5">
      <c r="C7173" t="s">
        <v>15</v>
      </c>
      <c r="D7173" t="s">
        <v>16</v>
      </c>
      <c r="E7173">
        <v>0</v>
      </c>
    </row>
    <row r="7174" spans="3:5">
      <c r="C7174" t="s">
        <v>17</v>
      </c>
      <c r="D7174" t="s">
        <v>18</v>
      </c>
      <c r="E7174">
        <v>0</v>
      </c>
    </row>
    <row r="7175" spans="3:5">
      <c r="C7175" t="s">
        <v>15</v>
      </c>
      <c r="D7175" t="s">
        <v>16</v>
      </c>
      <c r="E7175">
        <v>0</v>
      </c>
    </row>
    <row r="7176" spans="3:5">
      <c r="C7176" t="s">
        <v>17</v>
      </c>
      <c r="D7176" t="s">
        <v>18</v>
      </c>
      <c r="E7176">
        <v>0</v>
      </c>
    </row>
    <row r="7177" spans="3:5">
      <c r="C7177" t="s">
        <v>15</v>
      </c>
      <c r="D7177" t="s">
        <v>16</v>
      </c>
      <c r="E7177">
        <v>0</v>
      </c>
    </row>
    <row r="7178" spans="3:5">
      <c r="C7178" t="s">
        <v>17</v>
      </c>
      <c r="D7178" t="s">
        <v>18</v>
      </c>
      <c r="E7178">
        <v>1</v>
      </c>
    </row>
    <row r="7179" spans="3:5">
      <c r="C7179" t="s">
        <v>15</v>
      </c>
      <c r="D7179" t="s">
        <v>16</v>
      </c>
      <c r="E7179">
        <v>1</v>
      </c>
    </row>
    <row r="7180" spans="3:5">
      <c r="C7180" t="s">
        <v>15</v>
      </c>
      <c r="D7180" t="s">
        <v>16</v>
      </c>
      <c r="E7180">
        <v>0</v>
      </c>
    </row>
    <row r="7181" spans="3:5">
      <c r="C7181" t="s">
        <v>17</v>
      </c>
      <c r="D7181" t="s">
        <v>18</v>
      </c>
      <c r="E7181">
        <v>0</v>
      </c>
    </row>
    <row r="7182" spans="3:5">
      <c r="C7182" t="s">
        <v>17</v>
      </c>
      <c r="D7182" t="s">
        <v>18</v>
      </c>
      <c r="E7182">
        <v>0</v>
      </c>
    </row>
    <row r="7183" spans="3:5">
      <c r="C7183" t="s">
        <v>17</v>
      </c>
      <c r="D7183" t="s">
        <v>18</v>
      </c>
      <c r="E7183">
        <v>0</v>
      </c>
    </row>
    <row r="7184" spans="3:5">
      <c r="C7184" t="s">
        <v>15</v>
      </c>
      <c r="D7184" t="s">
        <v>16</v>
      </c>
      <c r="E7184">
        <v>0</v>
      </c>
    </row>
    <row r="7185" spans="3:5">
      <c r="C7185" t="s">
        <v>17</v>
      </c>
      <c r="D7185" t="s">
        <v>18</v>
      </c>
      <c r="E7185">
        <v>0</v>
      </c>
    </row>
    <row r="7186" spans="3:5">
      <c r="C7186" t="s">
        <v>17</v>
      </c>
      <c r="D7186" t="s">
        <v>18</v>
      </c>
      <c r="E7186">
        <v>0</v>
      </c>
    </row>
    <row r="7187" spans="3:5">
      <c r="C7187" t="s">
        <v>15</v>
      </c>
      <c r="D7187" t="s">
        <v>16</v>
      </c>
      <c r="E7187">
        <v>0</v>
      </c>
    </row>
    <row r="7188" spans="3:5">
      <c r="C7188" t="s">
        <v>17</v>
      </c>
      <c r="D7188" t="s">
        <v>18</v>
      </c>
      <c r="E7188">
        <v>0</v>
      </c>
    </row>
    <row r="7189" spans="3:5">
      <c r="C7189" t="s">
        <v>17</v>
      </c>
      <c r="D7189" t="s">
        <v>18</v>
      </c>
      <c r="E7189">
        <v>0</v>
      </c>
    </row>
    <row r="7190" spans="3:5">
      <c r="C7190" t="s">
        <v>17</v>
      </c>
      <c r="D7190" t="s">
        <v>18</v>
      </c>
      <c r="E7190">
        <v>0</v>
      </c>
    </row>
    <row r="7191" spans="3:5">
      <c r="C7191" t="s">
        <v>17</v>
      </c>
      <c r="D7191" t="s">
        <v>18</v>
      </c>
      <c r="E7191">
        <v>0</v>
      </c>
    </row>
    <row r="7192" spans="3:5">
      <c r="C7192" t="s">
        <v>15</v>
      </c>
      <c r="D7192" t="s">
        <v>16</v>
      </c>
      <c r="E7192">
        <v>0</v>
      </c>
    </row>
    <row r="7193" spans="3:5">
      <c r="C7193" t="s">
        <v>15</v>
      </c>
      <c r="D7193" t="s">
        <v>16</v>
      </c>
      <c r="E7193">
        <v>0</v>
      </c>
    </row>
    <row r="7194" spans="3:5">
      <c r="C7194" t="s">
        <v>17</v>
      </c>
      <c r="D7194" t="s">
        <v>18</v>
      </c>
      <c r="E7194">
        <v>0</v>
      </c>
    </row>
    <row r="7195" spans="3:5">
      <c r="C7195" t="s">
        <v>17</v>
      </c>
      <c r="D7195" t="s">
        <v>18</v>
      </c>
      <c r="E7195">
        <v>0</v>
      </c>
    </row>
    <row r="7196" spans="3:5">
      <c r="C7196" t="s">
        <v>17</v>
      </c>
      <c r="D7196" t="s">
        <v>18</v>
      </c>
      <c r="E7196">
        <v>0</v>
      </c>
    </row>
    <row r="7197" spans="3:5">
      <c r="C7197" t="s">
        <v>17</v>
      </c>
      <c r="D7197" t="s">
        <v>18</v>
      </c>
      <c r="E7197">
        <v>0</v>
      </c>
    </row>
    <row r="7198" spans="3:5">
      <c r="C7198" t="s">
        <v>15</v>
      </c>
      <c r="D7198" t="s">
        <v>16</v>
      </c>
      <c r="E7198">
        <v>0</v>
      </c>
    </row>
    <row r="7199" spans="3:5">
      <c r="C7199" t="s">
        <v>17</v>
      </c>
      <c r="D7199" t="s">
        <v>18</v>
      </c>
      <c r="E7199">
        <v>0</v>
      </c>
    </row>
    <row r="7200" spans="3:5">
      <c r="C7200" t="s">
        <v>17</v>
      </c>
      <c r="D7200" t="s">
        <v>18</v>
      </c>
      <c r="E7200">
        <v>0</v>
      </c>
    </row>
    <row r="7201" spans="3:5">
      <c r="C7201" t="s">
        <v>17</v>
      </c>
      <c r="D7201" t="s">
        <v>18</v>
      </c>
      <c r="E7201">
        <v>0</v>
      </c>
    </row>
    <row r="7202" spans="3:5">
      <c r="C7202" t="s">
        <v>15</v>
      </c>
      <c r="D7202" t="s">
        <v>16</v>
      </c>
      <c r="E7202">
        <v>0</v>
      </c>
    </row>
    <row r="7203" spans="3:5">
      <c r="C7203" t="s">
        <v>17</v>
      </c>
      <c r="D7203" t="s">
        <v>18</v>
      </c>
      <c r="E7203">
        <v>0</v>
      </c>
    </row>
    <row r="7204" spans="3:5">
      <c r="C7204" t="s">
        <v>17</v>
      </c>
      <c r="D7204" t="s">
        <v>18</v>
      </c>
      <c r="E7204">
        <v>0</v>
      </c>
    </row>
    <row r="7205" spans="3:5">
      <c r="C7205" t="s">
        <v>17</v>
      </c>
      <c r="D7205" t="s">
        <v>18</v>
      </c>
      <c r="E7205">
        <v>0</v>
      </c>
    </row>
    <row r="7206" spans="3:5">
      <c r="C7206" t="s">
        <v>17</v>
      </c>
      <c r="D7206" t="s">
        <v>18</v>
      </c>
      <c r="E7206">
        <v>0</v>
      </c>
    </row>
    <row r="7207" spans="3:5">
      <c r="C7207" t="s">
        <v>17</v>
      </c>
      <c r="D7207" t="s">
        <v>18</v>
      </c>
      <c r="E7207">
        <v>0</v>
      </c>
    </row>
    <row r="7208" spans="3:5">
      <c r="C7208" t="s">
        <v>17</v>
      </c>
      <c r="D7208" t="s">
        <v>18</v>
      </c>
      <c r="E7208">
        <v>0</v>
      </c>
    </row>
    <row r="7209" spans="3:5">
      <c r="C7209" t="s">
        <v>15</v>
      </c>
      <c r="D7209" t="s">
        <v>16</v>
      </c>
      <c r="E7209">
        <v>0</v>
      </c>
    </row>
    <row r="7210" spans="3:5">
      <c r="C7210" t="s">
        <v>15</v>
      </c>
      <c r="D7210" t="s">
        <v>16</v>
      </c>
      <c r="E7210">
        <v>0</v>
      </c>
    </row>
    <row r="7211" spans="3:5">
      <c r="C7211" t="s">
        <v>17</v>
      </c>
      <c r="D7211" t="s">
        <v>18</v>
      </c>
      <c r="E7211">
        <v>0</v>
      </c>
    </row>
    <row r="7212" spans="3:5">
      <c r="C7212" t="s">
        <v>17</v>
      </c>
      <c r="D7212" t="s">
        <v>18</v>
      </c>
      <c r="E7212">
        <v>0</v>
      </c>
    </row>
    <row r="7213" spans="3:5">
      <c r="C7213" t="s">
        <v>15</v>
      </c>
      <c r="D7213" t="s">
        <v>16</v>
      </c>
      <c r="E7213">
        <v>0</v>
      </c>
    </row>
    <row r="7214" spans="3:5">
      <c r="C7214" t="s">
        <v>17</v>
      </c>
      <c r="D7214" t="s">
        <v>18</v>
      </c>
      <c r="E7214">
        <v>0</v>
      </c>
    </row>
    <row r="7215" spans="3:5">
      <c r="C7215" t="s">
        <v>15</v>
      </c>
      <c r="D7215" t="s">
        <v>16</v>
      </c>
      <c r="E7215">
        <v>1</v>
      </c>
    </row>
    <row r="7216" spans="3:5">
      <c r="C7216" t="s">
        <v>17</v>
      </c>
      <c r="D7216" t="s">
        <v>18</v>
      </c>
      <c r="E7216">
        <v>0</v>
      </c>
    </row>
    <row r="7217" spans="3:5">
      <c r="C7217" t="s">
        <v>15</v>
      </c>
      <c r="D7217" t="s">
        <v>16</v>
      </c>
      <c r="E7217">
        <v>0</v>
      </c>
    </row>
    <row r="7218" spans="3:5">
      <c r="C7218" t="s">
        <v>17</v>
      </c>
      <c r="D7218" t="s">
        <v>18</v>
      </c>
      <c r="E7218">
        <v>1</v>
      </c>
    </row>
    <row r="7219" spans="3:5">
      <c r="C7219" t="s">
        <v>17</v>
      </c>
      <c r="D7219" t="s">
        <v>18</v>
      </c>
      <c r="E7219">
        <v>0</v>
      </c>
    </row>
    <row r="7220" spans="3:5">
      <c r="C7220" t="s">
        <v>17</v>
      </c>
      <c r="D7220" t="s">
        <v>18</v>
      </c>
      <c r="E7220">
        <v>0</v>
      </c>
    </row>
    <row r="7221" spans="3:5">
      <c r="C7221" t="s">
        <v>15</v>
      </c>
      <c r="D7221" t="s">
        <v>16</v>
      </c>
      <c r="E7221">
        <v>0</v>
      </c>
    </row>
    <row r="7222" spans="3:5">
      <c r="C7222" t="s">
        <v>15</v>
      </c>
      <c r="D7222" t="s">
        <v>16</v>
      </c>
      <c r="E7222">
        <v>0</v>
      </c>
    </row>
    <row r="7223" spans="3:5">
      <c r="C7223" t="s">
        <v>17</v>
      </c>
      <c r="D7223" t="s">
        <v>18</v>
      </c>
      <c r="E7223">
        <v>0</v>
      </c>
    </row>
    <row r="7224" spans="3:5">
      <c r="C7224" t="s">
        <v>15</v>
      </c>
      <c r="D7224" t="s">
        <v>16</v>
      </c>
      <c r="E7224">
        <v>0</v>
      </c>
    </row>
    <row r="7225" spans="3:5">
      <c r="C7225" t="s">
        <v>17</v>
      </c>
      <c r="D7225" t="s">
        <v>18</v>
      </c>
      <c r="E7225">
        <v>0</v>
      </c>
    </row>
    <row r="7226" spans="3:5">
      <c r="C7226" t="s">
        <v>15</v>
      </c>
      <c r="D7226" t="s">
        <v>16</v>
      </c>
      <c r="E7226">
        <v>0</v>
      </c>
    </row>
    <row r="7227" spans="3:5">
      <c r="C7227" t="s">
        <v>15</v>
      </c>
      <c r="D7227" t="s">
        <v>16</v>
      </c>
      <c r="E7227">
        <v>0</v>
      </c>
    </row>
    <row r="7228" spans="3:5">
      <c r="C7228" t="s">
        <v>17</v>
      </c>
      <c r="D7228" t="s">
        <v>18</v>
      </c>
      <c r="E7228">
        <v>0</v>
      </c>
    </row>
    <row r="7229" spans="3:5">
      <c r="C7229" t="s">
        <v>17</v>
      </c>
      <c r="D7229" t="s">
        <v>18</v>
      </c>
      <c r="E7229">
        <v>0</v>
      </c>
    </row>
    <row r="7230" spans="3:5">
      <c r="C7230" t="s">
        <v>17</v>
      </c>
      <c r="D7230" t="s">
        <v>18</v>
      </c>
      <c r="E7230">
        <v>0</v>
      </c>
    </row>
    <row r="7231" spans="3:5">
      <c r="C7231" t="s">
        <v>17</v>
      </c>
      <c r="D7231" t="s">
        <v>18</v>
      </c>
      <c r="E7231">
        <v>0</v>
      </c>
    </row>
    <row r="7232" spans="3:5">
      <c r="C7232" t="s">
        <v>15</v>
      </c>
      <c r="D7232" t="s">
        <v>16</v>
      </c>
      <c r="E7232">
        <v>0</v>
      </c>
    </row>
    <row r="7233" spans="3:5">
      <c r="C7233" t="s">
        <v>15</v>
      </c>
      <c r="D7233" t="s">
        <v>16</v>
      </c>
      <c r="E7233">
        <v>0</v>
      </c>
    </row>
    <row r="7234" spans="3:5">
      <c r="C7234" t="s">
        <v>17</v>
      </c>
      <c r="D7234" t="s">
        <v>18</v>
      </c>
      <c r="E7234">
        <v>0</v>
      </c>
    </row>
    <row r="7235" spans="3:5">
      <c r="C7235" t="s">
        <v>15</v>
      </c>
      <c r="D7235" t="s">
        <v>16</v>
      </c>
      <c r="E7235">
        <v>0</v>
      </c>
    </row>
    <row r="7236" spans="3:5">
      <c r="C7236" t="s">
        <v>15</v>
      </c>
      <c r="D7236" t="s">
        <v>16</v>
      </c>
      <c r="E7236">
        <v>0</v>
      </c>
    </row>
    <row r="7237" spans="3:5">
      <c r="C7237" t="s">
        <v>15</v>
      </c>
      <c r="D7237" t="s">
        <v>16</v>
      </c>
      <c r="E7237">
        <v>0</v>
      </c>
    </row>
    <row r="7238" spans="3:5">
      <c r="C7238" t="s">
        <v>17</v>
      </c>
      <c r="D7238" t="s">
        <v>18</v>
      </c>
      <c r="E7238">
        <v>0</v>
      </c>
    </row>
    <row r="7239" spans="3:5">
      <c r="C7239" t="s">
        <v>17</v>
      </c>
      <c r="D7239" t="s">
        <v>18</v>
      </c>
      <c r="E7239">
        <v>0</v>
      </c>
    </row>
    <row r="7240" spans="3:5">
      <c r="C7240" t="s">
        <v>17</v>
      </c>
      <c r="D7240" t="s">
        <v>18</v>
      </c>
      <c r="E7240">
        <v>1</v>
      </c>
    </row>
    <row r="7241" spans="3:5">
      <c r="C7241" t="s">
        <v>15</v>
      </c>
      <c r="D7241" t="s">
        <v>16</v>
      </c>
      <c r="E7241">
        <v>0</v>
      </c>
    </row>
    <row r="7242" spans="3:5">
      <c r="C7242" t="s">
        <v>15</v>
      </c>
      <c r="D7242" t="s">
        <v>16</v>
      </c>
      <c r="E7242">
        <v>0</v>
      </c>
    </row>
    <row r="7243" spans="3:5">
      <c r="C7243" t="s">
        <v>17</v>
      </c>
      <c r="D7243" t="s">
        <v>18</v>
      </c>
      <c r="E7243">
        <v>0</v>
      </c>
    </row>
    <row r="7244" spans="3:5">
      <c r="C7244" t="s">
        <v>15</v>
      </c>
      <c r="D7244" t="s">
        <v>16</v>
      </c>
      <c r="E7244">
        <v>0</v>
      </c>
    </row>
    <row r="7245" spans="3:5">
      <c r="C7245" t="s">
        <v>15</v>
      </c>
      <c r="D7245" t="s">
        <v>16</v>
      </c>
      <c r="E7245">
        <v>0</v>
      </c>
    </row>
    <row r="7246" spans="3:5">
      <c r="C7246" t="s">
        <v>17</v>
      </c>
      <c r="D7246" t="s">
        <v>18</v>
      </c>
      <c r="E7246">
        <v>1</v>
      </c>
    </row>
    <row r="7247" spans="3:5">
      <c r="C7247" t="s">
        <v>17</v>
      </c>
      <c r="D7247" t="s">
        <v>18</v>
      </c>
      <c r="E7247">
        <v>0</v>
      </c>
    </row>
    <row r="7248" spans="3:5">
      <c r="C7248" t="s">
        <v>15</v>
      </c>
      <c r="D7248" t="s">
        <v>16</v>
      </c>
      <c r="E7248">
        <v>0</v>
      </c>
    </row>
    <row r="7249" spans="3:5">
      <c r="C7249" t="s">
        <v>15</v>
      </c>
      <c r="D7249" t="s">
        <v>16</v>
      </c>
      <c r="E7249">
        <v>0</v>
      </c>
    </row>
    <row r="7250" spans="3:5">
      <c r="C7250" t="s">
        <v>15</v>
      </c>
      <c r="D7250" t="s">
        <v>16</v>
      </c>
      <c r="E7250">
        <v>0</v>
      </c>
    </row>
    <row r="7251" spans="3:5">
      <c r="C7251" t="s">
        <v>17</v>
      </c>
      <c r="D7251" t="s">
        <v>18</v>
      </c>
      <c r="E7251">
        <v>0</v>
      </c>
    </row>
    <row r="7252" spans="3:5">
      <c r="C7252" t="s">
        <v>17</v>
      </c>
      <c r="D7252" t="s">
        <v>18</v>
      </c>
      <c r="E7252">
        <v>0</v>
      </c>
    </row>
    <row r="7253" spans="3:5">
      <c r="C7253" t="s">
        <v>17</v>
      </c>
      <c r="D7253" t="s">
        <v>18</v>
      </c>
      <c r="E7253">
        <v>0</v>
      </c>
    </row>
    <row r="7254" spans="3:5">
      <c r="C7254" t="s">
        <v>15</v>
      </c>
      <c r="D7254" t="s">
        <v>16</v>
      </c>
      <c r="E7254">
        <v>0</v>
      </c>
    </row>
    <row r="7255" spans="3:5">
      <c r="C7255" t="s">
        <v>17</v>
      </c>
      <c r="D7255" t="s">
        <v>18</v>
      </c>
      <c r="E7255">
        <v>0</v>
      </c>
    </row>
    <row r="7256" spans="3:5">
      <c r="C7256" t="s">
        <v>17</v>
      </c>
      <c r="D7256" t="s">
        <v>18</v>
      </c>
      <c r="E7256">
        <v>0</v>
      </c>
    </row>
    <row r="7257" spans="3:5">
      <c r="C7257" t="s">
        <v>17</v>
      </c>
      <c r="D7257" t="s">
        <v>18</v>
      </c>
      <c r="E7257">
        <v>0</v>
      </c>
    </row>
    <row r="7258" spans="3:5">
      <c r="C7258" t="s">
        <v>17</v>
      </c>
      <c r="D7258" t="s">
        <v>18</v>
      </c>
      <c r="E7258">
        <v>0</v>
      </c>
    </row>
    <row r="7259" spans="3:5">
      <c r="C7259" t="s">
        <v>17</v>
      </c>
      <c r="D7259" t="s">
        <v>18</v>
      </c>
      <c r="E7259">
        <v>0</v>
      </c>
    </row>
    <row r="7260" spans="3:5">
      <c r="C7260" t="s">
        <v>17</v>
      </c>
      <c r="D7260" t="s">
        <v>18</v>
      </c>
      <c r="E7260">
        <v>0</v>
      </c>
    </row>
    <row r="7261" spans="3:5">
      <c r="C7261" t="s">
        <v>17</v>
      </c>
      <c r="D7261" t="s">
        <v>18</v>
      </c>
      <c r="E7261">
        <v>0</v>
      </c>
    </row>
    <row r="7262" spans="3:5">
      <c r="C7262" t="s">
        <v>17</v>
      </c>
      <c r="D7262" t="s">
        <v>18</v>
      </c>
      <c r="E7262">
        <v>0</v>
      </c>
    </row>
    <row r="7263" spans="3:5">
      <c r="C7263" t="s">
        <v>15</v>
      </c>
      <c r="D7263" t="s">
        <v>16</v>
      </c>
      <c r="E7263">
        <v>0</v>
      </c>
    </row>
    <row r="7264" spans="3:5">
      <c r="C7264" t="s">
        <v>17</v>
      </c>
      <c r="D7264" t="s">
        <v>18</v>
      </c>
      <c r="E7264">
        <v>0</v>
      </c>
    </row>
    <row r="7265" spans="3:5">
      <c r="C7265" t="s">
        <v>17</v>
      </c>
      <c r="D7265" t="s">
        <v>18</v>
      </c>
      <c r="E7265">
        <v>0</v>
      </c>
    </row>
    <row r="7266" spans="3:5">
      <c r="C7266" t="s">
        <v>17</v>
      </c>
      <c r="D7266" t="s">
        <v>18</v>
      </c>
      <c r="E7266">
        <v>0</v>
      </c>
    </row>
    <row r="7267" spans="3:5">
      <c r="C7267" t="s">
        <v>17</v>
      </c>
      <c r="D7267" t="s">
        <v>18</v>
      </c>
      <c r="E7267">
        <v>0</v>
      </c>
    </row>
    <row r="7268" spans="3:5">
      <c r="C7268" t="s">
        <v>17</v>
      </c>
      <c r="D7268" t="s">
        <v>18</v>
      </c>
      <c r="E7268">
        <v>0</v>
      </c>
    </row>
    <row r="7269" spans="3:5">
      <c r="C7269" t="s">
        <v>17</v>
      </c>
      <c r="D7269" t="s">
        <v>18</v>
      </c>
      <c r="E7269">
        <v>0</v>
      </c>
    </row>
    <row r="7270" spans="3:5">
      <c r="C7270" t="s">
        <v>17</v>
      </c>
      <c r="D7270" t="s">
        <v>18</v>
      </c>
      <c r="E7270">
        <v>0</v>
      </c>
    </row>
    <row r="7271" spans="3:5">
      <c r="C7271" t="s">
        <v>17</v>
      </c>
      <c r="D7271" t="s">
        <v>18</v>
      </c>
      <c r="E7271">
        <v>0</v>
      </c>
    </row>
    <row r="7272" spans="3:5">
      <c r="C7272" t="s">
        <v>17</v>
      </c>
      <c r="D7272" t="s">
        <v>18</v>
      </c>
      <c r="E7272">
        <v>0</v>
      </c>
    </row>
    <row r="7273" spans="3:5">
      <c r="C7273" t="s">
        <v>17</v>
      </c>
      <c r="D7273" t="s">
        <v>18</v>
      </c>
      <c r="E7273">
        <v>1</v>
      </c>
    </row>
    <row r="7274" spans="3:5">
      <c r="C7274" t="s">
        <v>17</v>
      </c>
      <c r="D7274" t="s">
        <v>18</v>
      </c>
      <c r="E7274">
        <v>0</v>
      </c>
    </row>
    <row r="7275" spans="3:5">
      <c r="C7275" t="s">
        <v>17</v>
      </c>
      <c r="D7275" t="s">
        <v>18</v>
      </c>
      <c r="E7275">
        <v>0</v>
      </c>
    </row>
    <row r="7276" spans="3:5">
      <c r="C7276" t="s">
        <v>15</v>
      </c>
      <c r="D7276" t="s">
        <v>16</v>
      </c>
      <c r="E7276">
        <v>0</v>
      </c>
    </row>
    <row r="7277" spans="3:5">
      <c r="C7277" t="s">
        <v>15</v>
      </c>
      <c r="D7277" t="s">
        <v>16</v>
      </c>
      <c r="E7277">
        <v>0</v>
      </c>
    </row>
    <row r="7278" spans="3:5">
      <c r="C7278" t="s">
        <v>15</v>
      </c>
      <c r="D7278" t="s">
        <v>16</v>
      </c>
      <c r="E7278">
        <v>0</v>
      </c>
    </row>
    <row r="7279" spans="3:5">
      <c r="C7279" t="s">
        <v>17</v>
      </c>
      <c r="D7279" t="s">
        <v>18</v>
      </c>
      <c r="E7279">
        <v>0</v>
      </c>
    </row>
    <row r="7280" spans="3:5">
      <c r="C7280" t="s">
        <v>17</v>
      </c>
      <c r="D7280" t="s">
        <v>18</v>
      </c>
      <c r="E7280">
        <v>0</v>
      </c>
    </row>
    <row r="7281" spans="3:5">
      <c r="C7281" t="s">
        <v>15</v>
      </c>
      <c r="D7281" t="s">
        <v>16</v>
      </c>
      <c r="E7281">
        <v>0</v>
      </c>
    </row>
    <row r="7282" spans="3:5">
      <c r="C7282" t="s">
        <v>17</v>
      </c>
      <c r="D7282" t="s">
        <v>18</v>
      </c>
      <c r="E7282">
        <v>0</v>
      </c>
    </row>
    <row r="7283" spans="3:5">
      <c r="C7283" t="s">
        <v>15</v>
      </c>
      <c r="D7283" t="s">
        <v>16</v>
      </c>
      <c r="E7283">
        <v>0</v>
      </c>
    </row>
    <row r="7284" spans="3:5">
      <c r="C7284" t="s">
        <v>17</v>
      </c>
      <c r="D7284" t="s">
        <v>18</v>
      </c>
      <c r="E7284">
        <v>0</v>
      </c>
    </row>
    <row r="7285" spans="3:5">
      <c r="C7285" t="s">
        <v>15</v>
      </c>
      <c r="D7285" t="s">
        <v>16</v>
      </c>
      <c r="E7285">
        <v>0</v>
      </c>
    </row>
    <row r="7286" spans="3:5">
      <c r="C7286" t="s">
        <v>15</v>
      </c>
      <c r="D7286" t="s">
        <v>16</v>
      </c>
      <c r="E7286">
        <v>0</v>
      </c>
    </row>
    <row r="7287" spans="3:5">
      <c r="C7287" t="s">
        <v>17</v>
      </c>
      <c r="D7287" t="s">
        <v>18</v>
      </c>
      <c r="E7287">
        <v>0</v>
      </c>
    </row>
    <row r="7288" spans="3:5">
      <c r="C7288" t="s">
        <v>15</v>
      </c>
      <c r="D7288" t="s">
        <v>16</v>
      </c>
      <c r="E7288">
        <v>0</v>
      </c>
    </row>
    <row r="7289" spans="3:5">
      <c r="C7289" t="s">
        <v>15</v>
      </c>
      <c r="D7289" t="s">
        <v>16</v>
      </c>
      <c r="E7289">
        <v>0</v>
      </c>
    </row>
    <row r="7290" spans="3:5">
      <c r="C7290" t="s">
        <v>15</v>
      </c>
      <c r="D7290" t="s">
        <v>16</v>
      </c>
      <c r="E7290">
        <v>0</v>
      </c>
    </row>
    <row r="7291" spans="3:5">
      <c r="C7291" t="s">
        <v>15</v>
      </c>
      <c r="D7291" t="s">
        <v>16</v>
      </c>
      <c r="E7291">
        <v>0</v>
      </c>
    </row>
    <row r="7292" spans="3:5">
      <c r="C7292" t="s">
        <v>15</v>
      </c>
      <c r="D7292" t="s">
        <v>16</v>
      </c>
      <c r="E7292">
        <v>0</v>
      </c>
    </row>
    <row r="7293" spans="3:5">
      <c r="C7293" t="s">
        <v>15</v>
      </c>
      <c r="D7293" t="s">
        <v>16</v>
      </c>
      <c r="E7293">
        <v>0</v>
      </c>
    </row>
    <row r="7294" spans="3:5">
      <c r="C7294" t="s">
        <v>17</v>
      </c>
      <c r="D7294" t="s">
        <v>18</v>
      </c>
      <c r="E7294">
        <v>0</v>
      </c>
    </row>
    <row r="7295" spans="3:5">
      <c r="C7295" t="s">
        <v>17</v>
      </c>
      <c r="D7295" t="s">
        <v>18</v>
      </c>
      <c r="E7295">
        <v>0</v>
      </c>
    </row>
    <row r="7296" spans="3:5">
      <c r="C7296" t="s">
        <v>17</v>
      </c>
      <c r="D7296" t="s">
        <v>18</v>
      </c>
      <c r="E7296">
        <v>0</v>
      </c>
    </row>
    <row r="7297" spans="3:5">
      <c r="C7297" t="s">
        <v>15</v>
      </c>
      <c r="D7297" t="s">
        <v>16</v>
      </c>
      <c r="E7297">
        <v>0</v>
      </c>
    </row>
    <row r="7298" spans="3:5">
      <c r="C7298" t="s">
        <v>17</v>
      </c>
      <c r="D7298" t="s">
        <v>18</v>
      </c>
      <c r="E7298">
        <v>0</v>
      </c>
    </row>
    <row r="7299" spans="3:5">
      <c r="C7299" t="s">
        <v>15</v>
      </c>
      <c r="D7299" t="s">
        <v>16</v>
      </c>
      <c r="E7299">
        <v>0</v>
      </c>
    </row>
    <row r="7300" spans="3:5">
      <c r="C7300" t="s">
        <v>15</v>
      </c>
      <c r="D7300" t="s">
        <v>16</v>
      </c>
      <c r="E7300">
        <v>0</v>
      </c>
    </row>
    <row r="7301" spans="3:5">
      <c r="C7301" t="s">
        <v>17</v>
      </c>
      <c r="D7301" t="s">
        <v>18</v>
      </c>
      <c r="E7301">
        <v>0</v>
      </c>
    </row>
    <row r="7302" spans="3:5">
      <c r="C7302" t="s">
        <v>15</v>
      </c>
      <c r="D7302" t="s">
        <v>16</v>
      </c>
      <c r="E7302">
        <v>0</v>
      </c>
    </row>
    <row r="7303" spans="3:5">
      <c r="C7303" t="s">
        <v>17</v>
      </c>
      <c r="D7303" t="s">
        <v>18</v>
      </c>
      <c r="E7303">
        <v>0</v>
      </c>
    </row>
    <row r="7304" spans="3:5">
      <c r="C7304" t="s">
        <v>17</v>
      </c>
      <c r="D7304" t="s">
        <v>18</v>
      </c>
      <c r="E7304">
        <v>0</v>
      </c>
    </row>
    <row r="7305" spans="3:5">
      <c r="C7305" t="s">
        <v>15</v>
      </c>
      <c r="D7305" t="s">
        <v>16</v>
      </c>
      <c r="E7305">
        <v>0</v>
      </c>
    </row>
    <row r="7306" spans="3:5">
      <c r="C7306" t="s">
        <v>17</v>
      </c>
      <c r="D7306" t="s">
        <v>18</v>
      </c>
      <c r="E7306">
        <v>0</v>
      </c>
    </row>
    <row r="7307" spans="3:5">
      <c r="C7307" t="s">
        <v>17</v>
      </c>
      <c r="D7307" t="s">
        <v>18</v>
      </c>
      <c r="E7307">
        <v>0</v>
      </c>
    </row>
    <row r="7308" spans="3:5">
      <c r="C7308" t="s">
        <v>15</v>
      </c>
      <c r="D7308" t="s">
        <v>16</v>
      </c>
      <c r="E7308">
        <v>0</v>
      </c>
    </row>
    <row r="7309" spans="3:5">
      <c r="C7309" t="s">
        <v>17</v>
      </c>
      <c r="D7309" t="s">
        <v>18</v>
      </c>
      <c r="E7309">
        <v>0</v>
      </c>
    </row>
    <row r="7310" spans="3:5">
      <c r="C7310" t="s">
        <v>15</v>
      </c>
      <c r="D7310" t="s">
        <v>16</v>
      </c>
      <c r="E7310">
        <v>0</v>
      </c>
    </row>
    <row r="7311" spans="3:5">
      <c r="C7311" t="s">
        <v>17</v>
      </c>
      <c r="D7311" t="s">
        <v>18</v>
      </c>
      <c r="E7311">
        <v>0</v>
      </c>
    </row>
    <row r="7312" spans="3:5">
      <c r="C7312" t="s">
        <v>15</v>
      </c>
      <c r="D7312" t="s">
        <v>16</v>
      </c>
      <c r="E7312">
        <v>0</v>
      </c>
    </row>
    <row r="7313" spans="3:5">
      <c r="C7313" t="s">
        <v>15</v>
      </c>
      <c r="D7313" t="s">
        <v>16</v>
      </c>
      <c r="E7313">
        <v>0</v>
      </c>
    </row>
    <row r="7314" spans="3:5">
      <c r="C7314" t="s">
        <v>17</v>
      </c>
      <c r="D7314" t="s">
        <v>18</v>
      </c>
      <c r="E7314">
        <v>0</v>
      </c>
    </row>
    <row r="7315" spans="3:5">
      <c r="C7315" t="s">
        <v>17</v>
      </c>
      <c r="D7315" t="s">
        <v>18</v>
      </c>
      <c r="E7315">
        <v>0</v>
      </c>
    </row>
    <row r="7316" spans="3:5">
      <c r="C7316" t="s">
        <v>15</v>
      </c>
      <c r="D7316" t="s">
        <v>16</v>
      </c>
      <c r="E7316">
        <v>0</v>
      </c>
    </row>
    <row r="7317" spans="3:5">
      <c r="C7317" t="s">
        <v>17</v>
      </c>
      <c r="D7317" t="s">
        <v>18</v>
      </c>
      <c r="E7317">
        <v>0</v>
      </c>
    </row>
    <row r="7318" spans="3:5">
      <c r="C7318" t="s">
        <v>15</v>
      </c>
      <c r="D7318" t="s">
        <v>16</v>
      </c>
      <c r="E7318">
        <v>0</v>
      </c>
    </row>
    <row r="7319" spans="3:5">
      <c r="C7319" t="s">
        <v>17</v>
      </c>
      <c r="D7319" t="s">
        <v>18</v>
      </c>
      <c r="E7319">
        <v>0</v>
      </c>
    </row>
    <row r="7320" spans="3:5">
      <c r="C7320" t="s">
        <v>15</v>
      </c>
      <c r="D7320" t="s">
        <v>16</v>
      </c>
      <c r="E7320">
        <v>0</v>
      </c>
    </row>
    <row r="7321" spans="3:5">
      <c r="C7321" t="s">
        <v>15</v>
      </c>
      <c r="D7321" t="s">
        <v>16</v>
      </c>
      <c r="E7321">
        <v>0</v>
      </c>
    </row>
    <row r="7322" spans="3:5">
      <c r="C7322" t="s">
        <v>15</v>
      </c>
      <c r="D7322" t="s">
        <v>16</v>
      </c>
      <c r="E7322">
        <v>0</v>
      </c>
    </row>
    <row r="7323" spans="3:5">
      <c r="C7323" t="s">
        <v>15</v>
      </c>
      <c r="D7323" t="s">
        <v>16</v>
      </c>
      <c r="E7323">
        <v>0</v>
      </c>
    </row>
    <row r="7324" spans="3:5">
      <c r="C7324" t="s">
        <v>17</v>
      </c>
      <c r="D7324" t="s">
        <v>18</v>
      </c>
      <c r="E7324">
        <v>0</v>
      </c>
    </row>
    <row r="7325" spans="3:5">
      <c r="C7325" t="s">
        <v>17</v>
      </c>
      <c r="D7325" t="s">
        <v>18</v>
      </c>
      <c r="E7325">
        <v>0</v>
      </c>
    </row>
    <row r="7326" spans="3:5">
      <c r="C7326" t="s">
        <v>15</v>
      </c>
      <c r="D7326" t="s">
        <v>16</v>
      </c>
      <c r="E7326">
        <v>0</v>
      </c>
    </row>
    <row r="7327" spans="3:5">
      <c r="C7327" t="s">
        <v>15</v>
      </c>
      <c r="D7327" t="s">
        <v>16</v>
      </c>
      <c r="E7327">
        <v>0</v>
      </c>
    </row>
    <row r="7328" spans="3:5">
      <c r="C7328" t="s">
        <v>17</v>
      </c>
      <c r="D7328" t="s">
        <v>18</v>
      </c>
      <c r="E7328">
        <v>0</v>
      </c>
    </row>
    <row r="7329" spans="3:5">
      <c r="C7329" t="s">
        <v>15</v>
      </c>
      <c r="D7329" t="s">
        <v>16</v>
      </c>
      <c r="E7329">
        <v>0</v>
      </c>
    </row>
    <row r="7330" spans="3:5">
      <c r="C7330" t="s">
        <v>17</v>
      </c>
      <c r="D7330" t="s">
        <v>18</v>
      </c>
      <c r="E7330">
        <v>0</v>
      </c>
    </row>
    <row r="7331" spans="3:5">
      <c r="C7331" t="s">
        <v>15</v>
      </c>
      <c r="D7331" t="s">
        <v>16</v>
      </c>
      <c r="E7331">
        <v>0</v>
      </c>
    </row>
    <row r="7332" spans="3:5">
      <c r="C7332" t="s">
        <v>15</v>
      </c>
      <c r="D7332" t="s">
        <v>16</v>
      </c>
      <c r="E7332">
        <v>0</v>
      </c>
    </row>
    <row r="7333" spans="3:5">
      <c r="C7333" t="s">
        <v>17</v>
      </c>
      <c r="D7333" t="s">
        <v>18</v>
      </c>
      <c r="E7333">
        <v>1</v>
      </c>
    </row>
    <row r="7334" spans="3:5">
      <c r="C7334" t="s">
        <v>17</v>
      </c>
      <c r="D7334" t="s">
        <v>18</v>
      </c>
      <c r="E7334">
        <v>0</v>
      </c>
    </row>
    <row r="7335" spans="3:5">
      <c r="C7335" t="s">
        <v>17</v>
      </c>
      <c r="D7335" t="s">
        <v>18</v>
      </c>
      <c r="E7335">
        <v>0</v>
      </c>
    </row>
    <row r="7336" spans="3:5">
      <c r="C7336" t="s">
        <v>17</v>
      </c>
      <c r="D7336" t="s">
        <v>18</v>
      </c>
      <c r="E7336">
        <v>0</v>
      </c>
    </row>
    <row r="7337" spans="3:5">
      <c r="C7337" t="s">
        <v>15</v>
      </c>
      <c r="D7337" t="s">
        <v>16</v>
      </c>
      <c r="E7337">
        <v>0</v>
      </c>
    </row>
    <row r="7338" spans="3:5">
      <c r="C7338" t="s">
        <v>15</v>
      </c>
      <c r="D7338" t="s">
        <v>16</v>
      </c>
      <c r="E7338">
        <v>0</v>
      </c>
    </row>
    <row r="7339" spans="3:5">
      <c r="C7339" t="s">
        <v>17</v>
      </c>
      <c r="D7339" t="s">
        <v>18</v>
      </c>
      <c r="E7339">
        <v>0</v>
      </c>
    </row>
    <row r="7340" spans="3:5">
      <c r="C7340" t="s">
        <v>15</v>
      </c>
      <c r="D7340" t="s">
        <v>16</v>
      </c>
      <c r="E7340">
        <v>0</v>
      </c>
    </row>
    <row r="7341" spans="3:5">
      <c r="C7341" t="s">
        <v>17</v>
      </c>
      <c r="D7341" t="s">
        <v>18</v>
      </c>
      <c r="E7341">
        <v>0</v>
      </c>
    </row>
    <row r="7342" spans="3:5">
      <c r="C7342" t="s">
        <v>17</v>
      </c>
      <c r="D7342" t="s">
        <v>18</v>
      </c>
      <c r="E7342">
        <v>0</v>
      </c>
    </row>
    <row r="7343" spans="3:5">
      <c r="C7343" t="s">
        <v>17</v>
      </c>
      <c r="D7343" t="s">
        <v>18</v>
      </c>
      <c r="E7343">
        <v>0</v>
      </c>
    </row>
    <row r="7344" spans="3:5">
      <c r="C7344" t="s">
        <v>17</v>
      </c>
      <c r="D7344" t="s">
        <v>18</v>
      </c>
      <c r="E7344">
        <v>0</v>
      </c>
    </row>
    <row r="7345" spans="3:5">
      <c r="C7345" t="s">
        <v>15</v>
      </c>
      <c r="D7345" t="s">
        <v>16</v>
      </c>
      <c r="E7345">
        <v>0</v>
      </c>
    </row>
    <row r="7346" spans="3:5">
      <c r="C7346" t="s">
        <v>17</v>
      </c>
      <c r="D7346" t="s">
        <v>18</v>
      </c>
      <c r="E7346">
        <v>0</v>
      </c>
    </row>
    <row r="7347" spans="3:5">
      <c r="C7347" t="s">
        <v>15</v>
      </c>
      <c r="D7347" t="s">
        <v>16</v>
      </c>
      <c r="E7347">
        <v>0</v>
      </c>
    </row>
    <row r="7348" spans="3:5">
      <c r="C7348" t="s">
        <v>17</v>
      </c>
      <c r="D7348" t="s">
        <v>18</v>
      </c>
      <c r="E7348">
        <v>0</v>
      </c>
    </row>
    <row r="7349" spans="3:5">
      <c r="C7349" t="s">
        <v>17</v>
      </c>
      <c r="D7349" t="s">
        <v>18</v>
      </c>
      <c r="E7349">
        <v>0</v>
      </c>
    </row>
    <row r="7350" spans="3:5">
      <c r="C7350" t="s">
        <v>17</v>
      </c>
      <c r="D7350" t="s">
        <v>18</v>
      </c>
      <c r="E7350">
        <v>0</v>
      </c>
    </row>
    <row r="7351" spans="3:5">
      <c r="C7351" t="s">
        <v>15</v>
      </c>
      <c r="D7351" t="s">
        <v>16</v>
      </c>
      <c r="E7351">
        <v>0</v>
      </c>
    </row>
    <row r="7352" spans="3:5">
      <c r="C7352" t="s">
        <v>15</v>
      </c>
      <c r="D7352" t="s">
        <v>16</v>
      </c>
      <c r="E7352">
        <v>0</v>
      </c>
    </row>
    <row r="7353" spans="3:5">
      <c r="C7353" t="s">
        <v>15</v>
      </c>
      <c r="D7353" t="s">
        <v>16</v>
      </c>
      <c r="E7353">
        <v>0</v>
      </c>
    </row>
    <row r="7354" spans="3:5">
      <c r="C7354" t="s">
        <v>17</v>
      </c>
      <c r="D7354" t="s">
        <v>18</v>
      </c>
      <c r="E7354">
        <v>0</v>
      </c>
    </row>
    <row r="7355" spans="3:5">
      <c r="C7355" t="s">
        <v>15</v>
      </c>
      <c r="D7355" t="s">
        <v>16</v>
      </c>
      <c r="E7355">
        <v>0</v>
      </c>
    </row>
    <row r="7356" spans="3:5">
      <c r="C7356" t="s">
        <v>17</v>
      </c>
      <c r="D7356" t="s">
        <v>18</v>
      </c>
      <c r="E7356">
        <v>0</v>
      </c>
    </row>
    <row r="7357" spans="3:5">
      <c r="C7357" t="s">
        <v>15</v>
      </c>
      <c r="D7357" t="s">
        <v>16</v>
      </c>
      <c r="E7357">
        <v>0</v>
      </c>
    </row>
    <row r="7358" spans="3:5">
      <c r="C7358" t="s">
        <v>15</v>
      </c>
      <c r="D7358" t="s">
        <v>16</v>
      </c>
      <c r="E7358">
        <v>0</v>
      </c>
    </row>
    <row r="7359" spans="3:5">
      <c r="C7359" t="s">
        <v>17</v>
      </c>
      <c r="D7359" t="s">
        <v>18</v>
      </c>
      <c r="E7359">
        <v>0</v>
      </c>
    </row>
    <row r="7360" spans="3:5">
      <c r="C7360" t="s">
        <v>17</v>
      </c>
      <c r="D7360" t="s">
        <v>18</v>
      </c>
      <c r="E7360">
        <v>0</v>
      </c>
    </row>
    <row r="7361" spans="3:5">
      <c r="C7361" t="s">
        <v>15</v>
      </c>
      <c r="D7361" t="s">
        <v>16</v>
      </c>
      <c r="E7361">
        <v>1</v>
      </c>
    </row>
    <row r="7362" spans="3:5">
      <c r="C7362" t="s">
        <v>15</v>
      </c>
      <c r="D7362" t="s">
        <v>16</v>
      </c>
      <c r="E7362">
        <v>1</v>
      </c>
    </row>
    <row r="7363" spans="3:5">
      <c r="C7363" t="s">
        <v>17</v>
      </c>
      <c r="D7363" t="s">
        <v>18</v>
      </c>
      <c r="E7363">
        <v>1</v>
      </c>
    </row>
    <row r="7364" spans="3:5">
      <c r="C7364" t="s">
        <v>15</v>
      </c>
      <c r="D7364" t="s">
        <v>16</v>
      </c>
      <c r="E7364">
        <v>0</v>
      </c>
    </row>
    <row r="7365" spans="3:5">
      <c r="C7365" t="s">
        <v>17</v>
      </c>
      <c r="D7365" t="s">
        <v>18</v>
      </c>
      <c r="E7365">
        <v>0</v>
      </c>
    </row>
    <row r="7366" spans="3:5">
      <c r="C7366" t="s">
        <v>15</v>
      </c>
      <c r="D7366" t="s">
        <v>16</v>
      </c>
      <c r="E7366">
        <v>0</v>
      </c>
    </row>
    <row r="7367" spans="3:5">
      <c r="C7367" t="s">
        <v>17</v>
      </c>
      <c r="D7367" t="s">
        <v>18</v>
      </c>
      <c r="E7367">
        <v>0</v>
      </c>
    </row>
    <row r="7368" spans="3:5">
      <c r="C7368" t="s">
        <v>15</v>
      </c>
      <c r="D7368" t="s">
        <v>16</v>
      </c>
      <c r="E7368">
        <v>0</v>
      </c>
    </row>
    <row r="7369" spans="3:5">
      <c r="C7369" t="s">
        <v>17</v>
      </c>
      <c r="D7369" t="s">
        <v>18</v>
      </c>
      <c r="E7369">
        <v>0</v>
      </c>
    </row>
    <row r="7370" spans="3:5">
      <c r="C7370" t="s">
        <v>15</v>
      </c>
      <c r="D7370" t="s">
        <v>16</v>
      </c>
      <c r="E7370">
        <v>0</v>
      </c>
    </row>
    <row r="7371" spans="3:5">
      <c r="C7371" t="s">
        <v>17</v>
      </c>
      <c r="D7371" t="s">
        <v>18</v>
      </c>
      <c r="E7371">
        <v>0</v>
      </c>
    </row>
    <row r="7372" spans="3:5">
      <c r="C7372" t="s">
        <v>15</v>
      </c>
      <c r="D7372" t="s">
        <v>16</v>
      </c>
      <c r="E7372">
        <v>0</v>
      </c>
    </row>
    <row r="7373" spans="3:5">
      <c r="C7373" t="s">
        <v>15</v>
      </c>
      <c r="D7373" t="s">
        <v>16</v>
      </c>
      <c r="E7373">
        <v>0</v>
      </c>
    </row>
    <row r="7374" spans="3:5">
      <c r="C7374" t="s">
        <v>15</v>
      </c>
      <c r="D7374" t="s">
        <v>16</v>
      </c>
      <c r="E7374">
        <v>0</v>
      </c>
    </row>
    <row r="7375" spans="3:5">
      <c r="C7375" t="s">
        <v>17</v>
      </c>
      <c r="D7375" t="s">
        <v>18</v>
      </c>
      <c r="E7375">
        <v>0</v>
      </c>
    </row>
    <row r="7376" spans="3:5">
      <c r="C7376" t="s">
        <v>17</v>
      </c>
      <c r="D7376" t="s">
        <v>18</v>
      </c>
      <c r="E7376">
        <v>0</v>
      </c>
    </row>
    <row r="7377" spans="3:5">
      <c r="C7377" t="s">
        <v>15</v>
      </c>
      <c r="D7377" t="s">
        <v>16</v>
      </c>
      <c r="E7377">
        <v>0</v>
      </c>
    </row>
    <row r="7378" spans="3:5">
      <c r="C7378" t="s">
        <v>17</v>
      </c>
      <c r="D7378" t="s">
        <v>18</v>
      </c>
      <c r="E7378">
        <v>0</v>
      </c>
    </row>
    <row r="7379" spans="3:5">
      <c r="C7379" t="s">
        <v>15</v>
      </c>
      <c r="D7379" t="s">
        <v>16</v>
      </c>
      <c r="E7379">
        <v>0</v>
      </c>
    </row>
    <row r="7380" spans="3:5">
      <c r="C7380" t="s">
        <v>15</v>
      </c>
      <c r="D7380" t="s">
        <v>16</v>
      </c>
      <c r="E7380">
        <v>0</v>
      </c>
    </row>
    <row r="7381" spans="3:5">
      <c r="C7381" t="s">
        <v>15</v>
      </c>
      <c r="D7381" t="s">
        <v>16</v>
      </c>
      <c r="E7381">
        <v>0</v>
      </c>
    </row>
    <row r="7382" spans="3:5">
      <c r="C7382" t="s">
        <v>15</v>
      </c>
      <c r="D7382" t="s">
        <v>16</v>
      </c>
      <c r="E7382">
        <v>0</v>
      </c>
    </row>
    <row r="7383" spans="3:5">
      <c r="C7383" t="s">
        <v>17</v>
      </c>
      <c r="D7383" t="s">
        <v>18</v>
      </c>
      <c r="E7383">
        <v>1</v>
      </c>
    </row>
    <row r="7384" spans="3:5">
      <c r="C7384" t="s">
        <v>17</v>
      </c>
      <c r="D7384" t="s">
        <v>18</v>
      </c>
      <c r="E7384">
        <v>0</v>
      </c>
    </row>
    <row r="7385" spans="3:5">
      <c r="C7385" t="s">
        <v>17</v>
      </c>
      <c r="D7385" t="s">
        <v>18</v>
      </c>
      <c r="E7385">
        <v>0</v>
      </c>
    </row>
    <row r="7386" spans="3:5">
      <c r="C7386" t="s">
        <v>15</v>
      </c>
      <c r="D7386" t="s">
        <v>16</v>
      </c>
      <c r="E7386">
        <v>0</v>
      </c>
    </row>
    <row r="7387" spans="3:5">
      <c r="C7387" t="s">
        <v>15</v>
      </c>
      <c r="D7387" t="s">
        <v>16</v>
      </c>
      <c r="E7387">
        <v>0</v>
      </c>
    </row>
    <row r="7388" spans="3:5">
      <c r="C7388" t="s">
        <v>15</v>
      </c>
      <c r="D7388" t="s">
        <v>16</v>
      </c>
      <c r="E7388">
        <v>0</v>
      </c>
    </row>
    <row r="7389" spans="3:5">
      <c r="C7389" t="s">
        <v>17</v>
      </c>
      <c r="D7389" t="s">
        <v>18</v>
      </c>
      <c r="E7389">
        <v>0</v>
      </c>
    </row>
    <row r="7390" spans="3:5">
      <c r="C7390" t="s">
        <v>17</v>
      </c>
      <c r="D7390" t="s">
        <v>18</v>
      </c>
      <c r="E7390">
        <v>0</v>
      </c>
    </row>
    <row r="7391" spans="3:5">
      <c r="C7391" t="s">
        <v>15</v>
      </c>
      <c r="D7391" t="s">
        <v>16</v>
      </c>
      <c r="E7391">
        <v>0</v>
      </c>
    </row>
    <row r="7392" spans="3:5">
      <c r="C7392" t="s">
        <v>17</v>
      </c>
      <c r="D7392" t="s">
        <v>18</v>
      </c>
      <c r="E7392">
        <v>0</v>
      </c>
    </row>
    <row r="7393" spans="3:5">
      <c r="C7393" t="s">
        <v>15</v>
      </c>
      <c r="D7393" t="s">
        <v>16</v>
      </c>
      <c r="E7393">
        <v>0</v>
      </c>
    </row>
    <row r="7394" spans="3:5">
      <c r="C7394" t="s">
        <v>17</v>
      </c>
      <c r="D7394" t="s">
        <v>18</v>
      </c>
      <c r="E7394">
        <v>0</v>
      </c>
    </row>
    <row r="7395" spans="3:5">
      <c r="C7395" t="s">
        <v>15</v>
      </c>
      <c r="D7395" t="s">
        <v>16</v>
      </c>
      <c r="E7395">
        <v>0</v>
      </c>
    </row>
    <row r="7396" spans="3:5">
      <c r="C7396" t="s">
        <v>17</v>
      </c>
      <c r="D7396" t="s">
        <v>18</v>
      </c>
      <c r="E7396">
        <v>0</v>
      </c>
    </row>
    <row r="7397" spans="3:5">
      <c r="C7397" t="s">
        <v>17</v>
      </c>
      <c r="D7397" t="s">
        <v>18</v>
      </c>
      <c r="E7397">
        <v>0</v>
      </c>
    </row>
    <row r="7398" spans="3:5">
      <c r="C7398" t="s">
        <v>15</v>
      </c>
      <c r="D7398" t="s">
        <v>16</v>
      </c>
      <c r="E7398">
        <v>0</v>
      </c>
    </row>
    <row r="7399" spans="3:5">
      <c r="C7399" t="s">
        <v>17</v>
      </c>
      <c r="D7399" t="s">
        <v>18</v>
      </c>
      <c r="E7399">
        <v>0</v>
      </c>
    </row>
    <row r="7400" spans="3:5">
      <c r="C7400" t="s">
        <v>17</v>
      </c>
      <c r="D7400" t="s">
        <v>18</v>
      </c>
      <c r="E7400">
        <v>0</v>
      </c>
    </row>
    <row r="7401" spans="3:5">
      <c r="C7401" t="s">
        <v>17</v>
      </c>
      <c r="D7401" t="s">
        <v>18</v>
      </c>
      <c r="E7401">
        <v>0</v>
      </c>
    </row>
    <row r="7402" spans="3:5">
      <c r="C7402" t="s">
        <v>15</v>
      </c>
      <c r="D7402" t="s">
        <v>16</v>
      </c>
      <c r="E7402">
        <v>0</v>
      </c>
    </row>
    <row r="7403" spans="3:5">
      <c r="C7403" t="s">
        <v>15</v>
      </c>
      <c r="D7403" t="s">
        <v>16</v>
      </c>
      <c r="E7403">
        <v>0</v>
      </c>
    </row>
    <row r="7404" spans="3:5">
      <c r="C7404" t="s">
        <v>15</v>
      </c>
      <c r="D7404" t="s">
        <v>16</v>
      </c>
      <c r="E7404">
        <v>0</v>
      </c>
    </row>
    <row r="7405" spans="3:5">
      <c r="C7405" t="s">
        <v>15</v>
      </c>
      <c r="D7405" t="s">
        <v>16</v>
      </c>
      <c r="E7405">
        <v>0</v>
      </c>
    </row>
    <row r="7406" spans="3:5">
      <c r="C7406" t="s">
        <v>15</v>
      </c>
      <c r="D7406" t="s">
        <v>16</v>
      </c>
      <c r="E7406">
        <v>0</v>
      </c>
    </row>
    <row r="7407" spans="3:5">
      <c r="C7407" t="s">
        <v>17</v>
      </c>
      <c r="D7407" t="s">
        <v>18</v>
      </c>
      <c r="E7407">
        <v>0</v>
      </c>
    </row>
    <row r="7408" spans="3:5">
      <c r="C7408" t="s">
        <v>17</v>
      </c>
      <c r="D7408" t="s">
        <v>18</v>
      </c>
      <c r="E7408">
        <v>0</v>
      </c>
    </row>
    <row r="7409" spans="3:5">
      <c r="C7409" t="s">
        <v>15</v>
      </c>
      <c r="D7409" t="s">
        <v>16</v>
      </c>
      <c r="E7409">
        <v>0</v>
      </c>
    </row>
    <row r="7410" spans="3:5">
      <c r="C7410" t="s">
        <v>15</v>
      </c>
      <c r="D7410" t="s">
        <v>16</v>
      </c>
      <c r="E7410">
        <v>0</v>
      </c>
    </row>
    <row r="7411" spans="3:5">
      <c r="C7411" t="s">
        <v>15</v>
      </c>
      <c r="D7411" t="s">
        <v>16</v>
      </c>
      <c r="E7411">
        <v>0</v>
      </c>
    </row>
    <row r="7412" spans="3:5">
      <c r="C7412" t="s">
        <v>17</v>
      </c>
      <c r="D7412" t="s">
        <v>18</v>
      </c>
      <c r="E7412">
        <v>0</v>
      </c>
    </row>
    <row r="7413" spans="3:5">
      <c r="C7413" t="s">
        <v>15</v>
      </c>
      <c r="D7413" t="s">
        <v>16</v>
      </c>
      <c r="E7413">
        <v>0</v>
      </c>
    </row>
    <row r="7414" spans="3:5">
      <c r="C7414" t="s">
        <v>17</v>
      </c>
      <c r="D7414" t="s">
        <v>18</v>
      </c>
      <c r="E7414">
        <v>0</v>
      </c>
    </row>
    <row r="7415" spans="3:5">
      <c r="C7415" t="s">
        <v>17</v>
      </c>
      <c r="D7415" t="s">
        <v>18</v>
      </c>
      <c r="E7415">
        <v>0</v>
      </c>
    </row>
    <row r="7416" spans="3:5">
      <c r="C7416" t="s">
        <v>15</v>
      </c>
      <c r="D7416" t="s">
        <v>16</v>
      </c>
      <c r="E7416">
        <v>0</v>
      </c>
    </row>
    <row r="7417" spans="3:5">
      <c r="C7417" t="s">
        <v>17</v>
      </c>
      <c r="D7417" t="s">
        <v>18</v>
      </c>
      <c r="E7417">
        <v>0</v>
      </c>
    </row>
    <row r="7418" spans="3:5">
      <c r="C7418" t="s">
        <v>17</v>
      </c>
      <c r="D7418" t="s">
        <v>18</v>
      </c>
      <c r="E7418">
        <v>0</v>
      </c>
    </row>
    <row r="7419" spans="3:5">
      <c r="C7419" t="s">
        <v>15</v>
      </c>
      <c r="D7419" t="s">
        <v>16</v>
      </c>
      <c r="E7419">
        <v>0</v>
      </c>
    </row>
    <row r="7420" spans="3:5">
      <c r="C7420" t="s">
        <v>15</v>
      </c>
      <c r="D7420" t="s">
        <v>16</v>
      </c>
      <c r="E7420">
        <v>0</v>
      </c>
    </row>
    <row r="7421" spans="3:5">
      <c r="C7421" t="s">
        <v>15</v>
      </c>
      <c r="D7421" t="s">
        <v>16</v>
      </c>
      <c r="E7421">
        <v>0</v>
      </c>
    </row>
    <row r="7422" spans="3:5">
      <c r="C7422" t="s">
        <v>17</v>
      </c>
      <c r="D7422" t="s">
        <v>18</v>
      </c>
      <c r="E7422">
        <v>0</v>
      </c>
    </row>
    <row r="7423" spans="3:5">
      <c r="C7423" t="s">
        <v>15</v>
      </c>
      <c r="D7423" t="s">
        <v>16</v>
      </c>
      <c r="E7423">
        <v>1</v>
      </c>
    </row>
    <row r="7424" spans="3:5">
      <c r="C7424" t="s">
        <v>15</v>
      </c>
      <c r="D7424" t="s">
        <v>16</v>
      </c>
      <c r="E7424">
        <v>0</v>
      </c>
    </row>
    <row r="7425" spans="3:5">
      <c r="C7425" t="s">
        <v>15</v>
      </c>
      <c r="D7425" t="s">
        <v>16</v>
      </c>
      <c r="E7425">
        <v>0</v>
      </c>
    </row>
    <row r="7426" spans="3:5">
      <c r="C7426" t="s">
        <v>17</v>
      </c>
      <c r="D7426" t="s">
        <v>18</v>
      </c>
      <c r="E7426">
        <v>0</v>
      </c>
    </row>
    <row r="7427" spans="3:5">
      <c r="C7427" t="s">
        <v>15</v>
      </c>
      <c r="D7427" t="s">
        <v>16</v>
      </c>
      <c r="E7427">
        <v>0</v>
      </c>
    </row>
    <row r="7428" spans="3:5">
      <c r="C7428" t="s">
        <v>15</v>
      </c>
      <c r="D7428" t="s">
        <v>16</v>
      </c>
      <c r="E7428">
        <v>0</v>
      </c>
    </row>
    <row r="7429" spans="3:5">
      <c r="C7429" t="s">
        <v>17</v>
      </c>
      <c r="D7429" t="s">
        <v>18</v>
      </c>
      <c r="E7429">
        <v>0</v>
      </c>
    </row>
    <row r="7430" spans="3:5">
      <c r="C7430" t="s">
        <v>15</v>
      </c>
      <c r="D7430" t="s">
        <v>16</v>
      </c>
      <c r="E7430">
        <v>0</v>
      </c>
    </row>
    <row r="7431" spans="3:5">
      <c r="C7431" t="s">
        <v>15</v>
      </c>
      <c r="D7431" t="s">
        <v>16</v>
      </c>
      <c r="E7431">
        <v>0</v>
      </c>
    </row>
    <row r="7432" spans="3:5">
      <c r="C7432" t="s">
        <v>15</v>
      </c>
      <c r="D7432" t="s">
        <v>16</v>
      </c>
      <c r="E7432">
        <v>0</v>
      </c>
    </row>
    <row r="7433" spans="3:5">
      <c r="C7433" t="s">
        <v>17</v>
      </c>
      <c r="D7433" t="s">
        <v>18</v>
      </c>
      <c r="E7433">
        <v>0</v>
      </c>
    </row>
    <row r="7434" spans="3:5">
      <c r="C7434" t="s">
        <v>15</v>
      </c>
      <c r="D7434" t="s">
        <v>16</v>
      </c>
      <c r="E7434">
        <v>0</v>
      </c>
    </row>
    <row r="7435" spans="3:5">
      <c r="C7435" t="s">
        <v>15</v>
      </c>
      <c r="D7435" t="s">
        <v>16</v>
      </c>
      <c r="E7435">
        <v>0</v>
      </c>
    </row>
    <row r="7436" spans="3:5">
      <c r="C7436" t="s">
        <v>15</v>
      </c>
      <c r="D7436" t="s">
        <v>16</v>
      </c>
      <c r="E7436">
        <v>0</v>
      </c>
    </row>
    <row r="7437" spans="3:5">
      <c r="C7437" t="s">
        <v>17</v>
      </c>
      <c r="D7437" t="s">
        <v>18</v>
      </c>
      <c r="E7437">
        <v>0</v>
      </c>
    </row>
    <row r="7438" spans="3:5">
      <c r="C7438" t="s">
        <v>17</v>
      </c>
      <c r="D7438" t="s">
        <v>18</v>
      </c>
      <c r="E7438">
        <v>0</v>
      </c>
    </row>
    <row r="7439" spans="3:5">
      <c r="C7439" t="s">
        <v>15</v>
      </c>
      <c r="D7439" t="s">
        <v>16</v>
      </c>
      <c r="E7439">
        <v>0</v>
      </c>
    </row>
    <row r="7440" spans="3:5">
      <c r="C7440" t="s">
        <v>17</v>
      </c>
      <c r="D7440" t="s">
        <v>18</v>
      </c>
      <c r="E7440">
        <v>0</v>
      </c>
    </row>
    <row r="7441" spans="3:5">
      <c r="C7441" t="s">
        <v>17</v>
      </c>
      <c r="D7441" t="s">
        <v>18</v>
      </c>
      <c r="E7441">
        <v>0</v>
      </c>
    </row>
    <row r="7442" spans="3:5">
      <c r="C7442" t="s">
        <v>17</v>
      </c>
      <c r="D7442" t="s">
        <v>18</v>
      </c>
      <c r="E7442">
        <v>0</v>
      </c>
    </row>
    <row r="7443" spans="3:5">
      <c r="C7443" t="s">
        <v>17</v>
      </c>
      <c r="D7443" t="s">
        <v>18</v>
      </c>
      <c r="E7443">
        <v>0</v>
      </c>
    </row>
    <row r="7444" spans="3:5">
      <c r="C7444" t="s">
        <v>17</v>
      </c>
      <c r="D7444" t="s">
        <v>18</v>
      </c>
      <c r="E7444">
        <v>0</v>
      </c>
    </row>
    <row r="7445" spans="3:5">
      <c r="C7445" t="s">
        <v>15</v>
      </c>
      <c r="D7445" t="s">
        <v>16</v>
      </c>
      <c r="E7445">
        <v>0</v>
      </c>
    </row>
    <row r="7446" spans="3:5">
      <c r="C7446" t="s">
        <v>15</v>
      </c>
      <c r="D7446" t="s">
        <v>16</v>
      </c>
      <c r="E7446">
        <v>0</v>
      </c>
    </row>
    <row r="7447" spans="3:5">
      <c r="C7447" t="s">
        <v>17</v>
      </c>
      <c r="D7447" t="s">
        <v>18</v>
      </c>
      <c r="E7447">
        <v>1</v>
      </c>
    </row>
    <row r="7448" spans="3:5">
      <c r="C7448" t="s">
        <v>17</v>
      </c>
      <c r="D7448" t="s">
        <v>18</v>
      </c>
      <c r="E7448">
        <v>0</v>
      </c>
    </row>
    <row r="7449" spans="3:5">
      <c r="C7449" t="s">
        <v>15</v>
      </c>
      <c r="D7449" t="s">
        <v>16</v>
      </c>
      <c r="E7449">
        <v>0</v>
      </c>
    </row>
    <row r="7450" spans="3:5">
      <c r="C7450" t="s">
        <v>17</v>
      </c>
      <c r="D7450" t="s">
        <v>18</v>
      </c>
      <c r="E7450">
        <v>0</v>
      </c>
    </row>
    <row r="7451" spans="3:5">
      <c r="C7451" t="s">
        <v>15</v>
      </c>
      <c r="D7451" t="s">
        <v>16</v>
      </c>
      <c r="E7451">
        <v>0</v>
      </c>
    </row>
    <row r="7452" spans="3:5">
      <c r="C7452" t="s">
        <v>15</v>
      </c>
      <c r="D7452" t="s">
        <v>16</v>
      </c>
      <c r="E7452">
        <v>0</v>
      </c>
    </row>
    <row r="7453" spans="3:5">
      <c r="C7453" t="s">
        <v>17</v>
      </c>
      <c r="D7453" t="s">
        <v>18</v>
      </c>
      <c r="E7453">
        <v>0</v>
      </c>
    </row>
    <row r="7454" spans="3:5">
      <c r="C7454" t="s">
        <v>17</v>
      </c>
      <c r="D7454" t="s">
        <v>18</v>
      </c>
      <c r="E7454">
        <v>0</v>
      </c>
    </row>
    <row r="7455" spans="3:5">
      <c r="C7455" t="s">
        <v>15</v>
      </c>
      <c r="D7455" t="s">
        <v>16</v>
      </c>
      <c r="E7455">
        <v>0</v>
      </c>
    </row>
    <row r="7456" spans="3:5">
      <c r="C7456" t="s">
        <v>17</v>
      </c>
      <c r="D7456" t="s">
        <v>18</v>
      </c>
      <c r="E7456">
        <v>0</v>
      </c>
    </row>
    <row r="7457" spans="3:5">
      <c r="C7457" t="s">
        <v>15</v>
      </c>
      <c r="D7457" t="s">
        <v>16</v>
      </c>
      <c r="E7457">
        <v>0</v>
      </c>
    </row>
    <row r="7458" spans="3:5">
      <c r="C7458" t="s">
        <v>17</v>
      </c>
      <c r="D7458" t="s">
        <v>18</v>
      </c>
      <c r="E7458">
        <v>0</v>
      </c>
    </row>
    <row r="7459" spans="3:5">
      <c r="C7459" t="s">
        <v>17</v>
      </c>
      <c r="D7459" t="s">
        <v>18</v>
      </c>
      <c r="E7459">
        <v>0</v>
      </c>
    </row>
    <row r="7460" spans="3:5">
      <c r="C7460" t="s">
        <v>17</v>
      </c>
      <c r="D7460" t="s">
        <v>18</v>
      </c>
      <c r="E7460">
        <v>0</v>
      </c>
    </row>
    <row r="7461" spans="3:5">
      <c r="C7461" t="s">
        <v>15</v>
      </c>
      <c r="D7461" t="s">
        <v>16</v>
      </c>
      <c r="E7461">
        <v>0</v>
      </c>
    </row>
    <row r="7462" spans="3:5">
      <c r="C7462" t="s">
        <v>15</v>
      </c>
      <c r="D7462" t="s">
        <v>16</v>
      </c>
      <c r="E7462">
        <v>0</v>
      </c>
    </row>
    <row r="7463" spans="3:5">
      <c r="C7463" t="s">
        <v>15</v>
      </c>
      <c r="D7463" t="s">
        <v>16</v>
      </c>
      <c r="E7463">
        <v>0</v>
      </c>
    </row>
    <row r="7464" spans="3:5">
      <c r="C7464" t="s">
        <v>15</v>
      </c>
      <c r="D7464" t="s">
        <v>16</v>
      </c>
      <c r="E7464">
        <v>0</v>
      </c>
    </row>
    <row r="7465" spans="3:5">
      <c r="C7465" t="s">
        <v>15</v>
      </c>
      <c r="D7465" t="s">
        <v>16</v>
      </c>
      <c r="E7465">
        <v>0</v>
      </c>
    </row>
    <row r="7466" spans="3:5">
      <c r="C7466" t="s">
        <v>17</v>
      </c>
      <c r="D7466" t="s">
        <v>18</v>
      </c>
      <c r="E7466">
        <v>0</v>
      </c>
    </row>
    <row r="7467" spans="3:5">
      <c r="C7467" t="s">
        <v>17</v>
      </c>
      <c r="D7467" t="s">
        <v>18</v>
      </c>
      <c r="E7467">
        <v>0</v>
      </c>
    </row>
    <row r="7468" spans="3:5">
      <c r="C7468" t="s">
        <v>17</v>
      </c>
      <c r="D7468" t="s">
        <v>18</v>
      </c>
      <c r="E7468">
        <v>0</v>
      </c>
    </row>
    <row r="7469" spans="3:5">
      <c r="C7469" t="s">
        <v>15</v>
      </c>
      <c r="D7469" t="s">
        <v>16</v>
      </c>
      <c r="E7469">
        <v>0</v>
      </c>
    </row>
    <row r="7470" spans="3:5">
      <c r="C7470" t="s">
        <v>17</v>
      </c>
      <c r="D7470" t="s">
        <v>18</v>
      </c>
      <c r="E7470">
        <v>0</v>
      </c>
    </row>
    <row r="7471" spans="3:5">
      <c r="C7471" t="s">
        <v>15</v>
      </c>
      <c r="D7471" t="s">
        <v>16</v>
      </c>
      <c r="E7471">
        <v>0</v>
      </c>
    </row>
    <row r="7472" spans="3:5">
      <c r="C7472" t="s">
        <v>15</v>
      </c>
      <c r="D7472" t="s">
        <v>16</v>
      </c>
      <c r="E7472">
        <v>0</v>
      </c>
    </row>
    <row r="7473" spans="3:5">
      <c r="C7473" t="s">
        <v>17</v>
      </c>
      <c r="D7473" t="s">
        <v>18</v>
      </c>
      <c r="E7473">
        <v>0</v>
      </c>
    </row>
    <row r="7474" spans="3:5">
      <c r="C7474" t="s">
        <v>17</v>
      </c>
      <c r="D7474" t="s">
        <v>18</v>
      </c>
      <c r="E7474">
        <v>0</v>
      </c>
    </row>
    <row r="7475" spans="3:5">
      <c r="C7475" t="s">
        <v>17</v>
      </c>
      <c r="D7475" t="s">
        <v>18</v>
      </c>
      <c r="E7475">
        <v>0</v>
      </c>
    </row>
    <row r="7476" spans="3:5">
      <c r="C7476" t="s">
        <v>17</v>
      </c>
      <c r="D7476" t="s">
        <v>18</v>
      </c>
      <c r="E7476">
        <v>0</v>
      </c>
    </row>
    <row r="7477" spans="3:5">
      <c r="C7477" t="s">
        <v>17</v>
      </c>
      <c r="D7477" t="s">
        <v>18</v>
      </c>
      <c r="E7477">
        <v>0</v>
      </c>
    </row>
    <row r="7478" spans="3:5">
      <c r="C7478" t="s">
        <v>15</v>
      </c>
      <c r="D7478" t="s">
        <v>16</v>
      </c>
      <c r="E7478">
        <v>0</v>
      </c>
    </row>
    <row r="7479" spans="3:5">
      <c r="C7479" t="s">
        <v>15</v>
      </c>
      <c r="D7479" t="s">
        <v>16</v>
      </c>
      <c r="E7479">
        <v>0</v>
      </c>
    </row>
    <row r="7480" spans="3:5">
      <c r="C7480" t="s">
        <v>17</v>
      </c>
      <c r="D7480" t="s">
        <v>18</v>
      </c>
      <c r="E7480">
        <v>0</v>
      </c>
    </row>
    <row r="7481" spans="3:5">
      <c r="C7481" t="s">
        <v>17</v>
      </c>
      <c r="D7481" t="s">
        <v>18</v>
      </c>
      <c r="E7481">
        <v>1</v>
      </c>
    </row>
    <row r="7482" spans="3:5">
      <c r="C7482" t="s">
        <v>17</v>
      </c>
      <c r="D7482" t="s">
        <v>18</v>
      </c>
      <c r="E7482">
        <v>0</v>
      </c>
    </row>
    <row r="7483" spans="3:5">
      <c r="C7483" t="s">
        <v>15</v>
      </c>
      <c r="D7483" t="s">
        <v>16</v>
      </c>
      <c r="E7483">
        <v>0</v>
      </c>
    </row>
    <row r="7484" spans="3:5">
      <c r="C7484" t="s">
        <v>17</v>
      </c>
      <c r="D7484" t="s">
        <v>18</v>
      </c>
      <c r="E7484">
        <v>0</v>
      </c>
    </row>
    <row r="7485" spans="3:5">
      <c r="C7485" t="s">
        <v>15</v>
      </c>
      <c r="D7485" t="s">
        <v>16</v>
      </c>
      <c r="E7485">
        <v>0</v>
      </c>
    </row>
    <row r="7486" spans="3:5">
      <c r="C7486" t="s">
        <v>17</v>
      </c>
      <c r="D7486" t="s">
        <v>18</v>
      </c>
      <c r="E7486">
        <v>0</v>
      </c>
    </row>
    <row r="7487" spans="3:5">
      <c r="C7487" t="s">
        <v>17</v>
      </c>
      <c r="D7487" t="s">
        <v>18</v>
      </c>
      <c r="E7487">
        <v>0</v>
      </c>
    </row>
    <row r="7488" spans="3:5">
      <c r="C7488" t="s">
        <v>17</v>
      </c>
      <c r="D7488" t="s">
        <v>18</v>
      </c>
      <c r="E7488">
        <v>0</v>
      </c>
    </row>
    <row r="7489" spans="3:5">
      <c r="C7489" t="s">
        <v>15</v>
      </c>
      <c r="D7489" t="s">
        <v>16</v>
      </c>
      <c r="E7489">
        <v>0</v>
      </c>
    </row>
    <row r="7490" spans="3:5">
      <c r="C7490" t="s">
        <v>17</v>
      </c>
      <c r="D7490" t="s">
        <v>18</v>
      </c>
      <c r="E7490">
        <v>0</v>
      </c>
    </row>
    <row r="7491" spans="3:5">
      <c r="C7491" t="s">
        <v>17</v>
      </c>
      <c r="D7491" t="s">
        <v>18</v>
      </c>
      <c r="E7491">
        <v>0</v>
      </c>
    </row>
    <row r="7492" spans="3:5">
      <c r="C7492" t="s">
        <v>15</v>
      </c>
      <c r="D7492" t="s">
        <v>16</v>
      </c>
      <c r="E7492">
        <v>1</v>
      </c>
    </row>
    <row r="7493" spans="3:5">
      <c r="C7493" t="s">
        <v>15</v>
      </c>
      <c r="D7493" t="s">
        <v>16</v>
      </c>
      <c r="E7493">
        <v>1</v>
      </c>
    </row>
    <row r="7494" spans="3:5">
      <c r="C7494" t="s">
        <v>17</v>
      </c>
      <c r="D7494" t="s">
        <v>18</v>
      </c>
      <c r="E7494">
        <v>0</v>
      </c>
    </row>
    <row r="7495" spans="3:5">
      <c r="C7495" t="s">
        <v>15</v>
      </c>
      <c r="D7495" t="s">
        <v>16</v>
      </c>
      <c r="E7495">
        <v>0</v>
      </c>
    </row>
    <row r="7496" spans="3:5">
      <c r="C7496" t="s">
        <v>15</v>
      </c>
      <c r="D7496" t="s">
        <v>16</v>
      </c>
      <c r="E7496">
        <v>0</v>
      </c>
    </row>
    <row r="7497" spans="3:5">
      <c r="C7497" t="s">
        <v>17</v>
      </c>
      <c r="D7497" t="s">
        <v>18</v>
      </c>
      <c r="E7497">
        <v>0</v>
      </c>
    </row>
    <row r="7498" spans="3:5">
      <c r="C7498" t="s">
        <v>17</v>
      </c>
      <c r="D7498" t="s">
        <v>18</v>
      </c>
      <c r="E7498">
        <v>0</v>
      </c>
    </row>
    <row r="7499" spans="3:5">
      <c r="C7499" t="s">
        <v>15</v>
      </c>
      <c r="D7499" t="s">
        <v>16</v>
      </c>
      <c r="E7499">
        <v>0</v>
      </c>
    </row>
    <row r="7500" spans="3:5">
      <c r="C7500" t="s">
        <v>17</v>
      </c>
      <c r="D7500" t="s">
        <v>18</v>
      </c>
      <c r="E7500">
        <v>0</v>
      </c>
    </row>
    <row r="7501" spans="3:5">
      <c r="C7501" t="s">
        <v>17</v>
      </c>
      <c r="D7501" t="s">
        <v>18</v>
      </c>
      <c r="E7501">
        <v>0</v>
      </c>
    </row>
    <row r="7502" spans="3:5">
      <c r="C7502" t="s">
        <v>15</v>
      </c>
      <c r="D7502" t="s">
        <v>16</v>
      </c>
      <c r="E7502">
        <v>0</v>
      </c>
    </row>
    <row r="7503" spans="3:5">
      <c r="C7503" t="s">
        <v>15</v>
      </c>
      <c r="D7503" t="s">
        <v>16</v>
      </c>
      <c r="E7503">
        <v>0</v>
      </c>
    </row>
    <row r="7504" spans="3:5">
      <c r="C7504" t="s">
        <v>17</v>
      </c>
      <c r="D7504" t="s">
        <v>18</v>
      </c>
      <c r="E7504">
        <v>0</v>
      </c>
    </row>
    <row r="7505" spans="3:5">
      <c r="C7505" t="s">
        <v>15</v>
      </c>
      <c r="D7505" t="s">
        <v>16</v>
      </c>
      <c r="E7505">
        <v>0</v>
      </c>
    </row>
    <row r="7506" spans="3:5">
      <c r="C7506" t="s">
        <v>15</v>
      </c>
      <c r="D7506" t="s">
        <v>16</v>
      </c>
      <c r="E7506">
        <v>0</v>
      </c>
    </row>
    <row r="7507" spans="3:5">
      <c r="C7507" t="s">
        <v>17</v>
      </c>
      <c r="D7507" t="s">
        <v>18</v>
      </c>
      <c r="E7507">
        <v>0</v>
      </c>
    </row>
    <row r="7508" spans="3:5">
      <c r="C7508" t="s">
        <v>15</v>
      </c>
      <c r="D7508" t="s">
        <v>16</v>
      </c>
      <c r="E7508">
        <v>0</v>
      </c>
    </row>
    <row r="7509" spans="3:5">
      <c r="C7509" t="s">
        <v>17</v>
      </c>
      <c r="D7509" t="s">
        <v>18</v>
      </c>
      <c r="E7509">
        <v>0</v>
      </c>
    </row>
    <row r="7510" spans="3:5">
      <c r="C7510" t="s">
        <v>17</v>
      </c>
      <c r="D7510" t="s">
        <v>18</v>
      </c>
      <c r="E7510">
        <v>0</v>
      </c>
    </row>
    <row r="7511" spans="3:5">
      <c r="C7511" t="s">
        <v>15</v>
      </c>
      <c r="D7511" t="s">
        <v>16</v>
      </c>
      <c r="E7511">
        <v>0</v>
      </c>
    </row>
    <row r="7512" spans="3:5">
      <c r="C7512" t="s">
        <v>15</v>
      </c>
      <c r="D7512" t="s">
        <v>16</v>
      </c>
      <c r="E7512">
        <v>0</v>
      </c>
    </row>
    <row r="7513" spans="3:5">
      <c r="C7513" t="s">
        <v>17</v>
      </c>
      <c r="D7513" t="s">
        <v>18</v>
      </c>
      <c r="E7513">
        <v>0</v>
      </c>
    </row>
    <row r="7514" spans="3:5">
      <c r="C7514" t="s">
        <v>17</v>
      </c>
      <c r="D7514" t="s">
        <v>18</v>
      </c>
      <c r="E7514">
        <v>0</v>
      </c>
    </row>
    <row r="7515" spans="3:5">
      <c r="C7515" t="s">
        <v>15</v>
      </c>
      <c r="D7515" t="s">
        <v>16</v>
      </c>
      <c r="E7515">
        <v>0</v>
      </c>
    </row>
    <row r="7516" spans="3:5">
      <c r="C7516" t="s">
        <v>15</v>
      </c>
      <c r="D7516" t="s">
        <v>16</v>
      </c>
      <c r="E7516">
        <v>0</v>
      </c>
    </row>
    <row r="7517" spans="3:5">
      <c r="C7517" t="s">
        <v>17</v>
      </c>
      <c r="D7517" t="s">
        <v>18</v>
      </c>
      <c r="E7517">
        <v>0</v>
      </c>
    </row>
    <row r="7518" spans="3:5">
      <c r="C7518" t="s">
        <v>17</v>
      </c>
      <c r="D7518" t="s">
        <v>18</v>
      </c>
      <c r="E7518">
        <v>0</v>
      </c>
    </row>
    <row r="7519" spans="3:5">
      <c r="C7519" t="s">
        <v>15</v>
      </c>
      <c r="D7519" t="s">
        <v>16</v>
      </c>
      <c r="E7519">
        <v>0</v>
      </c>
    </row>
    <row r="7520" spans="3:5">
      <c r="C7520" t="s">
        <v>15</v>
      </c>
      <c r="D7520" t="s">
        <v>16</v>
      </c>
      <c r="E7520">
        <v>0</v>
      </c>
    </row>
    <row r="7521" spans="3:5">
      <c r="C7521" t="s">
        <v>15</v>
      </c>
      <c r="D7521" t="s">
        <v>16</v>
      </c>
      <c r="E7521">
        <v>0</v>
      </c>
    </row>
    <row r="7522" spans="3:5">
      <c r="C7522" t="s">
        <v>17</v>
      </c>
      <c r="D7522" t="s">
        <v>18</v>
      </c>
      <c r="E7522">
        <v>0</v>
      </c>
    </row>
    <row r="7523" spans="3:5">
      <c r="C7523" t="s">
        <v>17</v>
      </c>
      <c r="D7523" t="s">
        <v>18</v>
      </c>
      <c r="E7523">
        <v>0</v>
      </c>
    </row>
    <row r="7524" spans="3:5">
      <c r="C7524" t="s">
        <v>17</v>
      </c>
      <c r="D7524" t="s">
        <v>18</v>
      </c>
      <c r="E7524">
        <v>0</v>
      </c>
    </row>
    <row r="7525" spans="3:5">
      <c r="C7525" t="s">
        <v>15</v>
      </c>
      <c r="D7525" t="s">
        <v>16</v>
      </c>
      <c r="E7525">
        <v>0</v>
      </c>
    </row>
    <row r="7526" spans="3:5">
      <c r="C7526" t="s">
        <v>15</v>
      </c>
      <c r="D7526" t="s">
        <v>16</v>
      </c>
      <c r="E7526">
        <v>0</v>
      </c>
    </row>
    <row r="7527" spans="3:5">
      <c r="C7527" t="s">
        <v>17</v>
      </c>
      <c r="D7527" t="s">
        <v>18</v>
      </c>
      <c r="E7527">
        <v>0</v>
      </c>
    </row>
    <row r="7528" spans="3:5">
      <c r="C7528" t="s">
        <v>15</v>
      </c>
      <c r="D7528" t="s">
        <v>16</v>
      </c>
      <c r="E7528">
        <v>0</v>
      </c>
    </row>
    <row r="7529" spans="3:5">
      <c r="C7529" t="s">
        <v>15</v>
      </c>
      <c r="D7529" t="s">
        <v>16</v>
      </c>
      <c r="E7529">
        <v>0</v>
      </c>
    </row>
    <row r="7530" spans="3:5">
      <c r="C7530" t="s">
        <v>17</v>
      </c>
      <c r="D7530" t="s">
        <v>18</v>
      </c>
      <c r="E7530">
        <v>0</v>
      </c>
    </row>
    <row r="7531" spans="3:5">
      <c r="C7531" t="s">
        <v>15</v>
      </c>
      <c r="D7531" t="s">
        <v>16</v>
      </c>
      <c r="E7531">
        <v>0</v>
      </c>
    </row>
    <row r="7532" spans="3:5">
      <c r="C7532" t="s">
        <v>15</v>
      </c>
      <c r="D7532" t="s">
        <v>16</v>
      </c>
      <c r="E7532">
        <v>0</v>
      </c>
    </row>
    <row r="7533" spans="3:5">
      <c r="C7533" t="s">
        <v>15</v>
      </c>
      <c r="D7533" t="s">
        <v>16</v>
      </c>
      <c r="E7533">
        <v>0</v>
      </c>
    </row>
    <row r="7534" spans="3:5">
      <c r="C7534" t="s">
        <v>17</v>
      </c>
      <c r="D7534" t="s">
        <v>18</v>
      </c>
      <c r="E7534">
        <v>0</v>
      </c>
    </row>
    <row r="7535" spans="3:5">
      <c r="C7535" t="s">
        <v>15</v>
      </c>
      <c r="D7535" t="s">
        <v>16</v>
      </c>
      <c r="E7535">
        <v>0</v>
      </c>
    </row>
    <row r="7536" spans="3:5">
      <c r="C7536" t="s">
        <v>15</v>
      </c>
      <c r="D7536" t="s">
        <v>16</v>
      </c>
      <c r="E7536">
        <v>0</v>
      </c>
    </row>
    <row r="7537" spans="3:5">
      <c r="C7537" t="s">
        <v>17</v>
      </c>
      <c r="D7537" t="s">
        <v>18</v>
      </c>
      <c r="E7537">
        <v>0</v>
      </c>
    </row>
    <row r="7538" spans="3:5">
      <c r="C7538" t="s">
        <v>15</v>
      </c>
      <c r="D7538" t="s">
        <v>16</v>
      </c>
      <c r="E7538">
        <v>1</v>
      </c>
    </row>
    <row r="7539" spans="3:5">
      <c r="C7539" t="s">
        <v>15</v>
      </c>
      <c r="D7539" t="s">
        <v>16</v>
      </c>
      <c r="E7539">
        <v>0</v>
      </c>
    </row>
    <row r="7540" spans="3:5">
      <c r="C7540" t="s">
        <v>15</v>
      </c>
      <c r="D7540" t="s">
        <v>16</v>
      </c>
      <c r="E7540">
        <v>0</v>
      </c>
    </row>
    <row r="7541" spans="3:5">
      <c r="C7541" t="s">
        <v>15</v>
      </c>
      <c r="D7541" t="s">
        <v>16</v>
      </c>
      <c r="E7541">
        <v>0</v>
      </c>
    </row>
    <row r="7542" spans="3:5">
      <c r="C7542" t="s">
        <v>15</v>
      </c>
      <c r="D7542" t="s">
        <v>16</v>
      </c>
      <c r="E7542">
        <v>0</v>
      </c>
    </row>
    <row r="7543" spans="3:5">
      <c r="C7543" t="s">
        <v>17</v>
      </c>
      <c r="D7543" t="s">
        <v>18</v>
      </c>
      <c r="E7543">
        <v>0</v>
      </c>
    </row>
    <row r="7544" spans="3:5">
      <c r="C7544" t="s">
        <v>15</v>
      </c>
      <c r="D7544" t="s">
        <v>16</v>
      </c>
      <c r="E7544">
        <v>0</v>
      </c>
    </row>
    <row r="7545" spans="3:5">
      <c r="C7545" t="s">
        <v>15</v>
      </c>
      <c r="D7545" t="s">
        <v>16</v>
      </c>
      <c r="E7545">
        <v>0</v>
      </c>
    </row>
    <row r="7546" spans="3:5">
      <c r="C7546" t="s">
        <v>15</v>
      </c>
      <c r="D7546" t="s">
        <v>16</v>
      </c>
      <c r="E7546">
        <v>0</v>
      </c>
    </row>
    <row r="7547" spans="3:5">
      <c r="C7547" t="s">
        <v>15</v>
      </c>
      <c r="D7547" t="s">
        <v>16</v>
      </c>
      <c r="E7547">
        <v>0</v>
      </c>
    </row>
    <row r="7548" spans="3:5">
      <c r="C7548" t="s">
        <v>17</v>
      </c>
      <c r="D7548" t="s">
        <v>18</v>
      </c>
      <c r="E7548">
        <v>0</v>
      </c>
    </row>
    <row r="7549" spans="3:5">
      <c r="C7549" t="s">
        <v>17</v>
      </c>
      <c r="D7549" t="s">
        <v>18</v>
      </c>
      <c r="E7549">
        <v>0</v>
      </c>
    </row>
    <row r="7550" spans="3:5">
      <c r="C7550" t="s">
        <v>15</v>
      </c>
      <c r="D7550" t="s">
        <v>16</v>
      </c>
      <c r="E7550">
        <v>0</v>
      </c>
    </row>
    <row r="7551" spans="3:5">
      <c r="C7551" t="s">
        <v>17</v>
      </c>
      <c r="D7551" t="s">
        <v>18</v>
      </c>
      <c r="E7551">
        <v>0</v>
      </c>
    </row>
    <row r="7552" spans="3:5">
      <c r="C7552" t="s">
        <v>17</v>
      </c>
      <c r="D7552" t="s">
        <v>18</v>
      </c>
      <c r="E7552">
        <v>0</v>
      </c>
    </row>
    <row r="7553" spans="3:5">
      <c r="C7553" t="s">
        <v>15</v>
      </c>
      <c r="D7553" t="s">
        <v>16</v>
      </c>
      <c r="E7553">
        <v>0</v>
      </c>
    </row>
    <row r="7554" spans="3:5">
      <c r="C7554" t="s">
        <v>15</v>
      </c>
      <c r="D7554" t="s">
        <v>16</v>
      </c>
      <c r="E7554">
        <v>0</v>
      </c>
    </row>
    <row r="7555" spans="3:5">
      <c r="C7555" t="s">
        <v>15</v>
      </c>
      <c r="D7555" t="s">
        <v>16</v>
      </c>
      <c r="E7555">
        <v>0</v>
      </c>
    </row>
    <row r="7556" spans="3:5">
      <c r="C7556" t="s">
        <v>15</v>
      </c>
      <c r="D7556" t="s">
        <v>16</v>
      </c>
      <c r="E7556">
        <v>0</v>
      </c>
    </row>
    <row r="7557" spans="3:5">
      <c r="C7557" t="s">
        <v>15</v>
      </c>
      <c r="D7557" t="s">
        <v>16</v>
      </c>
      <c r="E7557">
        <v>0</v>
      </c>
    </row>
    <row r="7558" spans="3:5">
      <c r="C7558" t="s">
        <v>15</v>
      </c>
      <c r="D7558" t="s">
        <v>16</v>
      </c>
      <c r="E7558">
        <v>0</v>
      </c>
    </row>
    <row r="7559" spans="3:5">
      <c r="C7559" t="s">
        <v>15</v>
      </c>
      <c r="D7559" t="s">
        <v>16</v>
      </c>
      <c r="E7559">
        <v>0</v>
      </c>
    </row>
    <row r="7560" spans="3:5">
      <c r="C7560" t="s">
        <v>17</v>
      </c>
      <c r="D7560" t="s">
        <v>18</v>
      </c>
      <c r="E7560">
        <v>0</v>
      </c>
    </row>
    <row r="7561" spans="3:5">
      <c r="C7561" t="s">
        <v>15</v>
      </c>
      <c r="D7561" t="s">
        <v>16</v>
      </c>
      <c r="E7561">
        <v>0</v>
      </c>
    </row>
    <row r="7562" spans="3:5">
      <c r="C7562" t="s">
        <v>17</v>
      </c>
      <c r="D7562" t="s">
        <v>18</v>
      </c>
      <c r="E7562">
        <v>0</v>
      </c>
    </row>
    <row r="7563" spans="3:5">
      <c r="C7563" t="s">
        <v>15</v>
      </c>
      <c r="D7563" t="s">
        <v>16</v>
      </c>
      <c r="E7563">
        <v>0</v>
      </c>
    </row>
    <row r="7564" spans="3:5">
      <c r="C7564" t="s">
        <v>15</v>
      </c>
      <c r="D7564" t="s">
        <v>16</v>
      </c>
      <c r="E7564">
        <v>0</v>
      </c>
    </row>
    <row r="7565" spans="3:5">
      <c r="C7565" t="s">
        <v>15</v>
      </c>
      <c r="D7565" t="s">
        <v>16</v>
      </c>
      <c r="E7565">
        <v>0</v>
      </c>
    </row>
    <row r="7566" spans="3:5">
      <c r="C7566" t="s">
        <v>17</v>
      </c>
      <c r="D7566" t="s">
        <v>18</v>
      </c>
      <c r="E7566">
        <v>0</v>
      </c>
    </row>
    <row r="7567" spans="3:5">
      <c r="C7567" t="s">
        <v>17</v>
      </c>
      <c r="D7567" t="s">
        <v>18</v>
      </c>
      <c r="E7567">
        <v>0</v>
      </c>
    </row>
    <row r="7568" spans="3:5">
      <c r="C7568" t="s">
        <v>17</v>
      </c>
      <c r="D7568" t="s">
        <v>18</v>
      </c>
      <c r="E7568">
        <v>0</v>
      </c>
    </row>
    <row r="7569" spans="3:5">
      <c r="C7569" t="s">
        <v>15</v>
      </c>
      <c r="D7569" t="s">
        <v>16</v>
      </c>
      <c r="E7569">
        <v>0</v>
      </c>
    </row>
    <row r="7570" spans="3:5">
      <c r="C7570" t="s">
        <v>17</v>
      </c>
      <c r="D7570" t="s">
        <v>18</v>
      </c>
      <c r="E7570">
        <v>0</v>
      </c>
    </row>
    <row r="7571" spans="3:5">
      <c r="C7571" t="s">
        <v>15</v>
      </c>
      <c r="D7571" t="s">
        <v>16</v>
      </c>
      <c r="E7571">
        <v>0</v>
      </c>
    </row>
    <row r="7572" spans="3:5">
      <c r="C7572" t="s">
        <v>15</v>
      </c>
      <c r="D7572" t="s">
        <v>16</v>
      </c>
      <c r="E7572">
        <v>0</v>
      </c>
    </row>
    <row r="7573" spans="3:5">
      <c r="C7573" t="s">
        <v>17</v>
      </c>
      <c r="D7573" t="s">
        <v>18</v>
      </c>
      <c r="E7573">
        <v>0</v>
      </c>
    </row>
    <row r="7574" spans="3:5">
      <c r="C7574" t="s">
        <v>15</v>
      </c>
      <c r="D7574" t="s">
        <v>16</v>
      </c>
      <c r="E7574">
        <v>0</v>
      </c>
    </row>
    <row r="7575" spans="3:5">
      <c r="C7575" t="s">
        <v>15</v>
      </c>
      <c r="D7575" t="s">
        <v>16</v>
      </c>
      <c r="E7575">
        <v>0</v>
      </c>
    </row>
    <row r="7576" spans="3:5">
      <c r="C7576" t="s">
        <v>17</v>
      </c>
      <c r="D7576" t="s">
        <v>18</v>
      </c>
      <c r="E7576">
        <v>0</v>
      </c>
    </row>
    <row r="7577" spans="3:5">
      <c r="C7577" t="s">
        <v>17</v>
      </c>
      <c r="D7577" t="s">
        <v>18</v>
      </c>
      <c r="E7577">
        <v>0</v>
      </c>
    </row>
    <row r="7578" spans="3:5">
      <c r="C7578" t="s">
        <v>15</v>
      </c>
      <c r="D7578" t="s">
        <v>16</v>
      </c>
      <c r="E7578">
        <v>0</v>
      </c>
    </row>
    <row r="7579" spans="3:5">
      <c r="C7579" t="s">
        <v>17</v>
      </c>
      <c r="D7579" t="s">
        <v>18</v>
      </c>
      <c r="E7579">
        <v>0</v>
      </c>
    </row>
    <row r="7580" spans="3:5">
      <c r="C7580" t="s">
        <v>17</v>
      </c>
      <c r="D7580" t="s">
        <v>18</v>
      </c>
      <c r="E7580">
        <v>0</v>
      </c>
    </row>
    <row r="7581" spans="3:5">
      <c r="C7581" t="s">
        <v>17</v>
      </c>
      <c r="D7581" t="s">
        <v>18</v>
      </c>
      <c r="E7581">
        <v>0</v>
      </c>
    </row>
    <row r="7582" spans="3:5">
      <c r="C7582" t="s">
        <v>15</v>
      </c>
      <c r="D7582" t="s">
        <v>16</v>
      </c>
      <c r="E7582">
        <v>0</v>
      </c>
    </row>
    <row r="7583" spans="3:5">
      <c r="C7583" t="s">
        <v>17</v>
      </c>
      <c r="D7583" t="s">
        <v>18</v>
      </c>
      <c r="E7583">
        <v>0</v>
      </c>
    </row>
    <row r="7584" spans="3:5">
      <c r="C7584" t="s">
        <v>15</v>
      </c>
      <c r="D7584" t="s">
        <v>16</v>
      </c>
      <c r="E7584">
        <v>0</v>
      </c>
    </row>
    <row r="7585" spans="3:5">
      <c r="C7585" t="s">
        <v>15</v>
      </c>
      <c r="D7585" t="s">
        <v>16</v>
      </c>
      <c r="E7585">
        <v>0</v>
      </c>
    </row>
    <row r="7586" spans="3:5">
      <c r="C7586" t="s">
        <v>17</v>
      </c>
      <c r="D7586" t="s">
        <v>18</v>
      </c>
      <c r="E7586">
        <v>0</v>
      </c>
    </row>
    <row r="7587" spans="3:5">
      <c r="C7587" t="s">
        <v>17</v>
      </c>
      <c r="D7587" t="s">
        <v>18</v>
      </c>
      <c r="E7587">
        <v>0</v>
      </c>
    </row>
    <row r="7588" spans="3:5">
      <c r="C7588" t="s">
        <v>15</v>
      </c>
      <c r="D7588" t="s">
        <v>16</v>
      </c>
      <c r="E7588">
        <v>0</v>
      </c>
    </row>
    <row r="7589" spans="3:5">
      <c r="C7589" t="s">
        <v>17</v>
      </c>
      <c r="D7589" t="s">
        <v>18</v>
      </c>
      <c r="E7589">
        <v>0</v>
      </c>
    </row>
    <row r="7590" spans="3:5">
      <c r="C7590" t="s">
        <v>17</v>
      </c>
      <c r="D7590" t="s">
        <v>18</v>
      </c>
      <c r="E7590">
        <v>0</v>
      </c>
    </row>
    <row r="7591" spans="3:5">
      <c r="C7591" t="s">
        <v>15</v>
      </c>
      <c r="D7591" t="s">
        <v>16</v>
      </c>
      <c r="E7591">
        <v>0</v>
      </c>
    </row>
    <row r="7592" spans="3:5">
      <c r="C7592" t="s">
        <v>15</v>
      </c>
      <c r="D7592" t="s">
        <v>16</v>
      </c>
      <c r="E7592">
        <v>0</v>
      </c>
    </row>
    <row r="7593" spans="3:5">
      <c r="C7593" t="s">
        <v>17</v>
      </c>
      <c r="D7593" t="s">
        <v>18</v>
      </c>
      <c r="E7593">
        <v>0</v>
      </c>
    </row>
    <row r="7594" spans="3:5">
      <c r="C7594" t="s">
        <v>15</v>
      </c>
      <c r="D7594" t="s">
        <v>16</v>
      </c>
      <c r="E7594">
        <v>0</v>
      </c>
    </row>
    <row r="7595" spans="3:5">
      <c r="C7595" t="s">
        <v>17</v>
      </c>
      <c r="D7595" t="s">
        <v>18</v>
      </c>
      <c r="E7595">
        <v>0</v>
      </c>
    </row>
    <row r="7596" spans="3:5">
      <c r="C7596" t="s">
        <v>17</v>
      </c>
      <c r="D7596" t="s">
        <v>18</v>
      </c>
      <c r="E7596">
        <v>0</v>
      </c>
    </row>
    <row r="7597" spans="3:5">
      <c r="C7597" t="s">
        <v>15</v>
      </c>
      <c r="D7597" t="s">
        <v>16</v>
      </c>
      <c r="E7597">
        <v>0</v>
      </c>
    </row>
    <row r="7598" spans="3:5">
      <c r="C7598" t="s">
        <v>15</v>
      </c>
      <c r="D7598" t="s">
        <v>16</v>
      </c>
      <c r="E7598">
        <v>0</v>
      </c>
    </row>
    <row r="7599" spans="3:5">
      <c r="C7599" t="s">
        <v>15</v>
      </c>
      <c r="D7599" t="s">
        <v>16</v>
      </c>
      <c r="E7599">
        <v>0</v>
      </c>
    </row>
    <row r="7600" spans="3:5">
      <c r="C7600" t="s">
        <v>15</v>
      </c>
      <c r="D7600" t="s">
        <v>16</v>
      </c>
      <c r="E7600">
        <v>0</v>
      </c>
    </row>
    <row r="7601" spans="3:5">
      <c r="C7601" t="s">
        <v>15</v>
      </c>
      <c r="D7601" t="s">
        <v>16</v>
      </c>
      <c r="E7601">
        <v>0</v>
      </c>
    </row>
    <row r="7602" spans="3:5">
      <c r="C7602" t="s">
        <v>17</v>
      </c>
      <c r="D7602" t="s">
        <v>18</v>
      </c>
      <c r="E7602">
        <v>0</v>
      </c>
    </row>
    <row r="7603" spans="3:5">
      <c r="C7603" t="s">
        <v>15</v>
      </c>
      <c r="D7603" t="s">
        <v>16</v>
      </c>
      <c r="E7603">
        <v>0</v>
      </c>
    </row>
    <row r="7604" spans="3:5">
      <c r="C7604" t="s">
        <v>17</v>
      </c>
      <c r="D7604" t="s">
        <v>18</v>
      </c>
      <c r="E7604">
        <v>0</v>
      </c>
    </row>
    <row r="7605" spans="3:5">
      <c r="C7605" t="s">
        <v>15</v>
      </c>
      <c r="D7605" t="s">
        <v>16</v>
      </c>
      <c r="E7605">
        <v>0</v>
      </c>
    </row>
    <row r="7606" spans="3:5">
      <c r="C7606" t="s">
        <v>15</v>
      </c>
      <c r="D7606" t="s">
        <v>16</v>
      </c>
      <c r="E7606">
        <v>0</v>
      </c>
    </row>
    <row r="7607" spans="3:5">
      <c r="C7607" t="s">
        <v>17</v>
      </c>
      <c r="D7607" t="s">
        <v>18</v>
      </c>
      <c r="E7607">
        <v>0</v>
      </c>
    </row>
    <row r="7608" spans="3:5">
      <c r="C7608" t="s">
        <v>17</v>
      </c>
      <c r="D7608" t="s">
        <v>18</v>
      </c>
      <c r="E7608">
        <v>0</v>
      </c>
    </row>
    <row r="7609" spans="3:5">
      <c r="C7609" t="s">
        <v>17</v>
      </c>
      <c r="D7609" t="s">
        <v>18</v>
      </c>
      <c r="E7609">
        <v>0</v>
      </c>
    </row>
    <row r="7610" spans="3:5">
      <c r="C7610" t="s">
        <v>17</v>
      </c>
      <c r="D7610" t="s">
        <v>18</v>
      </c>
      <c r="E7610">
        <v>0</v>
      </c>
    </row>
    <row r="7611" spans="3:5">
      <c r="C7611" t="s">
        <v>17</v>
      </c>
      <c r="D7611" t="s">
        <v>18</v>
      </c>
      <c r="E7611">
        <v>0</v>
      </c>
    </row>
    <row r="7612" spans="3:5">
      <c r="C7612" t="s">
        <v>17</v>
      </c>
      <c r="D7612" t="s">
        <v>18</v>
      </c>
      <c r="E7612">
        <v>0</v>
      </c>
    </row>
    <row r="7613" spans="3:5">
      <c r="C7613" t="s">
        <v>17</v>
      </c>
      <c r="D7613" t="s">
        <v>18</v>
      </c>
      <c r="E7613">
        <v>0</v>
      </c>
    </row>
    <row r="7614" spans="3:5">
      <c r="C7614" t="s">
        <v>15</v>
      </c>
      <c r="D7614" t="s">
        <v>16</v>
      </c>
      <c r="E7614">
        <v>0</v>
      </c>
    </row>
    <row r="7615" spans="3:5">
      <c r="C7615" t="s">
        <v>15</v>
      </c>
      <c r="D7615" t="s">
        <v>16</v>
      </c>
      <c r="E7615">
        <v>0</v>
      </c>
    </row>
    <row r="7616" spans="3:5">
      <c r="C7616" t="s">
        <v>17</v>
      </c>
      <c r="D7616" t="s">
        <v>18</v>
      </c>
      <c r="E7616">
        <v>0</v>
      </c>
    </row>
    <row r="7617" spans="3:5">
      <c r="C7617" t="s">
        <v>17</v>
      </c>
      <c r="D7617" t="s">
        <v>18</v>
      </c>
      <c r="E7617">
        <v>0</v>
      </c>
    </row>
    <row r="7618" spans="3:5">
      <c r="C7618" t="s">
        <v>15</v>
      </c>
      <c r="D7618" t="s">
        <v>16</v>
      </c>
      <c r="E7618">
        <v>0</v>
      </c>
    </row>
    <row r="7619" spans="3:5">
      <c r="C7619" t="s">
        <v>15</v>
      </c>
      <c r="D7619" t="s">
        <v>16</v>
      </c>
      <c r="E7619">
        <v>0</v>
      </c>
    </row>
    <row r="7620" spans="3:5">
      <c r="C7620" t="s">
        <v>17</v>
      </c>
      <c r="D7620" t="s">
        <v>18</v>
      </c>
      <c r="E7620">
        <v>0</v>
      </c>
    </row>
    <row r="7621" spans="3:5">
      <c r="C7621" t="s">
        <v>15</v>
      </c>
      <c r="D7621" t="s">
        <v>16</v>
      </c>
      <c r="E7621">
        <v>0</v>
      </c>
    </row>
    <row r="7622" spans="3:5">
      <c r="C7622" t="s">
        <v>15</v>
      </c>
      <c r="D7622" t="s">
        <v>16</v>
      </c>
      <c r="E7622">
        <v>0</v>
      </c>
    </row>
    <row r="7623" spans="3:5">
      <c r="C7623" t="s">
        <v>17</v>
      </c>
      <c r="D7623" t="s">
        <v>18</v>
      </c>
      <c r="E7623">
        <v>0</v>
      </c>
    </row>
    <row r="7624" spans="3:5">
      <c r="C7624" t="s">
        <v>15</v>
      </c>
      <c r="D7624" t="s">
        <v>16</v>
      </c>
      <c r="E7624">
        <v>0</v>
      </c>
    </row>
    <row r="7625" spans="3:5">
      <c r="C7625" t="s">
        <v>17</v>
      </c>
      <c r="D7625" t="s">
        <v>18</v>
      </c>
      <c r="E7625">
        <v>0</v>
      </c>
    </row>
    <row r="7626" spans="3:5">
      <c r="C7626" t="s">
        <v>15</v>
      </c>
      <c r="D7626" t="s">
        <v>16</v>
      </c>
      <c r="E7626">
        <v>0</v>
      </c>
    </row>
    <row r="7627" spans="3:5">
      <c r="C7627" t="s">
        <v>15</v>
      </c>
      <c r="D7627" t="s">
        <v>16</v>
      </c>
      <c r="E7627">
        <v>0</v>
      </c>
    </row>
    <row r="7628" spans="3:5">
      <c r="C7628" t="s">
        <v>17</v>
      </c>
      <c r="D7628" t="s">
        <v>18</v>
      </c>
      <c r="E7628">
        <v>0</v>
      </c>
    </row>
    <row r="7629" spans="3:5">
      <c r="C7629" t="s">
        <v>17</v>
      </c>
      <c r="D7629" t="s">
        <v>18</v>
      </c>
      <c r="E7629">
        <v>0</v>
      </c>
    </row>
    <row r="7630" spans="3:5">
      <c r="C7630" t="s">
        <v>17</v>
      </c>
      <c r="D7630" t="s">
        <v>18</v>
      </c>
      <c r="E7630">
        <v>0</v>
      </c>
    </row>
    <row r="7631" spans="3:5">
      <c r="C7631" t="s">
        <v>17</v>
      </c>
      <c r="D7631" t="s">
        <v>18</v>
      </c>
      <c r="E7631">
        <v>0</v>
      </c>
    </row>
    <row r="7632" spans="3:5">
      <c r="C7632" t="s">
        <v>15</v>
      </c>
      <c r="D7632" t="s">
        <v>16</v>
      </c>
      <c r="E7632">
        <v>0</v>
      </c>
    </row>
    <row r="7633" spans="3:5">
      <c r="C7633" t="s">
        <v>15</v>
      </c>
      <c r="D7633" t="s">
        <v>16</v>
      </c>
      <c r="E7633">
        <v>0</v>
      </c>
    </row>
    <row r="7634" spans="3:5">
      <c r="C7634" t="s">
        <v>17</v>
      </c>
      <c r="D7634" t="s">
        <v>18</v>
      </c>
      <c r="E7634">
        <v>0</v>
      </c>
    </row>
    <row r="7635" spans="3:5">
      <c r="C7635" t="s">
        <v>15</v>
      </c>
      <c r="D7635" t="s">
        <v>16</v>
      </c>
      <c r="E7635">
        <v>0</v>
      </c>
    </row>
    <row r="7636" spans="3:5">
      <c r="C7636" t="s">
        <v>15</v>
      </c>
      <c r="D7636" t="s">
        <v>16</v>
      </c>
      <c r="E7636">
        <v>0</v>
      </c>
    </row>
    <row r="7637" spans="3:5">
      <c r="C7637" t="s">
        <v>17</v>
      </c>
      <c r="D7637" t="s">
        <v>18</v>
      </c>
      <c r="E7637">
        <v>1</v>
      </c>
    </row>
    <row r="7638" spans="3:5">
      <c r="C7638" t="s">
        <v>17</v>
      </c>
      <c r="D7638" t="s">
        <v>18</v>
      </c>
      <c r="E7638">
        <v>1</v>
      </c>
    </row>
    <row r="7639" spans="3:5">
      <c r="C7639" t="s">
        <v>17</v>
      </c>
      <c r="D7639" t="s">
        <v>18</v>
      </c>
      <c r="E7639">
        <v>0</v>
      </c>
    </row>
    <row r="7640" spans="3:5">
      <c r="C7640" t="s">
        <v>15</v>
      </c>
      <c r="D7640" t="s">
        <v>16</v>
      </c>
      <c r="E7640">
        <v>0</v>
      </c>
    </row>
    <row r="7641" spans="3:5">
      <c r="C7641" t="s">
        <v>17</v>
      </c>
      <c r="D7641" t="s">
        <v>18</v>
      </c>
      <c r="E7641">
        <v>0</v>
      </c>
    </row>
    <row r="7642" spans="3:5">
      <c r="C7642" t="s">
        <v>17</v>
      </c>
      <c r="D7642" t="s">
        <v>18</v>
      </c>
      <c r="E7642">
        <v>0</v>
      </c>
    </row>
    <row r="7643" spans="3:5">
      <c r="C7643" t="s">
        <v>17</v>
      </c>
      <c r="D7643" t="s">
        <v>18</v>
      </c>
      <c r="E7643">
        <v>0</v>
      </c>
    </row>
    <row r="7644" spans="3:5">
      <c r="C7644" t="s">
        <v>15</v>
      </c>
      <c r="D7644" t="s">
        <v>16</v>
      </c>
      <c r="E7644">
        <v>0</v>
      </c>
    </row>
    <row r="7645" spans="3:5">
      <c r="C7645" t="s">
        <v>17</v>
      </c>
      <c r="D7645" t="s">
        <v>18</v>
      </c>
      <c r="E7645">
        <v>0</v>
      </c>
    </row>
    <row r="7646" spans="3:5">
      <c r="C7646" t="s">
        <v>17</v>
      </c>
      <c r="D7646" t="s">
        <v>18</v>
      </c>
      <c r="E7646">
        <v>0</v>
      </c>
    </row>
    <row r="7647" spans="3:5">
      <c r="C7647" t="s">
        <v>15</v>
      </c>
      <c r="D7647" t="s">
        <v>16</v>
      </c>
      <c r="E7647">
        <v>0</v>
      </c>
    </row>
    <row r="7648" spans="3:5">
      <c r="C7648" t="s">
        <v>15</v>
      </c>
      <c r="D7648" t="s">
        <v>16</v>
      </c>
      <c r="E7648">
        <v>0</v>
      </c>
    </row>
    <row r="7649" spans="3:5">
      <c r="C7649" t="s">
        <v>17</v>
      </c>
      <c r="D7649" t="s">
        <v>18</v>
      </c>
      <c r="E7649">
        <v>0</v>
      </c>
    </row>
    <row r="7650" spans="3:5">
      <c r="C7650" t="s">
        <v>15</v>
      </c>
      <c r="D7650" t="s">
        <v>16</v>
      </c>
      <c r="E7650">
        <v>0</v>
      </c>
    </row>
    <row r="7651" spans="3:5">
      <c r="C7651" t="s">
        <v>15</v>
      </c>
      <c r="D7651" t="s">
        <v>16</v>
      </c>
      <c r="E7651">
        <v>0</v>
      </c>
    </row>
    <row r="7652" spans="3:5">
      <c r="C7652" t="s">
        <v>17</v>
      </c>
      <c r="D7652" t="s">
        <v>18</v>
      </c>
      <c r="E7652">
        <v>0</v>
      </c>
    </row>
    <row r="7653" spans="3:5">
      <c r="C7653" t="s">
        <v>17</v>
      </c>
      <c r="D7653" t="s">
        <v>18</v>
      </c>
      <c r="E7653">
        <v>0</v>
      </c>
    </row>
    <row r="7654" spans="3:5">
      <c r="C7654" t="s">
        <v>17</v>
      </c>
      <c r="D7654" t="s">
        <v>18</v>
      </c>
      <c r="E7654">
        <v>0</v>
      </c>
    </row>
    <row r="7655" spans="3:5">
      <c r="C7655" t="s">
        <v>15</v>
      </c>
      <c r="D7655" t="s">
        <v>16</v>
      </c>
      <c r="E7655">
        <v>0</v>
      </c>
    </row>
    <row r="7656" spans="3:5">
      <c r="C7656" t="s">
        <v>15</v>
      </c>
      <c r="D7656" t="s">
        <v>16</v>
      </c>
      <c r="E7656">
        <v>0</v>
      </c>
    </row>
    <row r="7657" spans="3:5">
      <c r="C7657" t="s">
        <v>17</v>
      </c>
      <c r="D7657" t="s">
        <v>18</v>
      </c>
      <c r="E7657">
        <v>0</v>
      </c>
    </row>
    <row r="7658" spans="3:5">
      <c r="C7658" t="s">
        <v>15</v>
      </c>
      <c r="D7658" t="s">
        <v>16</v>
      </c>
      <c r="E7658">
        <v>0</v>
      </c>
    </row>
    <row r="7659" spans="3:5">
      <c r="C7659" t="s">
        <v>17</v>
      </c>
      <c r="D7659" t="s">
        <v>18</v>
      </c>
      <c r="E7659">
        <v>0</v>
      </c>
    </row>
    <row r="7660" spans="3:5">
      <c r="C7660" t="s">
        <v>17</v>
      </c>
      <c r="D7660" t="s">
        <v>18</v>
      </c>
      <c r="E7660">
        <v>0</v>
      </c>
    </row>
    <row r="7661" spans="3:5">
      <c r="C7661" t="s">
        <v>17</v>
      </c>
      <c r="D7661" t="s">
        <v>18</v>
      </c>
      <c r="E7661">
        <v>0</v>
      </c>
    </row>
    <row r="7662" spans="3:5">
      <c r="C7662" t="s">
        <v>17</v>
      </c>
      <c r="D7662" t="s">
        <v>18</v>
      </c>
      <c r="E7662">
        <v>0</v>
      </c>
    </row>
    <row r="7663" spans="3:5">
      <c r="C7663" t="s">
        <v>17</v>
      </c>
      <c r="D7663" t="s">
        <v>18</v>
      </c>
      <c r="E7663">
        <v>0</v>
      </c>
    </row>
    <row r="7664" spans="3:5">
      <c r="C7664" t="s">
        <v>17</v>
      </c>
      <c r="D7664" t="s">
        <v>18</v>
      </c>
      <c r="E7664">
        <v>0</v>
      </c>
    </row>
    <row r="7665" spans="3:5">
      <c r="C7665" t="s">
        <v>15</v>
      </c>
      <c r="D7665" t="s">
        <v>16</v>
      </c>
      <c r="E7665">
        <v>0</v>
      </c>
    </row>
    <row r="7666" spans="3:5">
      <c r="C7666" t="s">
        <v>17</v>
      </c>
      <c r="D7666" t="s">
        <v>18</v>
      </c>
      <c r="E7666">
        <v>0</v>
      </c>
    </row>
    <row r="7667" spans="3:5">
      <c r="C7667" t="s">
        <v>15</v>
      </c>
      <c r="D7667" t="s">
        <v>16</v>
      </c>
      <c r="E7667">
        <v>0</v>
      </c>
    </row>
    <row r="7668" spans="3:5">
      <c r="C7668" t="s">
        <v>15</v>
      </c>
      <c r="D7668" t="s">
        <v>16</v>
      </c>
      <c r="E7668">
        <v>0</v>
      </c>
    </row>
    <row r="7669" spans="3:5">
      <c r="C7669" t="s">
        <v>15</v>
      </c>
      <c r="D7669" t="s">
        <v>16</v>
      </c>
      <c r="E7669">
        <v>0</v>
      </c>
    </row>
    <row r="7670" spans="3:5">
      <c r="C7670" t="s">
        <v>15</v>
      </c>
      <c r="D7670" t="s">
        <v>16</v>
      </c>
      <c r="E7670">
        <v>0</v>
      </c>
    </row>
    <row r="7671" spans="3:5">
      <c r="C7671" t="s">
        <v>15</v>
      </c>
      <c r="D7671" t="s">
        <v>16</v>
      </c>
      <c r="E7671">
        <v>0</v>
      </c>
    </row>
    <row r="7672" spans="3:5">
      <c r="C7672" t="s">
        <v>15</v>
      </c>
      <c r="D7672" t="s">
        <v>16</v>
      </c>
      <c r="E7672">
        <v>0</v>
      </c>
    </row>
    <row r="7673" spans="3:5">
      <c r="C7673" t="s">
        <v>17</v>
      </c>
      <c r="D7673" t="s">
        <v>18</v>
      </c>
      <c r="E7673">
        <v>0</v>
      </c>
    </row>
    <row r="7674" spans="3:5">
      <c r="C7674" t="s">
        <v>15</v>
      </c>
      <c r="D7674" t="s">
        <v>16</v>
      </c>
      <c r="E7674">
        <v>0</v>
      </c>
    </row>
    <row r="7675" spans="3:5">
      <c r="C7675" t="s">
        <v>17</v>
      </c>
      <c r="D7675" t="s">
        <v>18</v>
      </c>
      <c r="E7675">
        <v>0</v>
      </c>
    </row>
    <row r="7676" spans="3:5">
      <c r="C7676" t="s">
        <v>15</v>
      </c>
      <c r="D7676" t="s">
        <v>16</v>
      </c>
      <c r="E7676">
        <v>0</v>
      </c>
    </row>
    <row r="7677" spans="3:5">
      <c r="C7677" t="s">
        <v>15</v>
      </c>
      <c r="D7677" t="s">
        <v>16</v>
      </c>
      <c r="E7677">
        <v>0</v>
      </c>
    </row>
    <row r="7678" spans="3:5">
      <c r="C7678" t="s">
        <v>15</v>
      </c>
      <c r="D7678" t="s">
        <v>16</v>
      </c>
      <c r="E7678">
        <v>0</v>
      </c>
    </row>
    <row r="7679" spans="3:5">
      <c r="C7679" t="s">
        <v>15</v>
      </c>
      <c r="D7679" t="s">
        <v>16</v>
      </c>
      <c r="E7679">
        <v>0</v>
      </c>
    </row>
    <row r="7680" spans="3:5">
      <c r="C7680" t="s">
        <v>15</v>
      </c>
      <c r="D7680" t="s">
        <v>16</v>
      </c>
      <c r="E7680">
        <v>0</v>
      </c>
    </row>
    <row r="7681" spans="3:5">
      <c r="C7681" t="s">
        <v>15</v>
      </c>
      <c r="D7681" t="s">
        <v>16</v>
      </c>
      <c r="E7681">
        <v>0</v>
      </c>
    </row>
    <row r="7682" spans="3:5">
      <c r="C7682" t="s">
        <v>17</v>
      </c>
      <c r="D7682" t="s">
        <v>18</v>
      </c>
      <c r="E7682">
        <v>0</v>
      </c>
    </row>
    <row r="7683" spans="3:5">
      <c r="C7683" t="s">
        <v>15</v>
      </c>
      <c r="D7683" t="s">
        <v>16</v>
      </c>
      <c r="E7683">
        <v>0</v>
      </c>
    </row>
    <row r="7684" spans="3:5">
      <c r="C7684" t="s">
        <v>17</v>
      </c>
      <c r="D7684" t="s">
        <v>18</v>
      </c>
      <c r="E7684">
        <v>0</v>
      </c>
    </row>
    <row r="7685" spans="3:5">
      <c r="C7685" t="s">
        <v>17</v>
      </c>
      <c r="D7685" t="s">
        <v>18</v>
      </c>
      <c r="E7685">
        <v>0</v>
      </c>
    </row>
    <row r="7686" spans="3:5">
      <c r="C7686" t="s">
        <v>15</v>
      </c>
      <c r="D7686" t="s">
        <v>16</v>
      </c>
      <c r="E7686">
        <v>0</v>
      </c>
    </row>
    <row r="7687" spans="3:5">
      <c r="C7687" t="s">
        <v>15</v>
      </c>
      <c r="D7687" t="s">
        <v>16</v>
      </c>
      <c r="E7687">
        <v>0</v>
      </c>
    </row>
    <row r="7688" spans="3:5">
      <c r="C7688" t="s">
        <v>17</v>
      </c>
      <c r="D7688" t="s">
        <v>18</v>
      </c>
      <c r="E7688">
        <v>0</v>
      </c>
    </row>
    <row r="7689" spans="3:5">
      <c r="C7689" t="s">
        <v>15</v>
      </c>
      <c r="D7689" t="s">
        <v>16</v>
      </c>
      <c r="E7689">
        <v>0</v>
      </c>
    </row>
    <row r="7690" spans="3:5">
      <c r="C7690" t="s">
        <v>15</v>
      </c>
      <c r="D7690" t="s">
        <v>16</v>
      </c>
      <c r="E7690">
        <v>0</v>
      </c>
    </row>
    <row r="7691" spans="3:5">
      <c r="C7691" t="s">
        <v>15</v>
      </c>
      <c r="D7691" t="s">
        <v>16</v>
      </c>
      <c r="E7691">
        <v>0</v>
      </c>
    </row>
    <row r="7692" spans="3:5">
      <c r="C7692" t="s">
        <v>17</v>
      </c>
      <c r="D7692" t="s">
        <v>18</v>
      </c>
      <c r="E7692">
        <v>0</v>
      </c>
    </row>
    <row r="7693" spans="3:5">
      <c r="C7693" t="s">
        <v>15</v>
      </c>
      <c r="D7693" t="s">
        <v>16</v>
      </c>
      <c r="E7693">
        <v>1</v>
      </c>
    </row>
    <row r="7694" spans="3:5">
      <c r="C7694" t="s">
        <v>15</v>
      </c>
      <c r="D7694" t="s">
        <v>16</v>
      </c>
      <c r="E7694">
        <v>0</v>
      </c>
    </row>
    <row r="7695" spans="3:5">
      <c r="C7695" t="s">
        <v>15</v>
      </c>
      <c r="D7695" t="s">
        <v>16</v>
      </c>
      <c r="E7695">
        <v>0</v>
      </c>
    </row>
    <row r="7696" spans="3:5">
      <c r="C7696" t="s">
        <v>17</v>
      </c>
      <c r="D7696" t="s">
        <v>18</v>
      </c>
      <c r="E7696">
        <v>0</v>
      </c>
    </row>
    <row r="7697" spans="3:5">
      <c r="C7697" t="s">
        <v>15</v>
      </c>
      <c r="D7697" t="s">
        <v>16</v>
      </c>
      <c r="E7697">
        <v>0</v>
      </c>
    </row>
    <row r="7698" spans="3:5">
      <c r="C7698" t="s">
        <v>17</v>
      </c>
      <c r="D7698" t="s">
        <v>18</v>
      </c>
      <c r="E7698">
        <v>0</v>
      </c>
    </row>
    <row r="7699" spans="3:5">
      <c r="C7699" t="s">
        <v>17</v>
      </c>
      <c r="D7699" t="s">
        <v>18</v>
      </c>
      <c r="E7699">
        <v>0</v>
      </c>
    </row>
    <row r="7700" spans="3:5">
      <c r="C7700" t="s">
        <v>17</v>
      </c>
      <c r="D7700" t="s">
        <v>18</v>
      </c>
      <c r="E7700">
        <v>0</v>
      </c>
    </row>
    <row r="7701" spans="3:5">
      <c r="C7701" t="s">
        <v>15</v>
      </c>
      <c r="D7701" t="s">
        <v>16</v>
      </c>
      <c r="E7701">
        <v>0</v>
      </c>
    </row>
    <row r="7702" spans="3:5">
      <c r="C7702" t="s">
        <v>15</v>
      </c>
      <c r="D7702" t="s">
        <v>16</v>
      </c>
      <c r="E7702">
        <v>0</v>
      </c>
    </row>
    <row r="7703" spans="3:5">
      <c r="C7703" t="s">
        <v>15</v>
      </c>
      <c r="D7703" t="s">
        <v>16</v>
      </c>
      <c r="E7703">
        <v>0</v>
      </c>
    </row>
    <row r="7704" spans="3:5">
      <c r="C7704" t="s">
        <v>15</v>
      </c>
      <c r="D7704" t="s">
        <v>16</v>
      </c>
      <c r="E7704">
        <v>0</v>
      </c>
    </row>
    <row r="7705" spans="3:5">
      <c r="C7705" t="s">
        <v>17</v>
      </c>
      <c r="D7705" t="s">
        <v>18</v>
      </c>
      <c r="E7705">
        <v>0</v>
      </c>
    </row>
    <row r="7706" spans="3:5">
      <c r="C7706" t="s">
        <v>17</v>
      </c>
      <c r="D7706" t="s">
        <v>18</v>
      </c>
      <c r="E7706">
        <v>0</v>
      </c>
    </row>
    <row r="7707" spans="3:5">
      <c r="C7707" t="s">
        <v>17</v>
      </c>
      <c r="D7707" t="s">
        <v>18</v>
      </c>
      <c r="E7707">
        <v>1</v>
      </c>
    </row>
    <row r="7708" spans="3:5">
      <c r="C7708" t="s">
        <v>17</v>
      </c>
      <c r="D7708" t="s">
        <v>18</v>
      </c>
      <c r="E7708">
        <v>0</v>
      </c>
    </row>
    <row r="7709" spans="3:5">
      <c r="C7709" t="s">
        <v>17</v>
      </c>
      <c r="D7709" t="s">
        <v>18</v>
      </c>
      <c r="E7709">
        <v>0</v>
      </c>
    </row>
    <row r="7710" spans="3:5">
      <c r="C7710" t="s">
        <v>17</v>
      </c>
      <c r="D7710" t="s">
        <v>18</v>
      </c>
      <c r="E7710">
        <v>0</v>
      </c>
    </row>
    <row r="7711" spans="3:5">
      <c r="C7711" t="s">
        <v>15</v>
      </c>
      <c r="D7711" t="s">
        <v>16</v>
      </c>
      <c r="E7711">
        <v>0</v>
      </c>
    </row>
    <row r="7712" spans="3:5">
      <c r="C7712" t="s">
        <v>17</v>
      </c>
      <c r="D7712" t="s">
        <v>18</v>
      </c>
      <c r="E7712">
        <v>0</v>
      </c>
    </row>
    <row r="7713" spans="3:5">
      <c r="C7713" t="s">
        <v>17</v>
      </c>
      <c r="D7713" t="s">
        <v>18</v>
      </c>
      <c r="E7713">
        <v>0</v>
      </c>
    </row>
    <row r="7714" spans="3:5">
      <c r="C7714" t="s">
        <v>15</v>
      </c>
      <c r="D7714" t="s">
        <v>16</v>
      </c>
      <c r="E7714">
        <v>0</v>
      </c>
    </row>
    <row r="7715" spans="3:5">
      <c r="C7715" t="s">
        <v>15</v>
      </c>
      <c r="D7715" t="s">
        <v>16</v>
      </c>
      <c r="E7715">
        <v>0</v>
      </c>
    </row>
    <row r="7716" spans="3:5">
      <c r="C7716" t="s">
        <v>17</v>
      </c>
      <c r="D7716" t="s">
        <v>18</v>
      </c>
      <c r="E7716">
        <v>0</v>
      </c>
    </row>
    <row r="7717" spans="3:5">
      <c r="C7717" t="s">
        <v>15</v>
      </c>
      <c r="D7717" t="s">
        <v>16</v>
      </c>
      <c r="E7717">
        <v>0</v>
      </c>
    </row>
    <row r="7718" spans="3:5">
      <c r="C7718" t="s">
        <v>17</v>
      </c>
      <c r="D7718" t="s">
        <v>18</v>
      </c>
      <c r="E7718">
        <v>0</v>
      </c>
    </row>
    <row r="7719" spans="3:5">
      <c r="C7719" t="s">
        <v>15</v>
      </c>
      <c r="D7719" t="s">
        <v>16</v>
      </c>
      <c r="E7719">
        <v>0</v>
      </c>
    </row>
    <row r="7720" spans="3:5">
      <c r="C7720" t="s">
        <v>17</v>
      </c>
      <c r="D7720" t="s">
        <v>18</v>
      </c>
      <c r="E7720">
        <v>0</v>
      </c>
    </row>
    <row r="7721" spans="3:5">
      <c r="C7721" t="s">
        <v>15</v>
      </c>
      <c r="D7721" t="s">
        <v>16</v>
      </c>
      <c r="E7721">
        <v>0</v>
      </c>
    </row>
    <row r="7722" spans="3:5">
      <c r="C7722" t="s">
        <v>17</v>
      </c>
      <c r="D7722" t="s">
        <v>18</v>
      </c>
      <c r="E7722">
        <v>0</v>
      </c>
    </row>
    <row r="7723" spans="3:5">
      <c r="C7723" t="s">
        <v>15</v>
      </c>
      <c r="D7723" t="s">
        <v>16</v>
      </c>
      <c r="E7723">
        <v>0</v>
      </c>
    </row>
    <row r="7724" spans="3:5">
      <c r="C7724" t="s">
        <v>17</v>
      </c>
      <c r="D7724" t="s">
        <v>18</v>
      </c>
      <c r="E7724">
        <v>0</v>
      </c>
    </row>
    <row r="7725" spans="3:5">
      <c r="C7725" t="s">
        <v>15</v>
      </c>
      <c r="D7725" t="s">
        <v>16</v>
      </c>
      <c r="E7725">
        <v>0</v>
      </c>
    </row>
    <row r="7726" spans="3:5">
      <c r="C7726" t="s">
        <v>17</v>
      </c>
      <c r="D7726" t="s">
        <v>18</v>
      </c>
      <c r="E7726">
        <v>0</v>
      </c>
    </row>
    <row r="7727" spans="3:5">
      <c r="C7727" t="s">
        <v>15</v>
      </c>
      <c r="D7727" t="s">
        <v>16</v>
      </c>
      <c r="E7727">
        <v>0</v>
      </c>
    </row>
    <row r="7728" spans="3:5">
      <c r="C7728" t="s">
        <v>15</v>
      </c>
      <c r="D7728" t="s">
        <v>16</v>
      </c>
      <c r="E7728">
        <v>0</v>
      </c>
    </row>
    <row r="7729" spans="3:5">
      <c r="C7729" t="s">
        <v>15</v>
      </c>
      <c r="D7729" t="s">
        <v>16</v>
      </c>
      <c r="E7729">
        <v>0</v>
      </c>
    </row>
    <row r="7730" spans="3:5">
      <c r="C7730" t="s">
        <v>15</v>
      </c>
      <c r="D7730" t="s">
        <v>16</v>
      </c>
      <c r="E7730">
        <v>0</v>
      </c>
    </row>
    <row r="7731" spans="3:5">
      <c r="C7731" t="s">
        <v>17</v>
      </c>
      <c r="D7731" t="s">
        <v>18</v>
      </c>
      <c r="E7731">
        <v>0</v>
      </c>
    </row>
    <row r="7732" spans="3:5">
      <c r="C7732" t="s">
        <v>17</v>
      </c>
      <c r="D7732" t="s">
        <v>18</v>
      </c>
      <c r="E7732">
        <v>0</v>
      </c>
    </row>
    <row r="7733" spans="3:5">
      <c r="C7733" t="s">
        <v>15</v>
      </c>
      <c r="D7733" t="s">
        <v>16</v>
      </c>
      <c r="E7733">
        <v>0</v>
      </c>
    </row>
    <row r="7734" spans="3:5">
      <c r="C7734" t="s">
        <v>15</v>
      </c>
      <c r="D7734" t="s">
        <v>16</v>
      </c>
      <c r="E7734">
        <v>0</v>
      </c>
    </row>
    <row r="7735" spans="3:5">
      <c r="C7735" t="s">
        <v>17</v>
      </c>
      <c r="D7735" t="s">
        <v>18</v>
      </c>
      <c r="E7735">
        <v>0</v>
      </c>
    </row>
    <row r="7736" spans="3:5">
      <c r="C7736" t="s">
        <v>15</v>
      </c>
      <c r="D7736" t="s">
        <v>16</v>
      </c>
      <c r="E7736">
        <v>0</v>
      </c>
    </row>
    <row r="7737" spans="3:5">
      <c r="C7737" t="s">
        <v>15</v>
      </c>
      <c r="D7737" t="s">
        <v>16</v>
      </c>
      <c r="E7737">
        <v>0</v>
      </c>
    </row>
    <row r="7738" spans="3:5">
      <c r="C7738" t="s">
        <v>15</v>
      </c>
      <c r="D7738" t="s">
        <v>16</v>
      </c>
      <c r="E7738">
        <v>0</v>
      </c>
    </row>
    <row r="7739" spans="3:5">
      <c r="C7739" t="s">
        <v>17</v>
      </c>
      <c r="D7739" t="s">
        <v>18</v>
      </c>
      <c r="E7739">
        <v>0</v>
      </c>
    </row>
    <row r="7740" spans="3:5">
      <c r="C7740" t="s">
        <v>17</v>
      </c>
      <c r="D7740" t="s">
        <v>18</v>
      </c>
      <c r="E7740">
        <v>0</v>
      </c>
    </row>
    <row r="7741" spans="3:5">
      <c r="C7741" t="s">
        <v>15</v>
      </c>
      <c r="D7741" t="s">
        <v>16</v>
      </c>
      <c r="E7741">
        <v>0</v>
      </c>
    </row>
    <row r="7742" spans="3:5">
      <c r="C7742" t="s">
        <v>15</v>
      </c>
      <c r="D7742" t="s">
        <v>16</v>
      </c>
      <c r="E7742">
        <v>0</v>
      </c>
    </row>
    <row r="7743" spans="3:5">
      <c r="C7743" t="s">
        <v>17</v>
      </c>
      <c r="D7743" t="s">
        <v>18</v>
      </c>
      <c r="E7743">
        <v>0</v>
      </c>
    </row>
    <row r="7744" spans="3:5">
      <c r="C7744" t="s">
        <v>17</v>
      </c>
      <c r="D7744" t="s">
        <v>18</v>
      </c>
      <c r="E7744">
        <v>0</v>
      </c>
    </row>
    <row r="7745" spans="3:5">
      <c r="C7745" t="s">
        <v>17</v>
      </c>
      <c r="D7745" t="s">
        <v>18</v>
      </c>
      <c r="E7745">
        <v>0</v>
      </c>
    </row>
    <row r="7746" spans="3:5">
      <c r="C7746" t="s">
        <v>15</v>
      </c>
      <c r="D7746" t="s">
        <v>16</v>
      </c>
      <c r="E7746">
        <v>0</v>
      </c>
    </row>
    <row r="7747" spans="3:5">
      <c r="C7747" t="s">
        <v>15</v>
      </c>
      <c r="D7747" t="s">
        <v>16</v>
      </c>
      <c r="E7747">
        <v>0</v>
      </c>
    </row>
    <row r="7748" spans="3:5">
      <c r="C7748" t="s">
        <v>15</v>
      </c>
      <c r="D7748" t="s">
        <v>16</v>
      </c>
      <c r="E7748">
        <v>0</v>
      </c>
    </row>
    <row r="7749" spans="3:5">
      <c r="C7749" t="s">
        <v>15</v>
      </c>
      <c r="D7749" t="s">
        <v>16</v>
      </c>
      <c r="E7749">
        <v>0</v>
      </c>
    </row>
    <row r="7750" spans="3:5">
      <c r="C7750" t="s">
        <v>17</v>
      </c>
      <c r="D7750" t="s">
        <v>18</v>
      </c>
      <c r="E7750">
        <v>0</v>
      </c>
    </row>
    <row r="7751" spans="3:5">
      <c r="C7751" t="s">
        <v>15</v>
      </c>
      <c r="D7751" t="s">
        <v>16</v>
      </c>
      <c r="E7751">
        <v>0</v>
      </c>
    </row>
    <row r="7752" spans="3:5">
      <c r="C7752" t="s">
        <v>17</v>
      </c>
      <c r="D7752" t="s">
        <v>18</v>
      </c>
      <c r="E7752">
        <v>0</v>
      </c>
    </row>
    <row r="7753" spans="3:5">
      <c r="C7753" t="s">
        <v>15</v>
      </c>
      <c r="D7753" t="s">
        <v>16</v>
      </c>
      <c r="E7753">
        <v>0</v>
      </c>
    </row>
    <row r="7754" spans="3:5">
      <c r="C7754" t="s">
        <v>17</v>
      </c>
      <c r="D7754" t="s">
        <v>18</v>
      </c>
      <c r="E7754">
        <v>0</v>
      </c>
    </row>
    <row r="7755" spans="3:5">
      <c r="C7755" t="s">
        <v>17</v>
      </c>
      <c r="D7755" t="s">
        <v>18</v>
      </c>
      <c r="E7755">
        <v>0</v>
      </c>
    </row>
    <row r="7756" spans="3:5">
      <c r="C7756" t="s">
        <v>17</v>
      </c>
      <c r="D7756" t="s">
        <v>18</v>
      </c>
      <c r="E7756">
        <v>0</v>
      </c>
    </row>
    <row r="7757" spans="3:5">
      <c r="C7757" t="s">
        <v>17</v>
      </c>
      <c r="D7757" t="s">
        <v>18</v>
      </c>
      <c r="E7757">
        <v>0</v>
      </c>
    </row>
    <row r="7758" spans="3:5">
      <c r="C7758" t="s">
        <v>15</v>
      </c>
      <c r="D7758" t="s">
        <v>16</v>
      </c>
      <c r="E7758">
        <v>1</v>
      </c>
    </row>
    <row r="7759" spans="3:5">
      <c r="C7759" t="s">
        <v>17</v>
      </c>
      <c r="D7759" t="s">
        <v>18</v>
      </c>
      <c r="E7759">
        <v>0</v>
      </c>
    </row>
    <row r="7760" spans="3:5">
      <c r="C7760" t="s">
        <v>15</v>
      </c>
      <c r="D7760" t="s">
        <v>16</v>
      </c>
      <c r="E7760">
        <v>0</v>
      </c>
    </row>
    <row r="7761" spans="3:5">
      <c r="C7761" t="s">
        <v>17</v>
      </c>
      <c r="D7761" t="s">
        <v>18</v>
      </c>
      <c r="E7761">
        <v>0</v>
      </c>
    </row>
    <row r="7762" spans="3:5">
      <c r="C7762" t="s">
        <v>15</v>
      </c>
      <c r="D7762" t="s">
        <v>16</v>
      </c>
      <c r="E7762">
        <v>0</v>
      </c>
    </row>
    <row r="7763" spans="3:5">
      <c r="C7763" t="s">
        <v>17</v>
      </c>
      <c r="D7763" t="s">
        <v>18</v>
      </c>
      <c r="E7763">
        <v>0</v>
      </c>
    </row>
    <row r="7764" spans="3:5">
      <c r="C7764" t="s">
        <v>17</v>
      </c>
      <c r="D7764" t="s">
        <v>18</v>
      </c>
      <c r="E7764">
        <v>0</v>
      </c>
    </row>
    <row r="7765" spans="3:5">
      <c r="C7765" t="s">
        <v>17</v>
      </c>
      <c r="D7765" t="s">
        <v>18</v>
      </c>
      <c r="E7765">
        <v>0</v>
      </c>
    </row>
    <row r="7766" spans="3:5">
      <c r="C7766" t="s">
        <v>15</v>
      </c>
      <c r="D7766" t="s">
        <v>16</v>
      </c>
      <c r="E7766">
        <v>0</v>
      </c>
    </row>
    <row r="7767" spans="3:5">
      <c r="C7767" t="s">
        <v>15</v>
      </c>
      <c r="D7767" t="s">
        <v>16</v>
      </c>
      <c r="E7767">
        <v>0</v>
      </c>
    </row>
    <row r="7768" spans="3:5">
      <c r="C7768" t="s">
        <v>17</v>
      </c>
      <c r="D7768" t="s">
        <v>18</v>
      </c>
      <c r="E7768">
        <v>1</v>
      </c>
    </row>
    <row r="7769" spans="3:5">
      <c r="C7769" t="s">
        <v>15</v>
      </c>
      <c r="D7769" t="s">
        <v>16</v>
      </c>
      <c r="E7769">
        <v>0</v>
      </c>
    </row>
    <row r="7770" spans="3:5">
      <c r="C7770" t="s">
        <v>15</v>
      </c>
      <c r="D7770" t="s">
        <v>16</v>
      </c>
      <c r="E7770">
        <v>0</v>
      </c>
    </row>
    <row r="7771" spans="3:5">
      <c r="C7771" t="s">
        <v>17</v>
      </c>
      <c r="D7771" t="s">
        <v>18</v>
      </c>
      <c r="E7771">
        <v>0</v>
      </c>
    </row>
    <row r="7772" spans="3:5">
      <c r="C7772" t="s">
        <v>15</v>
      </c>
      <c r="D7772" t="s">
        <v>16</v>
      </c>
      <c r="E7772">
        <v>0</v>
      </c>
    </row>
    <row r="7773" spans="3:5">
      <c r="C7773" t="s">
        <v>15</v>
      </c>
      <c r="D7773" t="s">
        <v>16</v>
      </c>
      <c r="E7773">
        <v>0</v>
      </c>
    </row>
    <row r="7774" spans="3:5">
      <c r="C7774" t="s">
        <v>15</v>
      </c>
      <c r="D7774" t="s">
        <v>16</v>
      </c>
      <c r="E7774">
        <v>0</v>
      </c>
    </row>
    <row r="7775" spans="3:5">
      <c r="C7775" t="s">
        <v>17</v>
      </c>
      <c r="D7775" t="s">
        <v>18</v>
      </c>
      <c r="E7775">
        <v>1</v>
      </c>
    </row>
    <row r="7776" spans="3:5">
      <c r="C7776" t="s">
        <v>17</v>
      </c>
      <c r="D7776" t="s">
        <v>18</v>
      </c>
      <c r="E7776">
        <v>0</v>
      </c>
    </row>
    <row r="7777" spans="3:5">
      <c r="C7777" t="s">
        <v>15</v>
      </c>
      <c r="D7777" t="s">
        <v>16</v>
      </c>
      <c r="E7777">
        <v>0</v>
      </c>
    </row>
    <row r="7778" spans="3:5">
      <c r="C7778" t="s">
        <v>15</v>
      </c>
      <c r="D7778" t="s">
        <v>16</v>
      </c>
      <c r="E7778">
        <v>0</v>
      </c>
    </row>
    <row r="7779" spans="3:5">
      <c r="C7779" t="s">
        <v>15</v>
      </c>
      <c r="D7779" t="s">
        <v>16</v>
      </c>
      <c r="E7779">
        <v>0</v>
      </c>
    </row>
    <row r="7780" spans="3:5">
      <c r="C7780" t="s">
        <v>15</v>
      </c>
      <c r="D7780" t="s">
        <v>16</v>
      </c>
      <c r="E7780">
        <v>0</v>
      </c>
    </row>
    <row r="7781" spans="3:5">
      <c r="C7781" t="s">
        <v>17</v>
      </c>
      <c r="D7781" t="s">
        <v>18</v>
      </c>
      <c r="E7781">
        <v>0</v>
      </c>
    </row>
    <row r="7782" spans="3:5">
      <c r="C7782" t="s">
        <v>15</v>
      </c>
      <c r="D7782" t="s">
        <v>16</v>
      </c>
      <c r="E7782">
        <v>0</v>
      </c>
    </row>
    <row r="7783" spans="3:5">
      <c r="C7783" t="s">
        <v>15</v>
      </c>
      <c r="D7783" t="s">
        <v>16</v>
      </c>
      <c r="E7783">
        <v>0</v>
      </c>
    </row>
    <row r="7784" spans="3:5">
      <c r="C7784" t="s">
        <v>17</v>
      </c>
      <c r="D7784" t="s">
        <v>18</v>
      </c>
      <c r="E7784">
        <v>0</v>
      </c>
    </row>
    <row r="7785" spans="3:5">
      <c r="C7785" t="s">
        <v>17</v>
      </c>
      <c r="D7785" t="s">
        <v>18</v>
      </c>
      <c r="E7785">
        <v>0</v>
      </c>
    </row>
    <row r="7786" spans="3:5">
      <c r="C7786" t="s">
        <v>15</v>
      </c>
      <c r="D7786" t="s">
        <v>16</v>
      </c>
      <c r="E7786">
        <v>0</v>
      </c>
    </row>
    <row r="7787" spans="3:5">
      <c r="C7787" t="s">
        <v>15</v>
      </c>
      <c r="D7787" t="s">
        <v>16</v>
      </c>
      <c r="E7787">
        <v>0</v>
      </c>
    </row>
    <row r="7788" spans="3:5">
      <c r="C7788" t="s">
        <v>17</v>
      </c>
      <c r="D7788" t="s">
        <v>18</v>
      </c>
      <c r="E7788">
        <v>0</v>
      </c>
    </row>
    <row r="7789" spans="3:5">
      <c r="C7789" t="s">
        <v>17</v>
      </c>
      <c r="D7789" t="s">
        <v>18</v>
      </c>
      <c r="E7789">
        <v>0</v>
      </c>
    </row>
    <row r="7790" spans="3:5">
      <c r="C7790" t="s">
        <v>15</v>
      </c>
      <c r="D7790" t="s">
        <v>16</v>
      </c>
      <c r="E7790">
        <v>0</v>
      </c>
    </row>
    <row r="7791" spans="3:5">
      <c r="C7791" t="s">
        <v>17</v>
      </c>
      <c r="D7791" t="s">
        <v>18</v>
      </c>
      <c r="E7791">
        <v>0</v>
      </c>
    </row>
    <row r="7792" spans="3:5">
      <c r="C7792" t="s">
        <v>17</v>
      </c>
      <c r="D7792" t="s">
        <v>18</v>
      </c>
      <c r="E7792">
        <v>0</v>
      </c>
    </row>
    <row r="7793" spans="3:5">
      <c r="C7793" t="s">
        <v>15</v>
      </c>
      <c r="D7793" t="s">
        <v>16</v>
      </c>
      <c r="E7793">
        <v>0</v>
      </c>
    </row>
    <row r="7794" spans="3:5">
      <c r="C7794" t="s">
        <v>17</v>
      </c>
      <c r="D7794" t="s">
        <v>18</v>
      </c>
      <c r="E7794">
        <v>0</v>
      </c>
    </row>
    <row r="7795" spans="3:5">
      <c r="C7795" t="s">
        <v>15</v>
      </c>
      <c r="D7795" t="s">
        <v>16</v>
      </c>
      <c r="E7795">
        <v>0</v>
      </c>
    </row>
    <row r="7796" spans="3:5">
      <c r="C7796" t="s">
        <v>17</v>
      </c>
      <c r="D7796" t="s">
        <v>18</v>
      </c>
      <c r="E7796">
        <v>0</v>
      </c>
    </row>
    <row r="7797" spans="3:5">
      <c r="C7797" t="s">
        <v>17</v>
      </c>
      <c r="D7797" t="s">
        <v>18</v>
      </c>
      <c r="E7797">
        <v>0</v>
      </c>
    </row>
    <row r="7798" spans="3:5">
      <c r="C7798" t="s">
        <v>17</v>
      </c>
      <c r="D7798" t="s">
        <v>18</v>
      </c>
      <c r="E7798">
        <v>0</v>
      </c>
    </row>
    <row r="7799" spans="3:5">
      <c r="C7799" t="s">
        <v>17</v>
      </c>
      <c r="D7799" t="s">
        <v>18</v>
      </c>
      <c r="E7799">
        <v>0</v>
      </c>
    </row>
    <row r="7800" spans="3:5">
      <c r="C7800" t="s">
        <v>15</v>
      </c>
      <c r="D7800" t="s">
        <v>16</v>
      </c>
      <c r="E7800">
        <v>0</v>
      </c>
    </row>
    <row r="7801" spans="3:5">
      <c r="C7801" t="s">
        <v>17</v>
      </c>
      <c r="D7801" t="s">
        <v>18</v>
      </c>
      <c r="E7801">
        <v>0</v>
      </c>
    </row>
    <row r="7802" spans="3:5">
      <c r="C7802" t="s">
        <v>15</v>
      </c>
      <c r="D7802" t="s">
        <v>16</v>
      </c>
      <c r="E7802">
        <v>0</v>
      </c>
    </row>
    <row r="7803" spans="3:5">
      <c r="C7803" t="s">
        <v>15</v>
      </c>
      <c r="D7803" t="s">
        <v>16</v>
      </c>
      <c r="E7803">
        <v>0</v>
      </c>
    </row>
    <row r="7804" spans="3:5">
      <c r="C7804" t="s">
        <v>17</v>
      </c>
      <c r="D7804" t="s">
        <v>18</v>
      </c>
      <c r="E7804">
        <v>0</v>
      </c>
    </row>
    <row r="7805" spans="3:5">
      <c r="C7805" t="s">
        <v>17</v>
      </c>
      <c r="D7805" t="s">
        <v>18</v>
      </c>
      <c r="E7805">
        <v>0</v>
      </c>
    </row>
    <row r="7806" spans="3:5">
      <c r="C7806" t="s">
        <v>17</v>
      </c>
      <c r="D7806" t="s">
        <v>18</v>
      </c>
      <c r="E7806">
        <v>0</v>
      </c>
    </row>
    <row r="7807" spans="3:5">
      <c r="C7807" t="s">
        <v>15</v>
      </c>
      <c r="D7807" t="s">
        <v>16</v>
      </c>
      <c r="E7807">
        <v>0</v>
      </c>
    </row>
    <row r="7808" spans="3:5">
      <c r="C7808" t="s">
        <v>17</v>
      </c>
      <c r="D7808" t="s">
        <v>18</v>
      </c>
      <c r="E7808">
        <v>0</v>
      </c>
    </row>
    <row r="7809" spans="3:5">
      <c r="C7809" t="s">
        <v>15</v>
      </c>
      <c r="D7809" t="s">
        <v>16</v>
      </c>
      <c r="E7809">
        <v>0</v>
      </c>
    </row>
    <row r="7810" spans="3:5">
      <c r="C7810" t="s">
        <v>17</v>
      </c>
      <c r="D7810" t="s">
        <v>18</v>
      </c>
      <c r="E7810">
        <v>0</v>
      </c>
    </row>
    <row r="7811" spans="3:5">
      <c r="C7811" t="s">
        <v>17</v>
      </c>
      <c r="D7811" t="s">
        <v>18</v>
      </c>
      <c r="E7811">
        <v>0</v>
      </c>
    </row>
    <row r="7812" spans="3:5">
      <c r="C7812" t="s">
        <v>17</v>
      </c>
      <c r="D7812" t="s">
        <v>18</v>
      </c>
      <c r="E7812">
        <v>0</v>
      </c>
    </row>
    <row r="7813" spans="3:5">
      <c r="C7813" t="s">
        <v>15</v>
      </c>
      <c r="D7813" t="s">
        <v>16</v>
      </c>
      <c r="E7813">
        <v>0</v>
      </c>
    </row>
    <row r="7814" spans="3:5">
      <c r="C7814" t="s">
        <v>15</v>
      </c>
      <c r="D7814" t="s">
        <v>16</v>
      </c>
      <c r="E7814">
        <v>0</v>
      </c>
    </row>
    <row r="7815" spans="3:5">
      <c r="C7815" t="s">
        <v>15</v>
      </c>
      <c r="D7815" t="s">
        <v>16</v>
      </c>
      <c r="E7815">
        <v>0</v>
      </c>
    </row>
    <row r="7816" spans="3:5">
      <c r="C7816" t="s">
        <v>17</v>
      </c>
      <c r="D7816" t="s">
        <v>18</v>
      </c>
      <c r="E7816">
        <v>0</v>
      </c>
    </row>
    <row r="7817" spans="3:5">
      <c r="C7817" t="s">
        <v>17</v>
      </c>
      <c r="D7817" t="s">
        <v>18</v>
      </c>
      <c r="E7817">
        <v>0</v>
      </c>
    </row>
    <row r="7818" spans="3:5">
      <c r="C7818" t="s">
        <v>15</v>
      </c>
      <c r="D7818" t="s">
        <v>16</v>
      </c>
      <c r="E7818">
        <v>0</v>
      </c>
    </row>
    <row r="7819" spans="3:5">
      <c r="C7819" t="s">
        <v>17</v>
      </c>
      <c r="D7819" t="s">
        <v>18</v>
      </c>
      <c r="E7819">
        <v>0</v>
      </c>
    </row>
    <row r="7820" spans="3:5">
      <c r="C7820" t="s">
        <v>15</v>
      </c>
      <c r="D7820" t="s">
        <v>16</v>
      </c>
      <c r="E7820">
        <v>0</v>
      </c>
    </row>
    <row r="7821" spans="3:5">
      <c r="C7821" t="s">
        <v>15</v>
      </c>
      <c r="D7821" t="s">
        <v>16</v>
      </c>
      <c r="E7821">
        <v>0</v>
      </c>
    </row>
    <row r="7822" spans="3:5">
      <c r="C7822" t="s">
        <v>15</v>
      </c>
      <c r="D7822" t="s">
        <v>16</v>
      </c>
      <c r="E7822">
        <v>0</v>
      </c>
    </row>
    <row r="7823" spans="3:5">
      <c r="C7823" t="s">
        <v>17</v>
      </c>
      <c r="D7823" t="s">
        <v>18</v>
      </c>
      <c r="E7823">
        <v>0</v>
      </c>
    </row>
    <row r="7824" spans="3:5">
      <c r="C7824" t="s">
        <v>15</v>
      </c>
      <c r="D7824" t="s">
        <v>16</v>
      </c>
      <c r="E7824">
        <v>0</v>
      </c>
    </row>
    <row r="7825" spans="3:5">
      <c r="C7825" t="s">
        <v>17</v>
      </c>
      <c r="D7825" t="s">
        <v>18</v>
      </c>
      <c r="E7825">
        <v>0</v>
      </c>
    </row>
    <row r="7826" spans="3:5">
      <c r="C7826" t="s">
        <v>17</v>
      </c>
      <c r="D7826" t="s">
        <v>18</v>
      </c>
      <c r="E7826">
        <v>1</v>
      </c>
    </row>
    <row r="7827" spans="3:5">
      <c r="C7827" t="s">
        <v>17</v>
      </c>
      <c r="D7827" t="s">
        <v>18</v>
      </c>
      <c r="E7827">
        <v>0</v>
      </c>
    </row>
    <row r="7828" spans="3:5">
      <c r="C7828" t="s">
        <v>15</v>
      </c>
      <c r="D7828" t="s">
        <v>16</v>
      </c>
      <c r="E7828">
        <v>0</v>
      </c>
    </row>
    <row r="7829" spans="3:5">
      <c r="C7829" t="s">
        <v>15</v>
      </c>
      <c r="D7829" t="s">
        <v>16</v>
      </c>
      <c r="E7829">
        <v>0</v>
      </c>
    </row>
    <row r="7830" spans="3:5">
      <c r="C7830" t="s">
        <v>17</v>
      </c>
      <c r="D7830" t="s">
        <v>18</v>
      </c>
      <c r="E7830">
        <v>0</v>
      </c>
    </row>
    <row r="7831" spans="3:5">
      <c r="C7831" t="s">
        <v>17</v>
      </c>
      <c r="D7831" t="s">
        <v>18</v>
      </c>
      <c r="E7831">
        <v>0</v>
      </c>
    </row>
    <row r="7832" spans="3:5">
      <c r="C7832" t="s">
        <v>17</v>
      </c>
      <c r="D7832" t="s">
        <v>18</v>
      </c>
      <c r="E7832">
        <v>0</v>
      </c>
    </row>
    <row r="7833" spans="3:5">
      <c r="C7833" t="s">
        <v>15</v>
      </c>
      <c r="D7833" t="s">
        <v>16</v>
      </c>
      <c r="E7833">
        <v>0</v>
      </c>
    </row>
    <row r="7834" spans="3:5">
      <c r="C7834" t="s">
        <v>15</v>
      </c>
      <c r="D7834" t="s">
        <v>16</v>
      </c>
      <c r="E7834">
        <v>0</v>
      </c>
    </row>
    <row r="7835" spans="3:5">
      <c r="C7835" t="s">
        <v>17</v>
      </c>
      <c r="D7835" t="s">
        <v>18</v>
      </c>
      <c r="E7835">
        <v>0</v>
      </c>
    </row>
    <row r="7836" spans="3:5">
      <c r="C7836" t="s">
        <v>17</v>
      </c>
      <c r="D7836" t="s">
        <v>18</v>
      </c>
      <c r="E7836">
        <v>0</v>
      </c>
    </row>
    <row r="7837" spans="3:5">
      <c r="C7837" t="s">
        <v>17</v>
      </c>
      <c r="D7837" t="s">
        <v>18</v>
      </c>
      <c r="E7837">
        <v>0</v>
      </c>
    </row>
    <row r="7838" spans="3:5">
      <c r="C7838" t="s">
        <v>15</v>
      </c>
      <c r="D7838" t="s">
        <v>16</v>
      </c>
      <c r="E7838">
        <v>0</v>
      </c>
    </row>
    <row r="7839" spans="3:5">
      <c r="C7839" t="s">
        <v>17</v>
      </c>
      <c r="D7839" t="s">
        <v>18</v>
      </c>
      <c r="E7839">
        <v>1</v>
      </c>
    </row>
    <row r="7840" spans="3:5">
      <c r="C7840" t="s">
        <v>17</v>
      </c>
      <c r="D7840" t="s">
        <v>18</v>
      </c>
      <c r="E7840">
        <v>0</v>
      </c>
    </row>
    <row r="7841" spans="3:5">
      <c r="C7841" t="s">
        <v>15</v>
      </c>
      <c r="D7841" t="s">
        <v>16</v>
      </c>
      <c r="E7841">
        <v>0</v>
      </c>
    </row>
    <row r="7842" spans="3:5">
      <c r="C7842" t="s">
        <v>15</v>
      </c>
      <c r="D7842" t="s">
        <v>16</v>
      </c>
      <c r="E7842">
        <v>0</v>
      </c>
    </row>
    <row r="7843" spans="3:5">
      <c r="C7843" t="s">
        <v>15</v>
      </c>
      <c r="D7843" t="s">
        <v>16</v>
      </c>
      <c r="E7843">
        <v>0</v>
      </c>
    </row>
    <row r="7844" spans="3:5">
      <c r="C7844" t="s">
        <v>17</v>
      </c>
      <c r="D7844" t="s">
        <v>18</v>
      </c>
      <c r="E7844">
        <v>0</v>
      </c>
    </row>
    <row r="7845" spans="3:5">
      <c r="C7845" t="s">
        <v>17</v>
      </c>
      <c r="D7845" t="s">
        <v>18</v>
      </c>
      <c r="E7845">
        <v>0</v>
      </c>
    </row>
    <row r="7846" spans="3:5">
      <c r="C7846" t="s">
        <v>15</v>
      </c>
      <c r="D7846" t="s">
        <v>16</v>
      </c>
      <c r="E7846">
        <v>0</v>
      </c>
    </row>
    <row r="7847" spans="3:5">
      <c r="C7847" t="s">
        <v>17</v>
      </c>
      <c r="D7847" t="s">
        <v>18</v>
      </c>
      <c r="E7847">
        <v>0</v>
      </c>
    </row>
    <row r="7848" spans="3:5">
      <c r="C7848" t="s">
        <v>15</v>
      </c>
      <c r="D7848" t="s">
        <v>16</v>
      </c>
      <c r="E7848">
        <v>0</v>
      </c>
    </row>
    <row r="7849" spans="3:5">
      <c r="C7849" t="s">
        <v>17</v>
      </c>
      <c r="D7849" t="s">
        <v>18</v>
      </c>
      <c r="E7849">
        <v>0</v>
      </c>
    </row>
    <row r="7850" spans="3:5">
      <c r="C7850" t="s">
        <v>15</v>
      </c>
      <c r="D7850" t="s">
        <v>16</v>
      </c>
      <c r="E7850">
        <v>0</v>
      </c>
    </row>
    <row r="7851" spans="3:5">
      <c r="C7851" t="s">
        <v>17</v>
      </c>
      <c r="D7851" t="s">
        <v>18</v>
      </c>
      <c r="E7851">
        <v>0</v>
      </c>
    </row>
    <row r="7852" spans="3:5">
      <c r="C7852" t="s">
        <v>17</v>
      </c>
      <c r="D7852" t="s">
        <v>18</v>
      </c>
      <c r="E7852">
        <v>0</v>
      </c>
    </row>
    <row r="7853" spans="3:5">
      <c r="C7853" t="s">
        <v>17</v>
      </c>
      <c r="D7853" t="s">
        <v>18</v>
      </c>
      <c r="E7853">
        <v>0</v>
      </c>
    </row>
    <row r="7854" spans="3:5">
      <c r="C7854" t="s">
        <v>17</v>
      </c>
      <c r="D7854" t="s">
        <v>18</v>
      </c>
      <c r="E7854">
        <v>0</v>
      </c>
    </row>
    <row r="7855" spans="3:5">
      <c r="C7855" t="s">
        <v>17</v>
      </c>
      <c r="D7855" t="s">
        <v>18</v>
      </c>
      <c r="E7855">
        <v>0</v>
      </c>
    </row>
    <row r="7856" spans="3:5">
      <c r="C7856" t="s">
        <v>15</v>
      </c>
      <c r="D7856" t="s">
        <v>16</v>
      </c>
      <c r="E7856">
        <v>0</v>
      </c>
    </row>
    <row r="7857" spans="3:5">
      <c r="C7857" t="s">
        <v>17</v>
      </c>
      <c r="D7857" t="s">
        <v>18</v>
      </c>
      <c r="E7857">
        <v>0</v>
      </c>
    </row>
    <row r="7858" spans="3:5">
      <c r="C7858" t="s">
        <v>17</v>
      </c>
      <c r="D7858" t="s">
        <v>18</v>
      </c>
      <c r="E7858">
        <v>0</v>
      </c>
    </row>
    <row r="7859" spans="3:5">
      <c r="C7859" t="s">
        <v>17</v>
      </c>
      <c r="D7859" t="s">
        <v>18</v>
      </c>
      <c r="E7859">
        <v>0</v>
      </c>
    </row>
    <row r="7860" spans="3:5">
      <c r="C7860" t="s">
        <v>17</v>
      </c>
      <c r="D7860" t="s">
        <v>18</v>
      </c>
      <c r="E7860">
        <v>0</v>
      </c>
    </row>
    <row r="7861" spans="3:5">
      <c r="C7861" t="s">
        <v>15</v>
      </c>
      <c r="D7861" t="s">
        <v>16</v>
      </c>
      <c r="E7861">
        <v>0</v>
      </c>
    </row>
    <row r="7862" spans="3:5">
      <c r="C7862" t="s">
        <v>17</v>
      </c>
      <c r="D7862" t="s">
        <v>18</v>
      </c>
      <c r="E7862">
        <v>0</v>
      </c>
    </row>
    <row r="7863" spans="3:5">
      <c r="C7863" t="s">
        <v>17</v>
      </c>
      <c r="D7863" t="s">
        <v>18</v>
      </c>
      <c r="E7863">
        <v>0</v>
      </c>
    </row>
    <row r="7864" spans="3:5">
      <c r="C7864" t="s">
        <v>17</v>
      </c>
      <c r="D7864" t="s">
        <v>18</v>
      </c>
      <c r="E7864">
        <v>0</v>
      </c>
    </row>
    <row r="7865" spans="3:5">
      <c r="C7865" t="s">
        <v>15</v>
      </c>
      <c r="D7865" t="s">
        <v>16</v>
      </c>
      <c r="E7865">
        <v>0</v>
      </c>
    </row>
    <row r="7866" spans="3:5">
      <c r="C7866" t="s">
        <v>17</v>
      </c>
      <c r="D7866" t="s">
        <v>18</v>
      </c>
      <c r="E7866">
        <v>0</v>
      </c>
    </row>
    <row r="7867" spans="3:5">
      <c r="C7867" t="s">
        <v>17</v>
      </c>
      <c r="D7867" t="s">
        <v>18</v>
      </c>
      <c r="E7867">
        <v>0</v>
      </c>
    </row>
    <row r="7868" spans="3:5">
      <c r="C7868" t="s">
        <v>17</v>
      </c>
      <c r="D7868" t="s">
        <v>18</v>
      </c>
      <c r="E7868">
        <v>0</v>
      </c>
    </row>
    <row r="7869" spans="3:5">
      <c r="C7869" t="s">
        <v>17</v>
      </c>
      <c r="D7869" t="s">
        <v>18</v>
      </c>
      <c r="E7869">
        <v>0</v>
      </c>
    </row>
    <row r="7870" spans="3:5">
      <c r="C7870" t="s">
        <v>17</v>
      </c>
      <c r="D7870" t="s">
        <v>18</v>
      </c>
      <c r="E7870">
        <v>0</v>
      </c>
    </row>
    <row r="7871" spans="3:5">
      <c r="C7871" t="s">
        <v>17</v>
      </c>
      <c r="D7871" t="s">
        <v>18</v>
      </c>
      <c r="E7871">
        <v>0</v>
      </c>
    </row>
    <row r="7872" spans="3:5">
      <c r="C7872" t="s">
        <v>15</v>
      </c>
      <c r="D7872" t="s">
        <v>16</v>
      </c>
      <c r="E7872">
        <v>0</v>
      </c>
    </row>
    <row r="7873" spans="3:5">
      <c r="C7873" t="s">
        <v>17</v>
      </c>
      <c r="D7873" t="s">
        <v>18</v>
      </c>
      <c r="E7873">
        <v>0</v>
      </c>
    </row>
    <row r="7874" spans="3:5">
      <c r="C7874" t="s">
        <v>15</v>
      </c>
      <c r="D7874" t="s">
        <v>16</v>
      </c>
      <c r="E7874">
        <v>0</v>
      </c>
    </row>
    <row r="7875" spans="3:5">
      <c r="C7875" t="s">
        <v>15</v>
      </c>
      <c r="D7875" t="s">
        <v>16</v>
      </c>
      <c r="E7875">
        <v>0</v>
      </c>
    </row>
    <row r="7876" spans="3:5">
      <c r="C7876" t="s">
        <v>17</v>
      </c>
      <c r="D7876" t="s">
        <v>18</v>
      </c>
      <c r="E7876">
        <v>0</v>
      </c>
    </row>
    <row r="7877" spans="3:5">
      <c r="C7877" t="s">
        <v>15</v>
      </c>
      <c r="D7877" t="s">
        <v>16</v>
      </c>
      <c r="E7877">
        <v>0</v>
      </c>
    </row>
    <row r="7878" spans="3:5">
      <c r="C7878" t="s">
        <v>17</v>
      </c>
      <c r="D7878" t="s">
        <v>18</v>
      </c>
      <c r="E7878">
        <v>0</v>
      </c>
    </row>
    <row r="7879" spans="3:5">
      <c r="C7879" t="s">
        <v>15</v>
      </c>
      <c r="D7879" t="s">
        <v>16</v>
      </c>
      <c r="E7879">
        <v>0</v>
      </c>
    </row>
    <row r="7880" spans="3:5">
      <c r="C7880" t="s">
        <v>17</v>
      </c>
      <c r="D7880" t="s">
        <v>18</v>
      </c>
      <c r="E7880">
        <v>0</v>
      </c>
    </row>
    <row r="7881" spans="3:5">
      <c r="C7881" t="s">
        <v>15</v>
      </c>
      <c r="D7881" t="s">
        <v>16</v>
      </c>
      <c r="E7881">
        <v>0</v>
      </c>
    </row>
    <row r="7882" spans="3:5">
      <c r="C7882" t="s">
        <v>17</v>
      </c>
      <c r="D7882" t="s">
        <v>18</v>
      </c>
      <c r="E7882">
        <v>0</v>
      </c>
    </row>
    <row r="7883" spans="3:5">
      <c r="C7883" t="s">
        <v>15</v>
      </c>
      <c r="D7883" t="s">
        <v>16</v>
      </c>
      <c r="E7883">
        <v>0</v>
      </c>
    </row>
    <row r="7884" spans="3:5">
      <c r="C7884" t="s">
        <v>15</v>
      </c>
      <c r="D7884" t="s">
        <v>16</v>
      </c>
      <c r="E7884">
        <v>0</v>
      </c>
    </row>
    <row r="7885" spans="3:5">
      <c r="C7885" t="s">
        <v>15</v>
      </c>
      <c r="D7885" t="s">
        <v>16</v>
      </c>
      <c r="E7885">
        <v>0</v>
      </c>
    </row>
    <row r="7886" spans="3:5">
      <c r="C7886" t="s">
        <v>17</v>
      </c>
      <c r="D7886" t="s">
        <v>18</v>
      </c>
      <c r="E7886">
        <v>0</v>
      </c>
    </row>
    <row r="7887" spans="3:5">
      <c r="C7887" t="s">
        <v>15</v>
      </c>
      <c r="D7887" t="s">
        <v>16</v>
      </c>
      <c r="E7887">
        <v>0</v>
      </c>
    </row>
    <row r="7888" spans="3:5">
      <c r="C7888" t="s">
        <v>17</v>
      </c>
      <c r="D7888" t="s">
        <v>18</v>
      </c>
      <c r="E7888">
        <v>0</v>
      </c>
    </row>
    <row r="7889" spans="3:5">
      <c r="C7889" t="s">
        <v>15</v>
      </c>
      <c r="D7889" t="s">
        <v>16</v>
      </c>
      <c r="E7889">
        <v>0</v>
      </c>
    </row>
    <row r="7890" spans="3:5">
      <c r="C7890" t="s">
        <v>17</v>
      </c>
      <c r="D7890" t="s">
        <v>18</v>
      </c>
      <c r="E7890">
        <v>0</v>
      </c>
    </row>
    <row r="7891" spans="3:5">
      <c r="C7891" t="s">
        <v>17</v>
      </c>
      <c r="D7891" t="s">
        <v>18</v>
      </c>
      <c r="E7891">
        <v>0</v>
      </c>
    </row>
    <row r="7892" spans="3:5">
      <c r="C7892" t="s">
        <v>17</v>
      </c>
      <c r="D7892" t="s">
        <v>18</v>
      </c>
      <c r="E7892">
        <v>0</v>
      </c>
    </row>
    <row r="7893" spans="3:5">
      <c r="C7893" t="s">
        <v>15</v>
      </c>
      <c r="D7893" t="s">
        <v>16</v>
      </c>
      <c r="E7893">
        <v>0</v>
      </c>
    </row>
    <row r="7894" spans="3:5">
      <c r="C7894" t="s">
        <v>15</v>
      </c>
      <c r="D7894" t="s">
        <v>16</v>
      </c>
      <c r="E7894">
        <v>0</v>
      </c>
    </row>
    <row r="7895" spans="3:5">
      <c r="C7895" t="s">
        <v>15</v>
      </c>
      <c r="D7895" t="s">
        <v>16</v>
      </c>
      <c r="E7895">
        <v>0</v>
      </c>
    </row>
    <row r="7896" spans="3:5">
      <c r="C7896" t="s">
        <v>15</v>
      </c>
      <c r="D7896" t="s">
        <v>16</v>
      </c>
      <c r="E7896">
        <v>0</v>
      </c>
    </row>
    <row r="7897" spans="3:5">
      <c r="C7897" t="s">
        <v>17</v>
      </c>
      <c r="D7897" t="s">
        <v>18</v>
      </c>
      <c r="E789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741D-8D9B-F746-BDE9-D64ED28CB467}">
  <sheetPr codeName="Sheet6"/>
  <dimension ref="A1:E25"/>
  <sheetViews>
    <sheetView zoomScale="125" workbookViewId="0">
      <selection activeCell="E8" sqref="E8"/>
    </sheetView>
  </sheetViews>
  <sheetFormatPr defaultColWidth="11" defaultRowHeight="15.95" customHeight="1"/>
  <cols>
    <col min="2" max="2" width="12.125" bestFit="1" customWidth="1"/>
    <col min="3" max="3" width="11" bestFit="1" customWidth="1"/>
    <col min="4" max="4" width="12.125" bestFit="1" customWidth="1"/>
  </cols>
  <sheetData>
    <row r="1" spans="1:5" ht="15.95" customHeight="1">
      <c r="A1" s="6" t="s">
        <v>19</v>
      </c>
      <c r="B1" s="6" t="s">
        <v>20</v>
      </c>
      <c r="C1" s="6" t="s">
        <v>21</v>
      </c>
      <c r="D1" s="7" t="s">
        <v>22</v>
      </c>
      <c r="E1" s="7" t="s">
        <v>23</v>
      </c>
    </row>
    <row r="2" spans="1:5" ht="15.95" customHeight="1">
      <c r="A2" s="5" t="s">
        <v>24</v>
      </c>
      <c r="B2" s="5">
        <v>2.7792846214664899</v>
      </c>
      <c r="C2" s="5">
        <v>0.01</v>
      </c>
      <c r="D2" s="5" t="str">
        <f>IFERROR(INDEX(#REF!,1,1),"no solution")</f>
        <v>no solution</v>
      </c>
      <c r="E2" s="5" t="str">
        <f ca="1">IFERROR(_xlfn.FORMULATEXT(INDEX(#REF!,1)),"no formula")</f>
        <v>no formula</v>
      </c>
    </row>
    <row r="3" spans="1:5" ht="15.95" customHeight="1">
      <c r="A3" s="5" t="s">
        <v>25</v>
      </c>
      <c r="B3" s="5">
        <v>2.2532666845245313</v>
      </c>
      <c r="C3" s="5">
        <v>0.01</v>
      </c>
      <c r="D3" s="5" t="str">
        <f>IFERROR(INDEX(#REF!,1,1),"no solution")</f>
        <v>no solution</v>
      </c>
      <c r="E3" s="5" t="str">
        <f ca="1">IFERROR(_xlfn.FORMULATEXT(INDEX(#REF!,1)),"no formula")</f>
        <v>no formula</v>
      </c>
    </row>
    <row r="4" spans="1:5" ht="15.95" customHeight="1">
      <c r="A4" s="5" t="s">
        <v>26</v>
      </c>
      <c r="B4" s="5">
        <v>1.8606084239751572</v>
      </c>
      <c r="C4" s="5">
        <v>0.01</v>
      </c>
      <c r="D4" s="5" t="str">
        <f>IFERROR(INDEX(#REF!,1,1),"no solution")</f>
        <v>no solution</v>
      </c>
      <c r="E4" s="5" t="str">
        <f ca="1">IFERROR(_xlfn.FORMULATEXT(INDEX(#REF!,1)),"no formula")</f>
        <v>no formula</v>
      </c>
    </row>
    <row r="5" spans="1:5" ht="15.95" customHeight="1">
      <c r="A5" s="5" t="s">
        <v>27</v>
      </c>
      <c r="B5" s="5">
        <v>0.3367192393391451</v>
      </c>
      <c r="C5" s="5">
        <v>1E-3</v>
      </c>
      <c r="D5" s="5" t="str">
        <f>IFERROR(INDEX(#REF!,1,1),"no solution")</f>
        <v>no solution</v>
      </c>
      <c r="E5" s="5" t="str">
        <f ca="1">IFERROR(_xlfn.FORMULATEXT(INDEX(#REF!,1)),"no formula")</f>
        <v>no formula</v>
      </c>
    </row>
    <row r="6" spans="1:5" ht="15.95" customHeight="1">
      <c r="A6" s="5" t="s">
        <v>28</v>
      </c>
      <c r="B6" s="5">
        <v>0.40158614333215198</v>
      </c>
      <c r="C6" s="5">
        <v>1E-3</v>
      </c>
      <c r="D6" s="5" t="str">
        <f>IFERROR(INDEX(#REF!,1,1),"no solution")</f>
        <v>no solution</v>
      </c>
      <c r="E6" s="5" t="str">
        <f ca="1">IFERROR(_xlfn.FORMULATEXT(INDEX(#REF!,1)),"no formula")</f>
        <v>no formula</v>
      </c>
    </row>
    <row r="7" spans="1:5" ht="15.95" customHeight="1">
      <c r="A7" s="5" t="s">
        <v>29</v>
      </c>
      <c r="B7" s="5">
        <v>0.41584428207045615</v>
      </c>
      <c r="C7" s="5">
        <v>1E-3</v>
      </c>
      <c r="D7" s="5" t="str">
        <f>IFERROR(INDEX(#REF!,1,1),"no solution")</f>
        <v>no solution</v>
      </c>
      <c r="E7" s="5" t="str">
        <f ca="1">IFERROR(_xlfn.FORMULATEXT(INDEX(#REF!,1)),"no formula")</f>
        <v>no formula</v>
      </c>
    </row>
    <row r="8" spans="1:5" ht="15.95" customHeight="1">
      <c r="A8" s="5" t="s">
        <v>30</v>
      </c>
      <c r="B8" s="5">
        <v>128.50309278350517</v>
      </c>
      <c r="C8" s="5">
        <v>0.1</v>
      </c>
      <c r="D8" s="5" t="str">
        <f>IFERROR(INDEX(#REF!,1,1),"no solution")</f>
        <v>no solution</v>
      </c>
      <c r="E8" s="5" t="str">
        <f ca="1">IFERROR(_xlfn.FORMULATEXT(INDEX(#REF!,1)),"no formula")</f>
        <v>no formula</v>
      </c>
    </row>
    <row r="9" spans="1:5" ht="15.95" customHeight="1">
      <c r="A9" s="5" t="s">
        <v>31</v>
      </c>
      <c r="B9" s="5">
        <v>82.985567010309282</v>
      </c>
      <c r="C9" s="5">
        <v>0.1</v>
      </c>
      <c r="D9" s="5" t="str">
        <f>IFERROR(INDEX(#REF!,1,1),"no solution")</f>
        <v>no solution</v>
      </c>
      <c r="E9" s="5" t="str">
        <f ca="1">IFERROR(_xlfn.FORMULATEXT(INDEX(#REF!,1)),"no formula")</f>
        <v>no formula</v>
      </c>
    </row>
    <row r="10" spans="1:5" ht="15.95" customHeight="1">
      <c r="A10" s="5" t="s">
        <v>32</v>
      </c>
      <c r="B10" s="5">
        <v>102.85352719439958</v>
      </c>
      <c r="C10" s="5">
        <v>0.1</v>
      </c>
      <c r="D10" s="5" t="str">
        <f>IFERROR(INDEX(#REF!,1,1),"no solution")</f>
        <v>no solution</v>
      </c>
      <c r="E10" s="5" t="str">
        <f ca="1">IFERROR(_xlfn.FORMULATEXT(INDEX(#REF!,1)),"no formula")</f>
        <v>no formula</v>
      </c>
    </row>
    <row r="11" spans="1:5" ht="15.95" customHeight="1">
      <c r="A11" s="5" t="s">
        <v>33</v>
      </c>
      <c r="B11" s="5">
        <v>0.73692174841859626</v>
      </c>
      <c r="C11" s="5">
        <v>1E-3</v>
      </c>
      <c r="D11" s="5" t="str">
        <f>IFERROR(INDEX(#REF!,1,1),"no solution")</f>
        <v>no solution</v>
      </c>
      <c r="E11" s="5" t="str">
        <f ca="1">IFERROR(_xlfn.FORMULATEXT(INDEX(#REF!,1)),"no formula")</f>
        <v>no formula</v>
      </c>
    </row>
    <row r="12" spans="1:5" ht="15.95" customHeight="1">
      <c r="A12" s="5" t="s">
        <v>34</v>
      </c>
      <c r="B12" s="5">
        <v>302</v>
      </c>
      <c r="C12" s="5">
        <v>0</v>
      </c>
      <c r="D12" s="5" t="str">
        <f>IFERROR(INDEX(LevelUp!#REF!,1,1),"no solution")</f>
        <v>no solution</v>
      </c>
      <c r="E12" s="5" t="str">
        <f ca="1">IFERROR(_xlfn.FORMULATEXT(INDEX(LevelUp!#REF!,1)),"no formula")</f>
        <v>no formula</v>
      </c>
    </row>
    <row r="13" spans="1:5" ht="15.95" customHeight="1">
      <c r="A13" s="5" t="s">
        <v>35</v>
      </c>
      <c r="B13" s="5">
        <v>39</v>
      </c>
      <c r="C13" s="5">
        <v>0</v>
      </c>
      <c r="D13" s="5" t="str">
        <f>IFERROR(INDEX(LevelUp!#REF!,1,1),"no solution")</f>
        <v>no solution</v>
      </c>
      <c r="E13" s="5" t="str">
        <f ca="1">IFERROR(_xlfn.FORMULATEXT(INDEX(LevelUp!#REF!,1)),"no formula")</f>
        <v>no formula</v>
      </c>
    </row>
    <row r="14" spans="1:5" ht="15.95" customHeight="1">
      <c r="A14" s="5" t="s">
        <v>36</v>
      </c>
      <c r="B14" s="5" t="s">
        <v>37</v>
      </c>
      <c r="C14" s="5"/>
      <c r="D14" s="5" t="str">
        <f>IF(ISBLANK(INDEX(#REF!,1,1)), "no solution", IF(ISERROR(INDEX(#REF!,1,1)), "error in parsing the solution", INDEX(#REF!,1,1)))</f>
        <v>error in parsing the solution</v>
      </c>
      <c r="E14" s="5"/>
    </row>
    <row r="15" spans="1:5" ht="15.95" customHeight="1">
      <c r="A15" s="5" t="s">
        <v>38</v>
      </c>
      <c r="B15" s="5"/>
      <c r="C15" s="5"/>
      <c r="D15" s="5" t="str">
        <f>IF(ISBLANK(INDEX(#REF!,1,1)), "no solution", IF(ISERROR(INDEX(#REF!,1,1)), "error in parsing the solution", INDEX(#REF!,1,1)))</f>
        <v>error in parsing the solution</v>
      </c>
      <c r="E15" s="5"/>
    </row>
    <row r="16" spans="1:5" ht="15.95" customHeight="1">
      <c r="A16" s="5" t="s">
        <v>39</v>
      </c>
      <c r="B16" s="5"/>
      <c r="C16" s="5"/>
      <c r="D16" s="5" t="str">
        <f>IF(ISBLANK(INDEX(#REF!,1,1)), "no solution", IF(ISERROR(INDEX(#REF!,1,1)), "error in parsing the solution", INDEX(#REF!,1,1)))</f>
        <v>error in parsing the solution</v>
      </c>
      <c r="E16" s="5"/>
    </row>
    <row r="17" spans="1:5" ht="15.95" customHeight="1">
      <c r="A17" s="5" t="s">
        <v>40</v>
      </c>
      <c r="B17" s="5"/>
      <c r="C17" s="5"/>
      <c r="D17" s="5" t="str">
        <f>IF(ISBLANK(INDEX(#REF!,1,1)), "no solution", IF(ISERROR(INDEX(#REF!,1,1)), "error in parsing the solution", INDEX(#REF!,1,1)))</f>
        <v>error in parsing the solution</v>
      </c>
      <c r="E17" s="5"/>
    </row>
    <row r="18" spans="1:5" ht="15.95" customHeight="1">
      <c r="A18" s="5" t="s">
        <v>41</v>
      </c>
      <c r="B18" s="5"/>
      <c r="C18" s="5"/>
      <c r="D18" s="5" t="str">
        <f>IF(ISBLANK(INDEX(#REF!,1,1)), "no solution", IF(ISERROR(INDEX(#REF!,1,1)), "error in parsing the solution", INDEX(#REF!,1,1)))</f>
        <v>error in parsing the solution</v>
      </c>
      <c r="E18" s="5"/>
    </row>
    <row r="19" spans="1:5" ht="15.95" customHeight="1">
      <c r="A19" s="5" t="s">
        <v>42</v>
      </c>
      <c r="B19" s="5"/>
      <c r="C19" s="5"/>
      <c r="D19" s="5" t="str">
        <f>IF(ISBLANK(INDEX(#REF!,1,1)), "no solution", IF(ISERROR(INDEX(#REF!,1,1)), "error in parsing the solution", INDEX(#REF!,1,1)))</f>
        <v>error in parsing the solution</v>
      </c>
      <c r="E19" s="5"/>
    </row>
    <row r="20" spans="1:5" ht="15.95" customHeight="1">
      <c r="A20" s="5" t="s">
        <v>43</v>
      </c>
      <c r="B20" s="5"/>
      <c r="C20" s="5"/>
      <c r="D20" s="5" t="str">
        <f>IF(ISBLANK(INDEX(#REF!,1,1)), "no solution", IF(ISERROR(INDEX(#REF!,1,1)), "error in parsing the solution", INDEX(#REF!,1,1)))</f>
        <v>error in parsing the solution</v>
      </c>
      <c r="E20" s="5"/>
    </row>
    <row r="21" spans="1:5" ht="15.95" customHeight="1">
      <c r="A21" s="5" t="s">
        <v>44</v>
      </c>
      <c r="B21" s="5"/>
      <c r="C21" s="5"/>
      <c r="D21" s="5" t="str">
        <f>IF(ISBLANK(INDEX(#REF!,1,1)), "no solution", IF(ISERROR(INDEX(#REF!,1,1)), "error in parsing the solution", INDEX(#REF!,1,1)))</f>
        <v>error in parsing the solution</v>
      </c>
      <c r="E21" s="5"/>
    </row>
    <row r="22" spans="1:5" ht="15.95" customHeight="1">
      <c r="A22" s="5" t="s">
        <v>45</v>
      </c>
      <c r="B22" s="5"/>
      <c r="C22" s="5"/>
      <c r="D22" s="5" t="str">
        <f>IF(ISBLANK(INDEX(LevelUp!#REF!,1,1)), "no solution", IF(ISERROR(INDEX(LevelUp!#REF!,1,1)), "error in parsing the solution", INDEX(LevelUp!#REF!,1,1)))</f>
        <v>error in parsing the solution</v>
      </c>
      <c r="E22" s="5"/>
    </row>
    <row r="23" spans="1:5" ht="15.95" customHeight="1">
      <c r="A23" s="5" t="s">
        <v>46</v>
      </c>
      <c r="B23" s="5"/>
      <c r="C23" s="5"/>
      <c r="D23" s="5" t="str">
        <f>IF(ISBLANK(INDEX(LevelUp!#REF!,1,1)), "no solution", IF(ISERROR(INDEX(LevelUp!#REF!,1,1)), "error in parsing the solution", INDEX(LevelUp!#REF!,1,1)))</f>
        <v>error in parsing the solution</v>
      </c>
      <c r="E23" s="5"/>
    </row>
    <row r="24" spans="1:5" ht="15.95" customHeight="1">
      <c r="A24" s="5" t="s">
        <v>47</v>
      </c>
      <c r="B24" s="5"/>
      <c r="C24" s="5"/>
      <c r="D24" s="5" t="str">
        <f>IF(ISBLANK(INDEX(LevelUp!#REF!,1,1)), "no solution", IF(ISERROR(INDEX(LevelUp!#REF!,1,1)), "error in parsing the solution", INDEX(LevelUp!#REF!,1,1)))</f>
        <v>error in parsing the solution</v>
      </c>
      <c r="E24" s="5"/>
    </row>
    <row r="25" spans="1:5" ht="15.95" customHeight="1">
      <c r="A25" s="5" t="s">
        <v>48</v>
      </c>
      <c r="B25" s="5"/>
      <c r="C25" s="5"/>
      <c r="D25" s="5" t="str">
        <f>IF(ISBLANK(INDEX(LevelUp!#REF!,1,1)), "no solution", IF(ISERROR(INDEX(LevelUp!#REF!,1,1)), "error in parsing the solution", INDEX(LevelUp!#REF!,1,1)))</f>
        <v>error in parsing the solution</v>
      </c>
      <c r="E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Alvarez</dc:creator>
  <cp:keywords/>
  <dc:description/>
  <cp:lastModifiedBy/>
  <cp:revision/>
  <dcterms:created xsi:type="dcterms:W3CDTF">2023-10-10T21:32:35Z</dcterms:created>
  <dcterms:modified xsi:type="dcterms:W3CDTF">2026-03-22T20:11:19Z</dcterms:modified>
  <cp:category/>
  <cp:contentStatus/>
</cp:coreProperties>
</file>